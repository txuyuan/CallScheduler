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xuyuan/Downloads/CallScheduler assets/"/>
    </mc:Choice>
  </mc:AlternateContent>
  <xr:revisionPtr revIDLastSave="0" documentId="13_ncr:1_{0C46964F-27BB-9543-8D1C-ACDAB3B690F0}" xr6:coauthVersionLast="47" xr6:coauthVersionMax="47" xr10:uidLastSave="{00000000-0000-0000-0000-000000000000}"/>
  <bookViews>
    <workbookView xWindow="0" yWindow="660" windowWidth="29400" windowHeight="18460" xr2:uid="{21295E27-03F2-7648-A894-650B76265762}"/>
  </bookViews>
  <sheets>
    <sheet name="roster" sheetId="1" r:id="rId1"/>
  </sheets>
  <definedNames>
    <definedName name="_xlnm._FilterDatabase" localSheetId="0" hidden="1">roster!$E$1:$BN$30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37" i="1" l="1"/>
  <c r="BN36" i="1"/>
  <c r="BN35" i="1"/>
  <c r="BN34" i="1"/>
  <c r="BN33" i="1"/>
  <c r="BN32" i="1"/>
  <c r="BK37" i="1"/>
  <c r="BJ37" i="1"/>
  <c r="BI37" i="1"/>
  <c r="BH37" i="1"/>
  <c r="BG37" i="1"/>
  <c r="BK36" i="1"/>
  <c r="BJ36" i="1"/>
  <c r="BI36" i="1"/>
  <c r="BH36" i="1"/>
  <c r="BG36" i="1"/>
  <c r="BK35" i="1"/>
  <c r="BJ35" i="1"/>
  <c r="BI35" i="1"/>
  <c r="BH35" i="1"/>
  <c r="BG35" i="1"/>
  <c r="BK34" i="1"/>
  <c r="BJ34" i="1"/>
  <c r="BI34" i="1"/>
  <c r="BH34" i="1"/>
  <c r="BG34" i="1"/>
  <c r="BK33" i="1"/>
  <c r="BJ33" i="1"/>
  <c r="BI33" i="1"/>
  <c r="BH33" i="1"/>
  <c r="BG33" i="1"/>
  <c r="BK32" i="1"/>
  <c r="BJ32" i="1"/>
  <c r="BI32" i="1"/>
  <c r="BH32" i="1"/>
  <c r="BG32" i="1"/>
  <c r="BD37" i="1"/>
  <c r="BC37" i="1"/>
  <c r="BB37" i="1"/>
  <c r="BA37" i="1"/>
  <c r="AZ37" i="1"/>
  <c r="BD36" i="1"/>
  <c r="BC36" i="1"/>
  <c r="BB36" i="1"/>
  <c r="BA36" i="1"/>
  <c r="AZ36" i="1"/>
  <c r="BD35" i="1"/>
  <c r="BC35" i="1"/>
  <c r="BB35" i="1"/>
  <c r="BA35" i="1"/>
  <c r="AZ35" i="1"/>
  <c r="BD34" i="1"/>
  <c r="BC34" i="1"/>
  <c r="BB34" i="1"/>
  <c r="BA34" i="1"/>
  <c r="AZ34" i="1"/>
  <c r="BD33" i="1"/>
  <c r="BC33" i="1"/>
  <c r="BB33" i="1"/>
  <c r="BA33" i="1"/>
  <c r="AZ33" i="1"/>
  <c r="BD32" i="1"/>
  <c r="BC32" i="1"/>
  <c r="BB32" i="1"/>
  <c r="BA32" i="1"/>
  <c r="AZ32" i="1"/>
  <c r="AW37" i="1"/>
  <c r="AV37" i="1"/>
  <c r="AU37" i="1"/>
  <c r="AT37" i="1"/>
  <c r="AS37" i="1"/>
  <c r="AW36" i="1"/>
  <c r="AV36" i="1"/>
  <c r="AU36" i="1"/>
  <c r="AT36" i="1"/>
  <c r="AS36" i="1"/>
  <c r="AW35" i="1"/>
  <c r="AV35" i="1"/>
  <c r="AU35" i="1"/>
  <c r="AT35" i="1"/>
  <c r="AS35" i="1"/>
  <c r="AW34" i="1"/>
  <c r="AV34" i="1"/>
  <c r="AU34" i="1"/>
  <c r="AT34" i="1"/>
  <c r="AS34" i="1"/>
  <c r="AW33" i="1"/>
  <c r="AV33" i="1"/>
  <c r="AU33" i="1"/>
  <c r="AT33" i="1"/>
  <c r="AS33" i="1"/>
  <c r="AW32" i="1"/>
  <c r="AV32" i="1"/>
  <c r="AU32" i="1"/>
  <c r="AT32" i="1"/>
  <c r="AS32" i="1"/>
  <c r="AP37" i="1"/>
  <c r="AO37" i="1"/>
  <c r="AN37" i="1"/>
  <c r="AM37" i="1"/>
  <c r="AL37" i="1"/>
  <c r="AP36" i="1"/>
  <c r="AO36" i="1"/>
  <c r="AN36" i="1"/>
  <c r="AM36" i="1"/>
  <c r="AL36" i="1"/>
  <c r="AP35" i="1"/>
  <c r="AO35" i="1"/>
  <c r="AN35" i="1"/>
  <c r="AM35" i="1"/>
  <c r="AL35" i="1"/>
  <c r="AP34" i="1"/>
  <c r="AO34" i="1"/>
  <c r="AN34" i="1"/>
  <c r="AM34" i="1"/>
  <c r="AL34" i="1"/>
  <c r="AP33" i="1"/>
  <c r="AO33" i="1"/>
  <c r="AN33" i="1"/>
  <c r="AM33" i="1"/>
  <c r="AL33" i="1"/>
  <c r="AP32" i="1"/>
  <c r="AO32" i="1"/>
  <c r="AN32" i="1"/>
  <c r="AM32" i="1"/>
  <c r="AL32" i="1"/>
  <c r="AI37" i="1"/>
  <c r="AH37" i="1"/>
  <c r="AG37" i="1"/>
  <c r="AF37" i="1"/>
  <c r="AE37" i="1"/>
  <c r="AI36" i="1"/>
  <c r="AH36" i="1"/>
  <c r="AG36" i="1"/>
  <c r="AF36" i="1"/>
  <c r="AE36" i="1"/>
  <c r="AI35" i="1"/>
  <c r="AH35" i="1"/>
  <c r="AG35" i="1"/>
  <c r="AF35" i="1"/>
  <c r="AE35" i="1"/>
  <c r="AI34" i="1"/>
  <c r="AH34" i="1"/>
  <c r="AG34" i="1"/>
  <c r="AF34" i="1"/>
  <c r="AE34" i="1"/>
  <c r="AI33" i="1"/>
  <c r="AH33" i="1"/>
  <c r="AG33" i="1"/>
  <c r="AF33" i="1"/>
  <c r="AE33" i="1"/>
  <c r="AI32" i="1"/>
  <c r="AH32" i="1"/>
  <c r="AG32" i="1"/>
  <c r="AF32" i="1"/>
  <c r="AE32" i="1"/>
  <c r="AB37" i="1"/>
  <c r="AA37" i="1"/>
  <c r="Z37" i="1"/>
  <c r="Y37" i="1"/>
  <c r="X37" i="1"/>
  <c r="AB36" i="1"/>
  <c r="AA36" i="1"/>
  <c r="Z36" i="1"/>
  <c r="Y36" i="1"/>
  <c r="X36" i="1"/>
  <c r="AB35" i="1"/>
  <c r="AA35" i="1"/>
  <c r="Z35" i="1"/>
  <c r="Y35" i="1"/>
  <c r="X35" i="1"/>
  <c r="AB34" i="1"/>
  <c r="AA34" i="1"/>
  <c r="Z34" i="1"/>
  <c r="Y34" i="1"/>
  <c r="X34" i="1"/>
  <c r="AB33" i="1"/>
  <c r="AA33" i="1"/>
  <c r="Z33" i="1"/>
  <c r="Y33" i="1"/>
  <c r="X33" i="1"/>
  <c r="AB32" i="1"/>
  <c r="AA32" i="1"/>
  <c r="Z32" i="1"/>
  <c r="Y32" i="1"/>
  <c r="X32" i="1"/>
  <c r="U37" i="1"/>
  <c r="T37" i="1"/>
  <c r="S37" i="1"/>
  <c r="R37" i="1"/>
  <c r="Q37" i="1"/>
  <c r="U36" i="1"/>
  <c r="T36" i="1"/>
  <c r="S36" i="1"/>
  <c r="R36" i="1"/>
  <c r="Q36" i="1"/>
  <c r="U35" i="1"/>
  <c r="T35" i="1"/>
  <c r="S35" i="1"/>
  <c r="R35" i="1"/>
  <c r="Q35" i="1"/>
  <c r="U34" i="1"/>
  <c r="T34" i="1"/>
  <c r="S34" i="1"/>
  <c r="R34" i="1"/>
  <c r="Q34" i="1"/>
  <c r="U33" i="1"/>
  <c r="T33" i="1"/>
  <c r="S33" i="1"/>
  <c r="R33" i="1"/>
  <c r="Q33" i="1"/>
  <c r="U32" i="1"/>
  <c r="T32" i="1"/>
  <c r="S32" i="1"/>
  <c r="R32" i="1"/>
  <c r="Q32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J32" i="1"/>
  <c r="J37" i="1"/>
  <c r="J36" i="1"/>
  <c r="J35" i="1"/>
  <c r="J34" i="1"/>
  <c r="J33" i="1"/>
  <c r="G37" i="1"/>
  <c r="G36" i="1"/>
  <c r="G35" i="1"/>
  <c r="G34" i="1"/>
  <c r="G33" i="1"/>
  <c r="G32" i="1"/>
  <c r="F37" i="1"/>
  <c r="F36" i="1"/>
  <c r="F35" i="1"/>
  <c r="F34" i="1"/>
  <c r="F33" i="1"/>
  <c r="F32" i="1"/>
  <c r="BN21" i="1"/>
  <c r="BK21" i="1"/>
  <c r="BJ21" i="1"/>
  <c r="BI21" i="1"/>
  <c r="BH21" i="1"/>
  <c r="BG21" i="1"/>
  <c r="BD21" i="1"/>
  <c r="BC21" i="1"/>
  <c r="BB21" i="1"/>
  <c r="BA21" i="1"/>
  <c r="AZ21" i="1"/>
  <c r="AW21" i="1"/>
  <c r="AV21" i="1"/>
  <c r="AU21" i="1"/>
  <c r="AT21" i="1"/>
  <c r="AS21" i="1"/>
  <c r="AP21" i="1"/>
  <c r="AO21" i="1"/>
  <c r="AN21" i="1"/>
  <c r="AM21" i="1"/>
  <c r="AL21" i="1"/>
  <c r="AI21" i="1"/>
  <c r="AH21" i="1"/>
  <c r="AG21" i="1"/>
  <c r="AF21" i="1"/>
  <c r="AE21" i="1"/>
  <c r="U21" i="1"/>
  <c r="T21" i="1"/>
  <c r="S21" i="1"/>
  <c r="R21" i="1"/>
  <c r="Q21" i="1"/>
  <c r="AB21" i="1"/>
  <c r="AA21" i="1"/>
  <c r="Z21" i="1"/>
  <c r="Y21" i="1"/>
  <c r="X21" i="1"/>
  <c r="N21" i="1"/>
  <c r="M21" i="1"/>
  <c r="L21" i="1"/>
  <c r="K21" i="1"/>
  <c r="J21" i="1"/>
  <c r="G21" i="1"/>
  <c r="F21" i="1"/>
  <c r="BP12" i="1"/>
  <c r="BP11" i="1"/>
  <c r="BP10" i="1"/>
  <c r="BP9" i="1"/>
  <c r="BP8" i="1"/>
  <c r="BP7" i="1"/>
  <c r="BP6" i="1"/>
  <c r="BP5" i="1"/>
  <c r="BP4" i="1"/>
  <c r="BP3" i="1"/>
  <c r="BP2" i="1"/>
  <c r="BN20" i="1"/>
  <c r="BN19" i="1"/>
  <c r="BN18" i="1"/>
  <c r="BN17" i="1"/>
  <c r="BN16" i="1"/>
  <c r="BN15" i="1"/>
  <c r="BK20" i="1"/>
  <c r="BJ20" i="1"/>
  <c r="BI20" i="1"/>
  <c r="BH20" i="1"/>
  <c r="BG20" i="1"/>
  <c r="BK19" i="1"/>
  <c r="BJ19" i="1"/>
  <c r="BI19" i="1"/>
  <c r="BH19" i="1"/>
  <c r="BG19" i="1"/>
  <c r="BK18" i="1"/>
  <c r="BJ18" i="1"/>
  <c r="BI18" i="1"/>
  <c r="BH18" i="1"/>
  <c r="BG18" i="1"/>
  <c r="BK17" i="1"/>
  <c r="BJ17" i="1"/>
  <c r="BI17" i="1"/>
  <c r="BH17" i="1"/>
  <c r="BG17" i="1"/>
  <c r="BK16" i="1"/>
  <c r="BJ16" i="1"/>
  <c r="BI16" i="1"/>
  <c r="BH16" i="1"/>
  <c r="BG16" i="1"/>
  <c r="BK15" i="1"/>
  <c r="BJ15" i="1"/>
  <c r="BI15" i="1"/>
  <c r="BH15" i="1"/>
  <c r="BG15" i="1"/>
  <c r="BD20" i="1"/>
  <c r="BC20" i="1"/>
  <c r="BB20" i="1"/>
  <c r="BA20" i="1"/>
  <c r="AZ20" i="1"/>
  <c r="BD19" i="1"/>
  <c r="BC19" i="1"/>
  <c r="BB19" i="1"/>
  <c r="BA19" i="1"/>
  <c r="AZ19" i="1"/>
  <c r="BD18" i="1"/>
  <c r="BC18" i="1"/>
  <c r="BB18" i="1"/>
  <c r="BA18" i="1"/>
  <c r="AZ18" i="1"/>
  <c r="BD17" i="1"/>
  <c r="BC17" i="1"/>
  <c r="BB17" i="1"/>
  <c r="BA17" i="1"/>
  <c r="AZ17" i="1"/>
  <c r="BD16" i="1"/>
  <c r="BC16" i="1"/>
  <c r="BB16" i="1"/>
  <c r="BA16" i="1"/>
  <c r="AZ16" i="1"/>
  <c r="BD15" i="1"/>
  <c r="BC15" i="1"/>
  <c r="BB15" i="1"/>
  <c r="BA15" i="1"/>
  <c r="AZ15" i="1"/>
  <c r="AW20" i="1"/>
  <c r="AV20" i="1"/>
  <c r="AU20" i="1"/>
  <c r="AT20" i="1"/>
  <c r="AS20" i="1"/>
  <c r="AW19" i="1"/>
  <c r="AV19" i="1"/>
  <c r="AU19" i="1"/>
  <c r="AT19" i="1"/>
  <c r="AS19" i="1"/>
  <c r="AW18" i="1"/>
  <c r="AV18" i="1"/>
  <c r="AU18" i="1"/>
  <c r="AT18" i="1"/>
  <c r="AS18" i="1"/>
  <c r="AW17" i="1"/>
  <c r="AV17" i="1"/>
  <c r="AU17" i="1"/>
  <c r="AT17" i="1"/>
  <c r="AS17" i="1"/>
  <c r="AW16" i="1"/>
  <c r="AV16" i="1"/>
  <c r="AU16" i="1"/>
  <c r="AT16" i="1"/>
  <c r="AS16" i="1"/>
  <c r="AW15" i="1"/>
  <c r="AV15" i="1"/>
  <c r="AU15" i="1"/>
  <c r="AT15" i="1"/>
  <c r="AS15" i="1"/>
  <c r="AP20" i="1"/>
  <c r="AO20" i="1"/>
  <c r="AN20" i="1"/>
  <c r="AM20" i="1"/>
  <c r="AL20" i="1"/>
  <c r="AP19" i="1"/>
  <c r="AO19" i="1"/>
  <c r="AN19" i="1"/>
  <c r="AM19" i="1"/>
  <c r="AL19" i="1"/>
  <c r="AP18" i="1"/>
  <c r="AO18" i="1"/>
  <c r="AN18" i="1"/>
  <c r="AM18" i="1"/>
  <c r="AL18" i="1"/>
  <c r="AP17" i="1"/>
  <c r="AO17" i="1"/>
  <c r="AN17" i="1"/>
  <c r="AM17" i="1"/>
  <c r="AL17" i="1"/>
  <c r="AP16" i="1"/>
  <c r="AO16" i="1"/>
  <c r="AN16" i="1"/>
  <c r="AM16" i="1"/>
  <c r="AL16" i="1"/>
  <c r="AP15" i="1"/>
  <c r="AO15" i="1"/>
  <c r="AN15" i="1"/>
  <c r="AM15" i="1"/>
  <c r="AL15" i="1"/>
  <c r="AI20" i="1"/>
  <c r="AH20" i="1"/>
  <c r="AG20" i="1"/>
  <c r="AF20" i="1"/>
  <c r="AE20" i="1"/>
  <c r="AI19" i="1"/>
  <c r="AH19" i="1"/>
  <c r="AG19" i="1"/>
  <c r="AF19" i="1"/>
  <c r="AE19" i="1"/>
  <c r="AI18" i="1"/>
  <c r="AH18" i="1"/>
  <c r="AG18" i="1"/>
  <c r="AF18" i="1"/>
  <c r="AE18" i="1"/>
  <c r="AI17" i="1"/>
  <c r="AH17" i="1"/>
  <c r="AG17" i="1"/>
  <c r="AF17" i="1"/>
  <c r="AE17" i="1"/>
  <c r="AI16" i="1"/>
  <c r="AH16" i="1"/>
  <c r="AG16" i="1"/>
  <c r="AF16" i="1"/>
  <c r="AE16" i="1"/>
  <c r="AI15" i="1"/>
  <c r="AH15" i="1"/>
  <c r="AG15" i="1"/>
  <c r="AF15" i="1"/>
  <c r="AE15" i="1"/>
  <c r="AB20" i="1"/>
  <c r="AA20" i="1"/>
  <c r="Z20" i="1"/>
  <c r="Y20" i="1"/>
  <c r="X20" i="1"/>
  <c r="AB19" i="1"/>
  <c r="AA19" i="1"/>
  <c r="Z19" i="1"/>
  <c r="Y19" i="1"/>
  <c r="X19" i="1"/>
  <c r="AB18" i="1"/>
  <c r="AA18" i="1"/>
  <c r="Z18" i="1"/>
  <c r="Y18" i="1"/>
  <c r="X18" i="1"/>
  <c r="AB17" i="1"/>
  <c r="AA17" i="1"/>
  <c r="Z17" i="1"/>
  <c r="Y17" i="1"/>
  <c r="X17" i="1"/>
  <c r="AB16" i="1"/>
  <c r="AA16" i="1"/>
  <c r="Z16" i="1"/>
  <c r="Y16" i="1"/>
  <c r="X16" i="1"/>
  <c r="AB15" i="1"/>
  <c r="AA15" i="1"/>
  <c r="Z15" i="1"/>
  <c r="Y15" i="1"/>
  <c r="X15" i="1"/>
  <c r="U20" i="1"/>
  <c r="T20" i="1"/>
  <c r="S20" i="1"/>
  <c r="R20" i="1"/>
  <c r="Q20" i="1"/>
  <c r="U19" i="1"/>
  <c r="T19" i="1"/>
  <c r="S19" i="1"/>
  <c r="R19" i="1"/>
  <c r="Q19" i="1"/>
  <c r="U18" i="1"/>
  <c r="T18" i="1"/>
  <c r="S18" i="1"/>
  <c r="R18" i="1"/>
  <c r="Q18" i="1"/>
  <c r="U17" i="1"/>
  <c r="T17" i="1"/>
  <c r="S17" i="1"/>
  <c r="R17" i="1"/>
  <c r="Q17" i="1"/>
  <c r="U16" i="1"/>
  <c r="T16" i="1"/>
  <c r="S16" i="1"/>
  <c r="R16" i="1"/>
  <c r="Q16" i="1"/>
  <c r="U15" i="1"/>
  <c r="T15" i="1"/>
  <c r="S15" i="1"/>
  <c r="R15" i="1"/>
  <c r="Q15" i="1"/>
  <c r="N20" i="1"/>
  <c r="M20" i="1"/>
  <c r="L20" i="1"/>
  <c r="K20" i="1"/>
  <c r="J20" i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G20" i="1"/>
  <c r="F20" i="1"/>
  <c r="G19" i="1"/>
  <c r="F19" i="1"/>
  <c r="G18" i="1"/>
  <c r="F18" i="1"/>
  <c r="G17" i="1"/>
  <c r="F17" i="1"/>
  <c r="G16" i="1"/>
  <c r="F16" i="1"/>
  <c r="G15" i="1"/>
  <c r="F15" i="1"/>
  <c r="BN30" i="1"/>
  <c r="BK30" i="1"/>
  <c r="BJ30" i="1"/>
  <c r="BI30" i="1"/>
  <c r="BH30" i="1"/>
  <c r="BG30" i="1"/>
  <c r="BD30" i="1"/>
  <c r="BC30" i="1"/>
  <c r="BB30" i="1"/>
  <c r="BA30" i="1"/>
  <c r="AZ30" i="1"/>
  <c r="AW30" i="1"/>
  <c r="AV30" i="1"/>
  <c r="AU30" i="1"/>
  <c r="AT30" i="1"/>
  <c r="AS30" i="1"/>
  <c r="AP30" i="1"/>
  <c r="AO30" i="1"/>
  <c r="AN30" i="1"/>
  <c r="AM30" i="1"/>
  <c r="AL30" i="1"/>
  <c r="AI30" i="1"/>
  <c r="AH30" i="1"/>
  <c r="AG30" i="1"/>
  <c r="AF30" i="1"/>
  <c r="AE30" i="1"/>
  <c r="AB30" i="1"/>
  <c r="AA30" i="1"/>
  <c r="Z30" i="1"/>
  <c r="Y30" i="1"/>
  <c r="X30" i="1"/>
  <c r="U30" i="1"/>
  <c r="T30" i="1"/>
  <c r="S30" i="1"/>
  <c r="R30" i="1"/>
  <c r="Q30" i="1"/>
  <c r="N30" i="1"/>
  <c r="M30" i="1"/>
  <c r="L30" i="1"/>
  <c r="K30" i="1"/>
  <c r="J30" i="1"/>
  <c r="G30" i="1"/>
  <c r="F30" i="1"/>
  <c r="BN29" i="1"/>
  <c r="BK29" i="1"/>
  <c r="BJ29" i="1"/>
  <c r="BI29" i="1"/>
  <c r="BH29" i="1"/>
  <c r="BG29" i="1"/>
  <c r="BD29" i="1"/>
  <c r="BC29" i="1"/>
  <c r="BB29" i="1"/>
  <c r="BA29" i="1"/>
  <c r="AZ29" i="1"/>
  <c r="AW29" i="1"/>
  <c r="AV29" i="1"/>
  <c r="AU29" i="1"/>
  <c r="AT29" i="1"/>
  <c r="AS29" i="1"/>
  <c r="AP29" i="1"/>
  <c r="AO29" i="1"/>
  <c r="AN29" i="1"/>
  <c r="AM29" i="1"/>
  <c r="AL29" i="1"/>
  <c r="AI29" i="1"/>
  <c r="AH29" i="1"/>
  <c r="AG29" i="1"/>
  <c r="AF29" i="1"/>
  <c r="AE29" i="1"/>
  <c r="AB29" i="1"/>
  <c r="AA29" i="1"/>
  <c r="Z29" i="1"/>
  <c r="Y29" i="1"/>
  <c r="X29" i="1"/>
  <c r="U29" i="1"/>
  <c r="T29" i="1"/>
  <c r="S29" i="1"/>
  <c r="R29" i="1"/>
  <c r="Q29" i="1"/>
  <c r="N29" i="1"/>
  <c r="M29" i="1"/>
  <c r="L29" i="1"/>
  <c r="K29" i="1"/>
  <c r="J29" i="1"/>
  <c r="G29" i="1"/>
  <c r="F29" i="1"/>
  <c r="BN28" i="1"/>
  <c r="BK28" i="1"/>
  <c r="BJ28" i="1"/>
  <c r="BI28" i="1"/>
  <c r="BH28" i="1"/>
  <c r="BG28" i="1"/>
  <c r="BD28" i="1"/>
  <c r="BC28" i="1"/>
  <c r="BB28" i="1"/>
  <c r="BA28" i="1"/>
  <c r="AZ28" i="1"/>
  <c r="AW28" i="1"/>
  <c r="AV28" i="1"/>
  <c r="AU28" i="1"/>
  <c r="AT28" i="1"/>
  <c r="AS28" i="1"/>
  <c r="AP28" i="1"/>
  <c r="AO28" i="1"/>
  <c r="AN28" i="1"/>
  <c r="AM28" i="1"/>
  <c r="AL28" i="1"/>
  <c r="AI28" i="1"/>
  <c r="AH28" i="1"/>
  <c r="AG28" i="1"/>
  <c r="AF28" i="1"/>
  <c r="AE28" i="1"/>
  <c r="AB28" i="1"/>
  <c r="AA28" i="1"/>
  <c r="Z28" i="1"/>
  <c r="Y28" i="1"/>
  <c r="X28" i="1"/>
  <c r="U28" i="1"/>
  <c r="T28" i="1"/>
  <c r="S28" i="1"/>
  <c r="R28" i="1"/>
  <c r="Q28" i="1"/>
  <c r="N28" i="1"/>
  <c r="M28" i="1"/>
  <c r="L28" i="1"/>
  <c r="K28" i="1"/>
  <c r="J28" i="1"/>
  <c r="G28" i="1"/>
  <c r="F28" i="1"/>
  <c r="BN27" i="1"/>
  <c r="BK27" i="1"/>
  <c r="BJ27" i="1"/>
  <c r="BI27" i="1"/>
  <c r="BH27" i="1"/>
  <c r="BG27" i="1"/>
  <c r="BD27" i="1"/>
  <c r="BC27" i="1"/>
  <c r="BB27" i="1"/>
  <c r="BA27" i="1"/>
  <c r="AZ27" i="1"/>
  <c r="AW27" i="1"/>
  <c r="AV27" i="1"/>
  <c r="AU27" i="1"/>
  <c r="AT27" i="1"/>
  <c r="AS27" i="1"/>
  <c r="AP27" i="1"/>
  <c r="AO27" i="1"/>
  <c r="AN27" i="1"/>
  <c r="AM27" i="1"/>
  <c r="AL27" i="1"/>
  <c r="AI27" i="1"/>
  <c r="AH27" i="1"/>
  <c r="AG27" i="1"/>
  <c r="AF27" i="1"/>
  <c r="AE27" i="1"/>
  <c r="AB27" i="1"/>
  <c r="AA27" i="1"/>
  <c r="Z27" i="1"/>
  <c r="Y27" i="1"/>
  <c r="X27" i="1"/>
  <c r="U27" i="1"/>
  <c r="T27" i="1"/>
  <c r="S27" i="1"/>
  <c r="R27" i="1"/>
  <c r="Q27" i="1"/>
  <c r="N27" i="1"/>
  <c r="M27" i="1"/>
  <c r="L27" i="1"/>
  <c r="K27" i="1"/>
  <c r="J27" i="1"/>
  <c r="G27" i="1"/>
  <c r="F27" i="1"/>
  <c r="BN26" i="1"/>
  <c r="BK26" i="1"/>
  <c r="BJ26" i="1"/>
  <c r="BI26" i="1"/>
  <c r="BH26" i="1"/>
  <c r="BG26" i="1"/>
  <c r="BD26" i="1"/>
  <c r="BC26" i="1"/>
  <c r="BB26" i="1"/>
  <c r="BA26" i="1"/>
  <c r="AZ26" i="1"/>
  <c r="AW26" i="1"/>
  <c r="AV26" i="1"/>
  <c r="AU26" i="1"/>
  <c r="AT26" i="1"/>
  <c r="AS26" i="1"/>
  <c r="AP26" i="1"/>
  <c r="AO26" i="1"/>
  <c r="AN26" i="1"/>
  <c r="AM26" i="1"/>
  <c r="AL26" i="1"/>
  <c r="AI26" i="1"/>
  <c r="AH26" i="1"/>
  <c r="AG26" i="1"/>
  <c r="AF26" i="1"/>
  <c r="AE26" i="1"/>
  <c r="AB26" i="1"/>
  <c r="AA26" i="1"/>
  <c r="Z26" i="1"/>
  <c r="Y26" i="1"/>
  <c r="X26" i="1"/>
  <c r="U26" i="1"/>
  <c r="T26" i="1"/>
  <c r="S26" i="1"/>
  <c r="R26" i="1"/>
  <c r="Q26" i="1"/>
  <c r="N26" i="1"/>
  <c r="M26" i="1"/>
  <c r="L26" i="1"/>
  <c r="K26" i="1"/>
  <c r="J26" i="1"/>
  <c r="G26" i="1"/>
  <c r="F26" i="1"/>
  <c r="BN25" i="1"/>
  <c r="BK25" i="1"/>
  <c r="BJ25" i="1"/>
  <c r="BI25" i="1"/>
  <c r="BH25" i="1"/>
  <c r="BG25" i="1"/>
  <c r="BD25" i="1"/>
  <c r="BC25" i="1"/>
  <c r="BB25" i="1"/>
  <c r="BA25" i="1"/>
  <c r="AZ25" i="1"/>
  <c r="AW25" i="1"/>
  <c r="AV25" i="1"/>
  <c r="AU25" i="1"/>
  <c r="AT25" i="1"/>
  <c r="AS25" i="1"/>
  <c r="AP25" i="1"/>
  <c r="AO25" i="1"/>
  <c r="AN25" i="1"/>
  <c r="AM25" i="1"/>
  <c r="AL25" i="1"/>
  <c r="AI25" i="1"/>
  <c r="AH25" i="1"/>
  <c r="AG25" i="1"/>
  <c r="AF25" i="1"/>
  <c r="AE25" i="1"/>
  <c r="AB25" i="1"/>
  <c r="AA25" i="1"/>
  <c r="Z25" i="1"/>
  <c r="Y25" i="1"/>
  <c r="X25" i="1"/>
  <c r="U25" i="1"/>
  <c r="T25" i="1"/>
  <c r="S25" i="1"/>
  <c r="R25" i="1"/>
  <c r="Q25" i="1"/>
  <c r="N25" i="1"/>
  <c r="M25" i="1"/>
  <c r="L25" i="1"/>
  <c r="K25" i="1"/>
  <c r="J25" i="1"/>
  <c r="G25" i="1"/>
  <c r="F25" i="1"/>
  <c r="BN24" i="1"/>
  <c r="BK24" i="1"/>
  <c r="BJ24" i="1"/>
  <c r="BI24" i="1"/>
  <c r="BH24" i="1"/>
  <c r="BG24" i="1"/>
  <c r="BD24" i="1"/>
  <c r="BC24" i="1"/>
  <c r="BB24" i="1"/>
  <c r="BA24" i="1"/>
  <c r="AZ24" i="1"/>
  <c r="AW24" i="1"/>
  <c r="AV24" i="1"/>
  <c r="AU24" i="1"/>
  <c r="AT24" i="1"/>
  <c r="AS24" i="1"/>
  <c r="AP24" i="1"/>
  <c r="AO24" i="1"/>
  <c r="AN24" i="1"/>
  <c r="AM24" i="1"/>
  <c r="AL24" i="1"/>
  <c r="AI24" i="1"/>
  <c r="AH24" i="1"/>
  <c r="AG24" i="1"/>
  <c r="AF24" i="1"/>
  <c r="AE24" i="1"/>
  <c r="AB24" i="1"/>
  <c r="AA24" i="1"/>
  <c r="Z24" i="1"/>
  <c r="Y24" i="1"/>
  <c r="X24" i="1"/>
  <c r="U24" i="1"/>
  <c r="T24" i="1"/>
  <c r="S24" i="1"/>
  <c r="R24" i="1"/>
  <c r="Q24" i="1"/>
  <c r="N24" i="1"/>
  <c r="M24" i="1"/>
  <c r="L24" i="1"/>
  <c r="K24" i="1"/>
  <c r="J24" i="1"/>
  <c r="G24" i="1"/>
  <c r="F24" i="1"/>
  <c r="BN23" i="1"/>
  <c r="BK23" i="1"/>
  <c r="BJ23" i="1"/>
  <c r="BI23" i="1"/>
  <c r="BH23" i="1"/>
  <c r="BG23" i="1"/>
  <c r="BD23" i="1"/>
  <c r="BC23" i="1"/>
  <c r="BB23" i="1"/>
  <c r="BA23" i="1"/>
  <c r="AZ23" i="1"/>
  <c r="AW23" i="1"/>
  <c r="AV23" i="1"/>
  <c r="AU23" i="1"/>
  <c r="AT23" i="1"/>
  <c r="AS23" i="1"/>
  <c r="AP23" i="1"/>
  <c r="AO23" i="1"/>
  <c r="AN23" i="1"/>
  <c r="AM23" i="1"/>
  <c r="AL23" i="1"/>
  <c r="AI23" i="1"/>
  <c r="AH23" i="1"/>
  <c r="AG23" i="1"/>
  <c r="AF23" i="1"/>
  <c r="AE23" i="1"/>
  <c r="AB23" i="1"/>
  <c r="AA23" i="1"/>
  <c r="Z23" i="1"/>
  <c r="Y23" i="1"/>
  <c r="X23" i="1"/>
  <c r="U23" i="1"/>
  <c r="T23" i="1"/>
  <c r="S23" i="1"/>
  <c r="R23" i="1"/>
  <c r="Q23" i="1"/>
  <c r="N23" i="1"/>
  <c r="M23" i="1"/>
  <c r="L23" i="1"/>
  <c r="K23" i="1"/>
  <c r="J23" i="1"/>
  <c r="G23" i="1"/>
  <c r="F23" i="1"/>
  <c r="BQ12" i="1"/>
  <c r="BQ11" i="1"/>
  <c r="BQ10" i="1"/>
  <c r="BQ9" i="1"/>
  <c r="BQ8" i="1"/>
  <c r="BQ7" i="1"/>
  <c r="BQ6" i="1"/>
  <c r="BQ5" i="1"/>
  <c r="BQ4" i="1"/>
  <c r="BQ3" i="1"/>
  <c r="BQ2" i="1"/>
</calcChain>
</file>

<file path=xl/sharedStrings.xml><?xml version="1.0" encoding="utf-8"?>
<sst xmlns="http://schemas.openxmlformats.org/spreadsheetml/2006/main" count="781" uniqueCount="38">
  <si>
    <t>Staff</t>
  </si>
  <si>
    <t>Alpha</t>
  </si>
  <si>
    <t>post_call_cover</t>
  </si>
  <si>
    <t>Bravo</t>
  </si>
  <si>
    <t>Charlie</t>
  </si>
  <si>
    <t>Delta</t>
  </si>
  <si>
    <t>Echo</t>
  </si>
  <si>
    <t>Foxtrot</t>
  </si>
  <si>
    <t>Golf</t>
  </si>
  <si>
    <t>Hotel</t>
  </si>
  <si>
    <t>India</t>
  </si>
  <si>
    <t>Juliet</t>
  </si>
  <si>
    <t>Kilo</t>
  </si>
  <si>
    <t>leave</t>
  </si>
  <si>
    <t>Team</t>
  </si>
  <si>
    <t>Requirement</t>
  </si>
  <si>
    <t>Total Calls</t>
  </si>
  <si>
    <t>Total Leaves</t>
  </si>
  <si>
    <t>Leave per team</t>
  </si>
  <si>
    <t>Priority</t>
  </si>
  <si>
    <t>go</t>
  </si>
  <si>
    <t>subobs</t>
  </si>
  <si>
    <t>bg</t>
  </si>
  <si>
    <t>9ab</t>
  </si>
  <si>
    <t>ds</t>
  </si>
  <si>
    <t>b1</t>
  </si>
  <si>
    <t>bg (call)</t>
  </si>
  <si>
    <t xml:space="preserve"> (call)</t>
  </si>
  <si>
    <t>ds (call)</t>
  </si>
  <si>
    <t>9ab (call)</t>
  </si>
  <si>
    <t>subobs (call)</t>
  </si>
  <si>
    <t>go (call)</t>
  </si>
  <si>
    <t>b1 (call)</t>
  </si>
  <si>
    <t xml:space="preserve">Req </t>
  </si>
  <si>
    <t>Sacrificability</t>
  </si>
  <si>
    <t>ps_cover</t>
  </si>
  <si>
    <t>Calls per team</t>
  </si>
  <si>
    <t>ps_cover (call)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</si>
</sst>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theme="1" tint="0.49998474074526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4" borderId="0" xfId="0" applyFill="1"/>
    <xf numFmtId="0" fontId="18" fillId="33" borderId="0" xfId="0" applyFont="1" applyFill="1"/>
    <xf numFmtId="0" fontId="19" fillId="33" borderId="0" xfId="0" applyFont="1" applyFill="1"/>
    <xf numFmtId="0" fontId="0" fillId="0" borderId="0" xfId="0" applyAlignment="1"/>
    <xf numFmtId="0" fontId="0" fillId="34" borderId="0" xfId="0" applyFill="1" applyAlignment="1"/>
    <xf numFmtId="0" fontId="19" fillId="34" borderId="0" xfId="0" applyFont="1" applyFill="1"/>
    <xf numFmtId="0" fontId="0" fillId="34" borderId="0" xfId="0" applyFill="1" applyAlignment="1">
      <alignment horizontal="right"/>
    </xf>
    <xf numFmtId="0" fontId="19" fillId="34" borderId="0" xfId="0" applyFont="1" applyFill="1" applyAlignment="1">
      <alignment horizontal="right"/>
    </xf>
    <xf numFmtId="0" fontId="17" fillId="34" borderId="0" xfId="0" applyFont="1" applyFill="1"/>
    <xf numFmtId="0" fontId="18" fillId="34" borderId="0" xfId="0" applyFont="1" applyFill="1"/>
    <xf numFmtId="0" fontId="17" fillId="33" borderId="0" xfId="0" applyFont="1" applyFill="1" applyAlignment="1">
      <alignment horizontal="left"/>
    </xf>
    <xf numFmtId="14" fontId="17" fillId="33" borderId="0" xfId="0" applyNumberFormat="1" applyFont="1" applyFill="1" applyAlignment="1">
      <alignment horizontal="left"/>
    </xf>
    <xf numFmtId="0" fontId="0" fillId="34" borderId="0" xfId="0" applyFill="1" applyAlignment="1">
      <alignment horizontal="left"/>
    </xf>
    <xf numFmtId="0" fontId="19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0" fillId="34" borderId="0" xfId="0" applyFont="1" applyFill="1"/>
    <xf numFmtId="0" fontId="20" fillId="34" borderId="0" xfId="0" applyFont="1" applyFill="1" applyAlignment="1">
      <alignment horizontal="right"/>
    </xf>
    <xf numFmtId="0" fontId="20" fillId="34" borderId="0" xfId="0" applyFont="1" applyFill="1" applyAlignment="1">
      <alignment horizontal="left"/>
    </xf>
    <xf numFmtId="0" fontId="17" fillId="35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925"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24994659260841701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rgb="FFFFC7CE"/>
        </patternFill>
      </fill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8" tint="-0.499984740745262"/>
      </font>
    </dxf>
    <dxf>
      <font>
        <color theme="0" tint="-0.24994659260841701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8" tint="-0.499984740745262"/>
      </font>
    </dxf>
    <dxf>
      <font>
        <color theme="0" tint="-0.34998626667073579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8" tint="-0.499984740745262"/>
      </font>
    </dxf>
    <dxf>
      <font>
        <color rgb="FF00B0F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7030A0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5" tint="-0.499984740745262"/>
      </font>
    </dxf>
    <dxf>
      <font>
        <color rgb="FF7030A0"/>
      </font>
    </dxf>
    <dxf>
      <font>
        <b val="0"/>
        <i val="0"/>
        <color theme="6" tint="0.39994506668294322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color rgb="FF00206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5" tint="-0.499984740745262"/>
      </font>
    </dxf>
    <dxf>
      <font>
        <color rgb="FF7030A0"/>
      </font>
    </dxf>
    <dxf>
      <font>
        <b val="0"/>
        <i val="0"/>
        <color theme="6" tint="0.59996337778862885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color rgb="FF00206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5" tint="-0.499984740745262"/>
      </font>
    </dxf>
    <dxf>
      <font>
        <color rgb="FF7030A0"/>
      </font>
    </dxf>
    <dxf>
      <font>
        <b val="0"/>
        <i val="0"/>
        <color theme="1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color rgb="FF00206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theme="0" tint="-0.24994659260841701"/>
      </font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b val="0"/>
        <i/>
        <color rgb="FF9C0006"/>
      </font>
    </dxf>
    <dxf>
      <font>
        <color rgb="FF002060"/>
      </font>
    </dxf>
    <dxf>
      <font>
        <color theme="5" tint="-0.499984740745262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0" tint="-0.14996795556505021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  <dxf>
      <font>
        <color theme="5" tint="-0.499984740745262"/>
      </font>
    </dxf>
    <dxf>
      <font>
        <color rgb="FF7030A0"/>
      </font>
    </dxf>
    <dxf>
      <font>
        <b val="0"/>
        <i val="0"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color rgb="FF002060"/>
      </font>
    </dxf>
    <dxf>
      <fill>
        <patternFill>
          <bgColor theme="0" tint="-0.49998474074526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0070C0"/>
      </font>
    </dxf>
    <dxf>
      <font>
        <b val="0"/>
        <i/>
        <color theme="0" tint="-0.24994659260841701"/>
      </font>
    </dxf>
    <dxf>
      <font>
        <color rgb="FF7030A0"/>
      </font>
    </dxf>
  </dxfs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953D-5EB7-714B-A961-32CE5CEA684C}">
  <dimension ref="A1:BQ37"/>
  <sheetViews>
    <sheetView tabSelected="1" zoomScale="157" workbookViewId="0">
      <selection activeCell="I11" sqref="I11"/>
    </sheetView>
  </sheetViews>
  <sheetFormatPr baseColWidth="10" defaultRowHeight="16" x14ac:dyDescent="0.2"/>
  <cols>
    <col min="1" max="1" width="8.83203125" customWidth="1"/>
    <col min="2" max="2" width="6.6640625" customWidth="1"/>
    <col min="3" max="3" width="13.1640625" customWidth="1"/>
    <col min="4" max="5" width="8.83203125" style="1" customWidth="1"/>
    <col min="6" max="7" width="8.83203125" customWidth="1"/>
    <col min="8" max="9" width="8.83203125" style="1" customWidth="1"/>
    <col min="10" max="14" width="8.83203125" customWidth="1"/>
    <col min="15" max="16" width="8.83203125" style="1" customWidth="1"/>
    <col min="17" max="21" width="8.83203125" customWidth="1"/>
    <col min="22" max="23" width="8.83203125" style="1" customWidth="1"/>
    <col min="24" max="28" width="8.83203125" customWidth="1"/>
    <col min="29" max="30" width="8.83203125" style="1" customWidth="1"/>
    <col min="31" max="35" width="8.83203125" customWidth="1"/>
    <col min="36" max="37" width="8.83203125" style="1" customWidth="1"/>
    <col min="38" max="42" width="8.83203125" customWidth="1"/>
    <col min="43" max="44" width="8.83203125" style="1" customWidth="1"/>
    <col min="45" max="49" width="8.83203125" customWidth="1"/>
    <col min="50" max="51" width="8.83203125" style="1" customWidth="1"/>
    <col min="52" max="56" width="8.83203125" customWidth="1"/>
    <col min="57" max="58" width="8.83203125" style="1" customWidth="1"/>
    <col min="59" max="63" width="8.83203125" customWidth="1"/>
    <col min="64" max="65" width="8.83203125" style="1" customWidth="1"/>
    <col min="66" max="67" width="8.83203125" customWidth="1"/>
    <col min="68" max="69" width="8.83203125" style="15" customWidth="1"/>
  </cols>
  <sheetData>
    <row r="1" spans="1:69" s="11" customFormat="1" x14ac:dyDescent="0.2">
      <c r="E1" s="11" t="s">
        <v>0</v>
      </c>
      <c r="F1" s="12">
        <v>46296</v>
      </c>
      <c r="G1" s="12">
        <v>46297</v>
      </c>
      <c r="H1" s="12">
        <v>46298</v>
      </c>
      <c r="I1" s="12">
        <v>46299</v>
      </c>
      <c r="J1" s="12">
        <v>46300</v>
      </c>
      <c r="K1" s="12">
        <v>46301</v>
      </c>
      <c r="L1" s="12">
        <v>46302</v>
      </c>
      <c r="M1" s="12">
        <v>46303</v>
      </c>
      <c r="N1" s="12">
        <v>46304</v>
      </c>
      <c r="O1" s="12">
        <v>46305</v>
      </c>
      <c r="P1" s="12">
        <v>46306</v>
      </c>
      <c r="Q1" s="12">
        <v>46307</v>
      </c>
      <c r="R1" s="12">
        <v>46308</v>
      </c>
      <c r="S1" s="12">
        <v>46309</v>
      </c>
      <c r="T1" s="12">
        <v>46310</v>
      </c>
      <c r="U1" s="12">
        <v>46311</v>
      </c>
      <c r="V1" s="12">
        <v>46312</v>
      </c>
      <c r="W1" s="12">
        <v>46313</v>
      </c>
      <c r="X1" s="12">
        <v>46314</v>
      </c>
      <c r="Y1" s="12">
        <v>46315</v>
      </c>
      <c r="Z1" s="12">
        <v>46316</v>
      </c>
      <c r="AA1" s="12">
        <v>46317</v>
      </c>
      <c r="AB1" s="12">
        <v>46318</v>
      </c>
      <c r="AC1" s="12">
        <v>46319</v>
      </c>
      <c r="AD1" s="12">
        <v>46320</v>
      </c>
      <c r="AE1" s="12">
        <v>46321</v>
      </c>
      <c r="AF1" s="12">
        <v>46322</v>
      </c>
      <c r="AG1" s="12">
        <v>46323</v>
      </c>
      <c r="AH1" s="12">
        <v>46324</v>
      </c>
      <c r="AI1" s="12">
        <v>46325</v>
      </c>
      <c r="AJ1" s="12">
        <v>46326</v>
      </c>
      <c r="AK1" s="12">
        <v>46327</v>
      </c>
      <c r="AL1" s="12">
        <v>46328</v>
      </c>
      <c r="AM1" s="12">
        <v>46329</v>
      </c>
      <c r="AN1" s="12">
        <v>46330</v>
      </c>
      <c r="AO1" s="12">
        <v>46331</v>
      </c>
      <c r="AP1" s="12">
        <v>46332</v>
      </c>
      <c r="AQ1" s="12">
        <v>46333</v>
      </c>
      <c r="AR1" s="12">
        <v>46334</v>
      </c>
      <c r="AS1" s="12">
        <v>46335</v>
      </c>
      <c r="AT1" s="12">
        <v>46336</v>
      </c>
      <c r="AU1" s="12">
        <v>46337</v>
      </c>
      <c r="AV1" s="12">
        <v>46338</v>
      </c>
      <c r="AW1" s="12">
        <v>46339</v>
      </c>
      <c r="AX1" s="12">
        <v>46340</v>
      </c>
      <c r="AY1" s="12">
        <v>46341</v>
      </c>
      <c r="AZ1" s="12">
        <v>46342</v>
      </c>
      <c r="BA1" s="12">
        <v>46343</v>
      </c>
      <c r="BB1" s="12">
        <v>46344</v>
      </c>
      <c r="BC1" s="12">
        <v>46345</v>
      </c>
      <c r="BD1" s="12">
        <v>46346</v>
      </c>
      <c r="BE1" s="12">
        <v>46347</v>
      </c>
      <c r="BF1" s="12">
        <v>46348</v>
      </c>
      <c r="BG1" s="12">
        <v>46349</v>
      </c>
      <c r="BH1" s="12">
        <v>46350</v>
      </c>
      <c r="BI1" s="12">
        <v>46351</v>
      </c>
      <c r="BJ1" s="12">
        <v>46352</v>
      </c>
      <c r="BK1" s="12">
        <v>46353</v>
      </c>
      <c r="BL1" s="12">
        <v>46354</v>
      </c>
      <c r="BM1" s="12">
        <v>46355</v>
      </c>
      <c r="BN1" s="12">
        <v>46356</v>
      </c>
      <c r="BP1" s="11" t="s">
        <v>16</v>
      </c>
      <c r="BQ1" s="11" t="s">
        <v>17</v>
      </c>
    </row>
    <row r="2" spans="1:69" x14ac:dyDescent="0.2">
      <c r="E2" s="5" t="s">
        <v>1</v>
      </c>
      <c r="F2" s="4" t="s">
        <v>23</v>
      </c>
      <c r="G2" s="4" t="s">
        <v>23</v>
      </c>
      <c r="H2" s="5"/>
      <c r="I2" s="5"/>
      <c r="J2" s="4" t="s">
        <v>20</v>
      </c>
      <c r="K2" s="4" t="s">
        <v>31</v>
      </c>
      <c r="L2" s="4" t="s">
        <v>20</v>
      </c>
      <c r="M2" s="4" t="s">
        <v>20</v>
      </c>
      <c r="N2" s="4" t="s">
        <v>20</v>
      </c>
      <c r="O2" s="5"/>
      <c r="P2" s="5"/>
      <c r="Q2" s="4" t="s">
        <v>13</v>
      </c>
      <c r="R2" s="4" t="s">
        <v>13</v>
      </c>
      <c r="S2" s="4" t="s">
        <v>21</v>
      </c>
      <c r="T2" s="4" t="s">
        <v>21</v>
      </c>
      <c r="U2" s="4" t="s">
        <v>30</v>
      </c>
      <c r="V2" s="5"/>
      <c r="W2" s="5"/>
      <c r="X2" s="4" t="s">
        <v>21</v>
      </c>
      <c r="Y2" s="4" t="s">
        <v>21</v>
      </c>
      <c r="Z2" s="4" t="s">
        <v>13</v>
      </c>
      <c r="AA2" s="4" t="s">
        <v>30</v>
      </c>
      <c r="AB2" s="4" t="s">
        <v>21</v>
      </c>
      <c r="AC2" s="5"/>
      <c r="AD2" s="5" t="s">
        <v>27</v>
      </c>
      <c r="AE2" s="4" t="s">
        <v>22</v>
      </c>
      <c r="AF2" s="4" t="s">
        <v>22</v>
      </c>
      <c r="AG2" s="4" t="s">
        <v>22</v>
      </c>
      <c r="AH2" s="4" t="s">
        <v>22</v>
      </c>
      <c r="AI2" s="4" t="s">
        <v>22</v>
      </c>
      <c r="AJ2" s="5"/>
      <c r="AK2" s="5" t="s">
        <v>27</v>
      </c>
      <c r="AL2" s="4" t="s">
        <v>24</v>
      </c>
      <c r="AM2" s="4" t="s">
        <v>24</v>
      </c>
      <c r="AN2" s="4" t="s">
        <v>24</v>
      </c>
      <c r="AO2" s="4" t="s">
        <v>24</v>
      </c>
      <c r="AP2" s="4" t="s">
        <v>13</v>
      </c>
      <c r="AQ2" s="5"/>
      <c r="AR2" s="5"/>
      <c r="AS2" s="4" t="s">
        <v>23</v>
      </c>
      <c r="AT2" s="4" t="s">
        <v>29</v>
      </c>
      <c r="AU2" s="4" t="s">
        <v>23</v>
      </c>
      <c r="AV2" s="4" t="s">
        <v>13</v>
      </c>
      <c r="AW2" s="4" t="s">
        <v>23</v>
      </c>
      <c r="AX2" s="5"/>
      <c r="AY2" s="5"/>
      <c r="AZ2" s="4" t="s">
        <v>25</v>
      </c>
      <c r="BA2" s="4" t="s">
        <v>25</v>
      </c>
      <c r="BB2" s="4" t="s">
        <v>25</v>
      </c>
      <c r="BC2" s="4" t="s">
        <v>25</v>
      </c>
      <c r="BD2" s="4" t="s">
        <v>25</v>
      </c>
      <c r="BE2" s="5"/>
      <c r="BF2" s="5"/>
      <c r="BG2" s="4" t="s">
        <v>35</v>
      </c>
      <c r="BH2" s="4" t="s">
        <v>35</v>
      </c>
      <c r="BI2" s="4" t="s">
        <v>35</v>
      </c>
      <c r="BJ2" s="4" t="s">
        <v>35</v>
      </c>
      <c r="BK2" s="4" t="s">
        <v>35</v>
      </c>
      <c r="BL2" s="5"/>
      <c r="BM2" s="5" t="s">
        <v>27</v>
      </c>
      <c r="BN2" s="4" t="s">
        <v>24</v>
      </c>
      <c r="BP2" s="19">
        <f>COUNTIF($A2:$BN2, "*(call)*")</f>
        <v>7</v>
      </c>
      <c r="BQ2" s="19">
        <f>COUNTIF($A2:$BN2, "leave")</f>
        <v>5</v>
      </c>
    </row>
    <row r="3" spans="1:69" x14ac:dyDescent="0.2">
      <c r="E3" s="5" t="s">
        <v>3</v>
      </c>
      <c r="F3" s="4" t="s">
        <v>20</v>
      </c>
      <c r="G3" s="4" t="s">
        <v>31</v>
      </c>
      <c r="H3" s="5"/>
      <c r="I3" s="5"/>
      <c r="J3" s="4" t="s">
        <v>13</v>
      </c>
      <c r="K3" s="4" t="s">
        <v>13</v>
      </c>
      <c r="L3" s="4" t="s">
        <v>13</v>
      </c>
      <c r="M3" s="4" t="s">
        <v>24</v>
      </c>
      <c r="N3" s="4" t="s">
        <v>24</v>
      </c>
      <c r="O3" s="5"/>
      <c r="P3" s="5" t="s">
        <v>27</v>
      </c>
      <c r="Q3" s="4" t="s">
        <v>24</v>
      </c>
      <c r="R3" s="4" t="s">
        <v>24</v>
      </c>
      <c r="S3" s="4" t="s">
        <v>24</v>
      </c>
      <c r="T3" s="4" t="s">
        <v>24</v>
      </c>
      <c r="U3" s="4" t="s">
        <v>24</v>
      </c>
      <c r="V3" s="5"/>
      <c r="W3" s="5" t="s">
        <v>27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13</v>
      </c>
      <c r="AC3" s="5"/>
      <c r="AD3" s="5"/>
      <c r="AE3" s="4" t="s">
        <v>23</v>
      </c>
      <c r="AF3" s="4" t="s">
        <v>23</v>
      </c>
      <c r="AG3" s="4" t="s">
        <v>23</v>
      </c>
      <c r="AH3" s="4" t="s">
        <v>23</v>
      </c>
      <c r="AI3" s="4" t="s">
        <v>23</v>
      </c>
      <c r="AJ3" s="5"/>
      <c r="AK3" s="5"/>
      <c r="AL3" s="4" t="s">
        <v>35</v>
      </c>
      <c r="AM3" s="4" t="s">
        <v>35</v>
      </c>
      <c r="AN3" s="4" t="s">
        <v>35</v>
      </c>
      <c r="AO3" s="4" t="s">
        <v>35</v>
      </c>
      <c r="AP3" s="4" t="s">
        <v>35</v>
      </c>
      <c r="AQ3" s="5"/>
      <c r="AR3" s="5" t="s">
        <v>27</v>
      </c>
      <c r="AS3" s="4" t="s">
        <v>25</v>
      </c>
      <c r="AT3" s="4" t="s">
        <v>25</v>
      </c>
      <c r="AU3" s="4" t="s">
        <v>25</v>
      </c>
      <c r="AV3" s="4" t="s">
        <v>25</v>
      </c>
      <c r="AW3" s="4" t="s">
        <v>25</v>
      </c>
      <c r="AX3" s="5"/>
      <c r="AY3" s="5"/>
      <c r="AZ3" s="4" t="s">
        <v>30</v>
      </c>
      <c r="BA3" s="4" t="s">
        <v>21</v>
      </c>
      <c r="BB3" s="4" t="s">
        <v>21</v>
      </c>
      <c r="BC3" s="4" t="s">
        <v>21</v>
      </c>
      <c r="BD3" s="4" t="s">
        <v>30</v>
      </c>
      <c r="BE3" s="5"/>
      <c r="BF3" s="5"/>
      <c r="BG3" s="4" t="s">
        <v>23</v>
      </c>
      <c r="BH3" s="4" t="s">
        <v>23</v>
      </c>
      <c r="BI3" s="4" t="s">
        <v>23</v>
      </c>
      <c r="BJ3" s="4" t="s">
        <v>23</v>
      </c>
      <c r="BK3" s="4" t="s">
        <v>13</v>
      </c>
      <c r="BL3" s="5"/>
      <c r="BM3" s="5"/>
      <c r="BN3" s="4" t="s">
        <v>26</v>
      </c>
      <c r="BP3" s="19">
        <f>COUNTIF($A3:$BN3, "*(call)*")</f>
        <v>7</v>
      </c>
      <c r="BQ3" s="19">
        <f t="shared" ref="BQ3:BQ12" si="0">COUNTIF($A3:$BN3, "leave")</f>
        <v>5</v>
      </c>
    </row>
    <row r="4" spans="1:69" x14ac:dyDescent="0.2">
      <c r="D4" s="9"/>
      <c r="E4" s="5" t="s">
        <v>4</v>
      </c>
      <c r="F4" s="4" t="s">
        <v>25</v>
      </c>
      <c r="G4" s="4" t="s">
        <v>25</v>
      </c>
      <c r="H4" s="5"/>
      <c r="I4" s="5"/>
      <c r="J4" s="4" t="s">
        <v>13</v>
      </c>
      <c r="K4" s="4" t="s">
        <v>25</v>
      </c>
      <c r="L4" s="4" t="s">
        <v>32</v>
      </c>
      <c r="M4" s="4" t="s">
        <v>25</v>
      </c>
      <c r="N4" s="4" t="s">
        <v>25</v>
      </c>
      <c r="O4" s="5" t="s">
        <v>27</v>
      </c>
      <c r="P4" s="5"/>
      <c r="Q4" s="4" t="s">
        <v>20</v>
      </c>
      <c r="R4" s="4" t="s">
        <v>20</v>
      </c>
      <c r="S4" s="4" t="s">
        <v>20</v>
      </c>
      <c r="T4" s="4" t="s">
        <v>20</v>
      </c>
      <c r="U4" s="4" t="s">
        <v>20</v>
      </c>
      <c r="V4" s="5"/>
      <c r="W4" s="5"/>
      <c r="X4" s="4" t="s">
        <v>23</v>
      </c>
      <c r="Y4" s="4" t="s">
        <v>29</v>
      </c>
      <c r="Z4" s="4" t="s">
        <v>23</v>
      </c>
      <c r="AA4" s="4" t="s">
        <v>23</v>
      </c>
      <c r="AB4" s="4" t="s">
        <v>23</v>
      </c>
      <c r="AC4" s="5"/>
      <c r="AD4" s="5"/>
      <c r="AE4" s="4" t="s">
        <v>35</v>
      </c>
      <c r="AF4" s="4" t="s">
        <v>35</v>
      </c>
      <c r="AG4" s="4" t="s">
        <v>35</v>
      </c>
      <c r="AH4" s="4" t="s">
        <v>35</v>
      </c>
      <c r="AI4" s="4" t="s">
        <v>35</v>
      </c>
      <c r="AJ4" s="5" t="s">
        <v>27</v>
      </c>
      <c r="AK4" s="5"/>
      <c r="AL4" s="4" t="s">
        <v>21</v>
      </c>
      <c r="AM4" s="4" t="s">
        <v>21</v>
      </c>
      <c r="AN4" s="4" t="s">
        <v>21</v>
      </c>
      <c r="AO4" s="4" t="s">
        <v>30</v>
      </c>
      <c r="AP4" s="4" t="s">
        <v>21</v>
      </c>
      <c r="AQ4" s="5"/>
      <c r="AR4" s="5"/>
      <c r="AS4" s="4" t="s">
        <v>24</v>
      </c>
      <c r="AT4" s="4" t="s">
        <v>24</v>
      </c>
      <c r="AU4" s="4" t="s">
        <v>24</v>
      </c>
      <c r="AV4" s="4" t="s">
        <v>24</v>
      </c>
      <c r="AW4" s="4" t="s">
        <v>13</v>
      </c>
      <c r="AX4" s="5"/>
      <c r="AY4" s="5"/>
      <c r="AZ4" s="4" t="s">
        <v>13</v>
      </c>
      <c r="BA4" s="4" t="s">
        <v>13</v>
      </c>
      <c r="BB4" s="4" t="s">
        <v>13</v>
      </c>
      <c r="BC4" s="4" t="s">
        <v>13</v>
      </c>
      <c r="BD4" s="4" t="s">
        <v>24</v>
      </c>
      <c r="BE4" s="5"/>
      <c r="BF4" s="5"/>
      <c r="BG4" s="4" t="s">
        <v>26</v>
      </c>
      <c r="BH4" s="4" t="s">
        <v>22</v>
      </c>
      <c r="BI4" s="4" t="s">
        <v>22</v>
      </c>
      <c r="BJ4" s="4" t="s">
        <v>22</v>
      </c>
      <c r="BK4" s="4" t="s">
        <v>22</v>
      </c>
      <c r="BL4" s="5" t="s">
        <v>27</v>
      </c>
      <c r="BM4" s="5"/>
      <c r="BN4" s="4" t="s">
        <v>21</v>
      </c>
      <c r="BP4" s="19">
        <f>COUNTIF($A4:$BN4, "*(call)*")</f>
        <v>7</v>
      </c>
      <c r="BQ4" s="19">
        <f t="shared" si="0"/>
        <v>6</v>
      </c>
    </row>
    <row r="5" spans="1:69" x14ac:dyDescent="0.2">
      <c r="E5" s="5" t="s">
        <v>5</v>
      </c>
      <c r="F5" s="4" t="s">
        <v>35</v>
      </c>
      <c r="G5" s="4" t="s">
        <v>35</v>
      </c>
      <c r="H5" s="5"/>
      <c r="I5" s="5" t="s">
        <v>27</v>
      </c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5"/>
      <c r="P5" s="5"/>
      <c r="Q5" s="4" t="s">
        <v>29</v>
      </c>
      <c r="R5" s="4" t="s">
        <v>23</v>
      </c>
      <c r="S5" s="4" t="s">
        <v>23</v>
      </c>
      <c r="T5" s="4" t="s">
        <v>23</v>
      </c>
      <c r="U5" s="4" t="s">
        <v>23</v>
      </c>
      <c r="V5" s="5" t="s">
        <v>27</v>
      </c>
      <c r="W5" s="5"/>
      <c r="X5" s="4" t="s">
        <v>23</v>
      </c>
      <c r="Y5" s="4" t="s">
        <v>23</v>
      </c>
      <c r="Z5" s="4" t="s">
        <v>23</v>
      </c>
      <c r="AA5" s="4" t="s">
        <v>23</v>
      </c>
      <c r="AB5" s="4" t="s">
        <v>23</v>
      </c>
      <c r="AC5" s="5" t="s">
        <v>27</v>
      </c>
      <c r="AD5" s="5"/>
      <c r="AE5" s="4" t="s">
        <v>24</v>
      </c>
      <c r="AF5" s="4" t="s">
        <v>28</v>
      </c>
      <c r="AG5" s="4" t="s">
        <v>24</v>
      </c>
      <c r="AH5" s="4" t="s">
        <v>13</v>
      </c>
      <c r="AI5" s="4" t="s">
        <v>24</v>
      </c>
      <c r="AJ5" s="5"/>
      <c r="AK5" s="5"/>
      <c r="AL5" s="4" t="s">
        <v>22</v>
      </c>
      <c r="AM5" s="4" t="s">
        <v>22</v>
      </c>
      <c r="AN5" s="4" t="s">
        <v>22</v>
      </c>
      <c r="AO5" s="4" t="s">
        <v>22</v>
      </c>
      <c r="AP5" s="4" t="s">
        <v>22</v>
      </c>
      <c r="AQ5" s="5"/>
      <c r="AR5" s="5"/>
      <c r="AS5" s="4" t="s">
        <v>30</v>
      </c>
      <c r="AT5" s="4" t="s">
        <v>21</v>
      </c>
      <c r="AU5" s="4" t="s">
        <v>21</v>
      </c>
      <c r="AV5" s="4" t="s">
        <v>21</v>
      </c>
      <c r="AW5" s="4" t="s">
        <v>21</v>
      </c>
      <c r="AX5" s="5"/>
      <c r="AY5" s="5"/>
      <c r="AZ5" s="4" t="s">
        <v>13</v>
      </c>
      <c r="BA5" s="4" t="s">
        <v>13</v>
      </c>
      <c r="BB5" s="4" t="s">
        <v>13</v>
      </c>
      <c r="BC5" s="4" t="s">
        <v>20</v>
      </c>
      <c r="BD5" s="4" t="s">
        <v>13</v>
      </c>
      <c r="BE5" s="5"/>
      <c r="BF5" s="5"/>
      <c r="BG5" s="4" t="s">
        <v>13</v>
      </c>
      <c r="BH5" s="4" t="s">
        <v>24</v>
      </c>
      <c r="BI5" s="4" t="s">
        <v>24</v>
      </c>
      <c r="BJ5" s="4" t="s">
        <v>24</v>
      </c>
      <c r="BK5" s="4" t="s">
        <v>24</v>
      </c>
      <c r="BL5" s="5" t="s">
        <v>27</v>
      </c>
      <c r="BM5" s="5"/>
      <c r="BN5" s="4" t="s">
        <v>25</v>
      </c>
      <c r="BP5" s="19">
        <f>COUNTIF($A5:$BN5, "*(call)*")</f>
        <v>7</v>
      </c>
      <c r="BQ5" s="19">
        <f t="shared" si="0"/>
        <v>6</v>
      </c>
    </row>
    <row r="6" spans="1:69" x14ac:dyDescent="0.2">
      <c r="E6" s="5" t="s">
        <v>6</v>
      </c>
      <c r="F6" s="4" t="s">
        <v>22</v>
      </c>
      <c r="G6" s="4" t="s">
        <v>22</v>
      </c>
      <c r="H6" s="5" t="s">
        <v>27</v>
      </c>
      <c r="I6" s="5"/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5"/>
      <c r="P6" s="5"/>
      <c r="Q6" s="4" t="s">
        <v>13</v>
      </c>
      <c r="R6" s="4" t="s">
        <v>13</v>
      </c>
      <c r="S6" s="4" t="s">
        <v>13</v>
      </c>
      <c r="T6" s="4" t="s">
        <v>13</v>
      </c>
      <c r="U6" s="4" t="s">
        <v>21</v>
      </c>
      <c r="V6" s="5"/>
      <c r="W6" s="5"/>
      <c r="X6" s="4" t="s">
        <v>13</v>
      </c>
      <c r="Y6" s="4" t="s">
        <v>24</v>
      </c>
      <c r="Z6" s="4" t="s">
        <v>24</v>
      </c>
      <c r="AA6" s="4" t="s">
        <v>13</v>
      </c>
      <c r="AB6" s="4" t="s">
        <v>24</v>
      </c>
      <c r="AC6" s="5"/>
      <c r="AD6" s="5"/>
      <c r="AE6" s="4" t="s">
        <v>29</v>
      </c>
      <c r="AF6" s="4" t="s">
        <v>23</v>
      </c>
      <c r="AG6" s="4" t="s">
        <v>23</v>
      </c>
      <c r="AH6" s="4" t="s">
        <v>23</v>
      </c>
      <c r="AI6" s="4" t="s">
        <v>29</v>
      </c>
      <c r="AJ6" s="5"/>
      <c r="AK6" s="5"/>
      <c r="AL6" s="4" t="s">
        <v>30</v>
      </c>
      <c r="AM6" s="4" t="s">
        <v>21</v>
      </c>
      <c r="AN6" s="4" t="s">
        <v>21</v>
      </c>
      <c r="AO6" s="4" t="s">
        <v>13</v>
      </c>
      <c r="AP6" s="4" t="s">
        <v>21</v>
      </c>
      <c r="AQ6" s="5"/>
      <c r="AR6" s="5"/>
      <c r="AS6" s="4" t="s">
        <v>24</v>
      </c>
      <c r="AT6" s="4" t="s">
        <v>24</v>
      </c>
      <c r="AU6" s="4" t="s">
        <v>24</v>
      </c>
      <c r="AV6" s="4" t="s">
        <v>28</v>
      </c>
      <c r="AW6" s="4" t="s">
        <v>24</v>
      </c>
      <c r="AX6" s="5"/>
      <c r="AY6" s="5" t="s">
        <v>27</v>
      </c>
      <c r="AZ6" s="4" t="s">
        <v>21</v>
      </c>
      <c r="BA6" s="4" t="s">
        <v>21</v>
      </c>
      <c r="BB6" s="4" t="s">
        <v>21</v>
      </c>
      <c r="BC6" s="4" t="s">
        <v>21</v>
      </c>
      <c r="BD6" s="4" t="s">
        <v>21</v>
      </c>
      <c r="BE6" s="5"/>
      <c r="BF6" s="5" t="s">
        <v>27</v>
      </c>
      <c r="BG6" s="4" t="s">
        <v>20</v>
      </c>
      <c r="BH6" s="4" t="s">
        <v>20</v>
      </c>
      <c r="BI6" s="4" t="s">
        <v>20</v>
      </c>
      <c r="BJ6" s="4" t="s">
        <v>20</v>
      </c>
      <c r="BK6" s="4" t="s">
        <v>20</v>
      </c>
      <c r="BL6" s="5"/>
      <c r="BM6" s="5"/>
      <c r="BN6" s="4" t="s">
        <v>35</v>
      </c>
      <c r="BP6" s="19">
        <f>COUNTIF($A6:$BN6, "*(call)*")</f>
        <v>7</v>
      </c>
      <c r="BQ6" s="19">
        <f t="shared" si="0"/>
        <v>7</v>
      </c>
    </row>
    <row r="7" spans="1:69" x14ac:dyDescent="0.2">
      <c r="E7" s="5" t="s">
        <v>7</v>
      </c>
      <c r="F7" s="4" t="s">
        <v>24</v>
      </c>
      <c r="G7" s="4" t="s">
        <v>13</v>
      </c>
      <c r="H7" s="5"/>
      <c r="I7" s="5"/>
      <c r="J7" s="4" t="s">
        <v>35</v>
      </c>
      <c r="K7" s="4" t="s">
        <v>35</v>
      </c>
      <c r="L7" s="4" t="s">
        <v>35</v>
      </c>
      <c r="M7" s="4" t="s">
        <v>35</v>
      </c>
      <c r="N7" s="4" t="s">
        <v>37</v>
      </c>
      <c r="O7" s="5"/>
      <c r="P7" s="5"/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  <c r="V7" s="5"/>
      <c r="W7" s="5" t="s">
        <v>27</v>
      </c>
      <c r="X7" s="4" t="s">
        <v>20</v>
      </c>
      <c r="Y7" s="4" t="s">
        <v>20</v>
      </c>
      <c r="Z7" s="4" t="s">
        <v>20</v>
      </c>
      <c r="AA7" s="4" t="s">
        <v>20</v>
      </c>
      <c r="AB7" s="4" t="s">
        <v>20</v>
      </c>
      <c r="AC7" s="5" t="s">
        <v>27</v>
      </c>
      <c r="AD7" s="5"/>
      <c r="AE7" s="4" t="s">
        <v>25</v>
      </c>
      <c r="AF7" s="4" t="s">
        <v>25</v>
      </c>
      <c r="AG7" s="4" t="s">
        <v>32</v>
      </c>
      <c r="AH7" s="4" t="s">
        <v>25</v>
      </c>
      <c r="AI7" s="4" t="s">
        <v>25</v>
      </c>
      <c r="AJ7" s="5"/>
      <c r="AK7" s="5"/>
      <c r="AL7" s="4" t="s">
        <v>13</v>
      </c>
      <c r="AM7" s="4" t="s">
        <v>13</v>
      </c>
      <c r="AN7" s="4" t="s">
        <v>13</v>
      </c>
      <c r="AO7" s="4" t="s">
        <v>21</v>
      </c>
      <c r="AP7" s="4" t="s">
        <v>21</v>
      </c>
      <c r="AQ7" s="5" t="s">
        <v>27</v>
      </c>
      <c r="AR7" s="5"/>
      <c r="AS7" s="4" t="s">
        <v>23</v>
      </c>
      <c r="AT7" s="4" t="s">
        <v>23</v>
      </c>
      <c r="AU7" s="4" t="s">
        <v>13</v>
      </c>
      <c r="AV7" s="4" t="s">
        <v>23</v>
      </c>
      <c r="AW7" s="4" t="s">
        <v>23</v>
      </c>
      <c r="AX7" s="5" t="s">
        <v>27</v>
      </c>
      <c r="AY7" s="5"/>
      <c r="AZ7" s="4" t="s">
        <v>24</v>
      </c>
      <c r="BA7" s="4" t="s">
        <v>24</v>
      </c>
      <c r="BB7" s="4" t="s">
        <v>24</v>
      </c>
      <c r="BC7" s="4" t="s">
        <v>28</v>
      </c>
      <c r="BD7" s="4" t="s">
        <v>24</v>
      </c>
      <c r="BE7" s="5"/>
      <c r="BF7" s="5"/>
      <c r="BG7" s="4" t="s">
        <v>21</v>
      </c>
      <c r="BH7" s="4" t="s">
        <v>21</v>
      </c>
      <c r="BI7" s="4" t="s">
        <v>21</v>
      </c>
      <c r="BJ7" s="4" t="s">
        <v>21</v>
      </c>
      <c r="BK7" s="4" t="s">
        <v>30</v>
      </c>
      <c r="BL7" s="5"/>
      <c r="BM7" s="5"/>
      <c r="BN7" s="4" t="s">
        <v>23</v>
      </c>
      <c r="BP7" s="19">
        <f>COUNTIF($A7:$BN7, "*(call)*")</f>
        <v>8</v>
      </c>
      <c r="BQ7" s="19">
        <f t="shared" si="0"/>
        <v>5</v>
      </c>
    </row>
    <row r="8" spans="1:69" x14ac:dyDescent="0.2">
      <c r="E8" s="5" t="s">
        <v>8</v>
      </c>
      <c r="F8" s="4" t="s">
        <v>21</v>
      </c>
      <c r="G8" s="4" t="s">
        <v>21</v>
      </c>
      <c r="H8" s="5"/>
      <c r="I8" s="5" t="s">
        <v>27</v>
      </c>
      <c r="J8" s="4" t="s">
        <v>25</v>
      </c>
      <c r="K8" s="4" t="s">
        <v>13</v>
      </c>
      <c r="L8" s="4" t="s">
        <v>13</v>
      </c>
      <c r="M8" s="4" t="s">
        <v>13</v>
      </c>
      <c r="N8" s="4" t="s">
        <v>13</v>
      </c>
      <c r="O8" s="5"/>
      <c r="P8" s="5"/>
      <c r="Q8" s="4" t="s">
        <v>35</v>
      </c>
      <c r="R8" s="4" t="s">
        <v>35</v>
      </c>
      <c r="S8" s="4" t="s">
        <v>35</v>
      </c>
      <c r="T8" s="4" t="s">
        <v>35</v>
      </c>
      <c r="U8" s="4" t="s">
        <v>35</v>
      </c>
      <c r="V8" s="5"/>
      <c r="W8" s="5"/>
      <c r="X8" s="4" t="s">
        <v>32</v>
      </c>
      <c r="Y8" s="4" t="s">
        <v>25</v>
      </c>
      <c r="Z8" s="4" t="s">
        <v>25</v>
      </c>
      <c r="AA8" s="4" t="s">
        <v>25</v>
      </c>
      <c r="AB8" s="4" t="s">
        <v>25</v>
      </c>
      <c r="AC8" s="5"/>
      <c r="AD8" s="5"/>
      <c r="AE8" s="4" t="s">
        <v>24</v>
      </c>
      <c r="AF8" s="4" t="s">
        <v>24</v>
      </c>
      <c r="AG8" s="4" t="s">
        <v>13</v>
      </c>
      <c r="AH8" s="4" t="s">
        <v>28</v>
      </c>
      <c r="AI8" s="4" t="s">
        <v>24</v>
      </c>
      <c r="AJ8" s="5"/>
      <c r="AK8" s="5"/>
      <c r="AL8" s="4" t="s">
        <v>20</v>
      </c>
      <c r="AM8" s="4" t="s">
        <v>20</v>
      </c>
      <c r="AN8" s="4" t="s">
        <v>20</v>
      </c>
      <c r="AO8" s="4" t="s">
        <v>20</v>
      </c>
      <c r="AP8" s="4" t="s">
        <v>20</v>
      </c>
      <c r="AQ8" s="5"/>
      <c r="AR8" s="5"/>
      <c r="AS8" s="4" t="s">
        <v>22</v>
      </c>
      <c r="AT8" s="4" t="s">
        <v>22</v>
      </c>
      <c r="AU8" s="4" t="s">
        <v>26</v>
      </c>
      <c r="AV8" s="4" t="s">
        <v>22</v>
      </c>
      <c r="AW8" s="4" t="s">
        <v>22</v>
      </c>
      <c r="AX8" s="5"/>
      <c r="AY8" s="5" t="s">
        <v>27</v>
      </c>
      <c r="AZ8" s="4" t="s">
        <v>23</v>
      </c>
      <c r="BA8" s="4" t="s">
        <v>23</v>
      </c>
      <c r="BB8" s="4" t="s">
        <v>29</v>
      </c>
      <c r="BC8" s="4" t="s">
        <v>23</v>
      </c>
      <c r="BD8" s="4" t="s">
        <v>23</v>
      </c>
      <c r="BE8" s="5" t="s">
        <v>27</v>
      </c>
      <c r="BF8" s="5"/>
      <c r="BG8" s="4" t="s">
        <v>21</v>
      </c>
      <c r="BH8" s="4" t="s">
        <v>13</v>
      </c>
      <c r="BI8" s="4" t="s">
        <v>21</v>
      </c>
      <c r="BJ8" s="4" t="s">
        <v>21</v>
      </c>
      <c r="BK8" s="4" t="s">
        <v>21</v>
      </c>
      <c r="BL8" s="5"/>
      <c r="BM8" s="5"/>
      <c r="BN8" s="4" t="s">
        <v>24</v>
      </c>
      <c r="BP8" s="19">
        <f>COUNTIF($A8:$BN8, "*(call)*")</f>
        <v>7</v>
      </c>
      <c r="BQ8" s="19">
        <f t="shared" si="0"/>
        <v>6</v>
      </c>
    </row>
    <row r="9" spans="1:69" x14ac:dyDescent="0.2">
      <c r="E9" s="5" t="s">
        <v>9</v>
      </c>
      <c r="F9" s="4" t="s">
        <v>13</v>
      </c>
      <c r="G9" s="4" t="s">
        <v>24</v>
      </c>
      <c r="H9" s="5"/>
      <c r="I9" s="5"/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5"/>
      <c r="P9" s="5"/>
      <c r="Q9" s="4" t="s">
        <v>21</v>
      </c>
      <c r="R9" s="4" t="s">
        <v>30</v>
      </c>
      <c r="S9" s="4" t="s">
        <v>21</v>
      </c>
      <c r="T9" s="4" t="s">
        <v>21</v>
      </c>
      <c r="U9" s="4" t="s">
        <v>13</v>
      </c>
      <c r="V9" s="5"/>
      <c r="W9" s="5"/>
      <c r="X9" s="4" t="s">
        <v>24</v>
      </c>
      <c r="Y9" s="4" t="s">
        <v>13</v>
      </c>
      <c r="Z9" s="4" t="s">
        <v>28</v>
      </c>
      <c r="AA9" s="4" t="s">
        <v>24</v>
      </c>
      <c r="AB9" s="4" t="s">
        <v>24</v>
      </c>
      <c r="AC9" s="5"/>
      <c r="AD9" s="5"/>
      <c r="AE9" s="4" t="s">
        <v>13</v>
      </c>
      <c r="AF9" s="4" t="s">
        <v>21</v>
      </c>
      <c r="AG9" s="4" t="s">
        <v>21</v>
      </c>
      <c r="AH9" s="4" t="s">
        <v>13</v>
      </c>
      <c r="AI9" s="4" t="s">
        <v>13</v>
      </c>
      <c r="AJ9" s="5"/>
      <c r="AK9" s="5"/>
      <c r="AL9" s="4" t="s">
        <v>23</v>
      </c>
      <c r="AM9" s="4" t="s">
        <v>23</v>
      </c>
      <c r="AN9" s="4" t="s">
        <v>23</v>
      </c>
      <c r="AO9" s="4" t="s">
        <v>23</v>
      </c>
      <c r="AP9" s="4" t="s">
        <v>23</v>
      </c>
      <c r="AQ9" s="5" t="s">
        <v>27</v>
      </c>
      <c r="AR9" s="5"/>
      <c r="AS9" s="4" t="s">
        <v>35</v>
      </c>
      <c r="AT9" s="4" t="s">
        <v>35</v>
      </c>
      <c r="AU9" s="4" t="s">
        <v>35</v>
      </c>
      <c r="AV9" s="4" t="s">
        <v>35</v>
      </c>
      <c r="AW9" s="4" t="s">
        <v>35</v>
      </c>
      <c r="AX9" s="5" t="s">
        <v>27</v>
      </c>
      <c r="AY9" s="5"/>
      <c r="AZ9" s="4" t="s">
        <v>20</v>
      </c>
      <c r="BA9" s="4" t="s">
        <v>31</v>
      </c>
      <c r="BB9" s="4" t="s">
        <v>20</v>
      </c>
      <c r="BC9" s="4" t="s">
        <v>13</v>
      </c>
      <c r="BD9" s="4" t="s">
        <v>20</v>
      </c>
      <c r="BE9" s="5"/>
      <c r="BF9" s="5"/>
      <c r="BG9" s="4" t="s">
        <v>25</v>
      </c>
      <c r="BH9" s="4" t="s">
        <v>25</v>
      </c>
      <c r="BI9" s="4" t="s">
        <v>32</v>
      </c>
      <c r="BJ9" s="4" t="s">
        <v>25</v>
      </c>
      <c r="BK9" s="4" t="s">
        <v>25</v>
      </c>
      <c r="BL9" s="5"/>
      <c r="BM9" s="5" t="s">
        <v>27</v>
      </c>
      <c r="BN9" s="4" t="s">
        <v>20</v>
      </c>
      <c r="BP9" s="19">
        <f>COUNTIF($A9:$BN9, "*(call)*")</f>
        <v>7</v>
      </c>
      <c r="BQ9" s="19">
        <f t="shared" si="0"/>
        <v>7</v>
      </c>
    </row>
    <row r="10" spans="1:69" x14ac:dyDescent="0.2">
      <c r="E10" s="5" t="s">
        <v>10</v>
      </c>
      <c r="F10" s="4" t="s">
        <v>21</v>
      </c>
      <c r="G10" s="4" t="s">
        <v>21</v>
      </c>
      <c r="H10" s="5" t="s">
        <v>27</v>
      </c>
      <c r="I10" s="5"/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5"/>
      <c r="P10" s="5"/>
      <c r="Q10" s="4" t="s">
        <v>21</v>
      </c>
      <c r="R10" s="4" t="s">
        <v>21</v>
      </c>
      <c r="S10" s="4" t="s">
        <v>21</v>
      </c>
      <c r="T10" s="4" t="s">
        <v>30</v>
      </c>
      <c r="U10" s="4" t="s">
        <v>21</v>
      </c>
      <c r="V10" s="5"/>
      <c r="W10" s="5"/>
      <c r="X10" s="4" t="s">
        <v>35</v>
      </c>
      <c r="Y10" s="4" t="s">
        <v>35</v>
      </c>
      <c r="Z10" s="4" t="s">
        <v>35</v>
      </c>
      <c r="AA10" s="4" t="s">
        <v>35</v>
      </c>
      <c r="AB10" s="4" t="s">
        <v>37</v>
      </c>
      <c r="AC10" s="5"/>
      <c r="AD10" s="5"/>
      <c r="AE10" s="4" t="s">
        <v>20</v>
      </c>
      <c r="AF10" s="4" t="s">
        <v>20</v>
      </c>
      <c r="AG10" s="4" t="s">
        <v>20</v>
      </c>
      <c r="AH10" s="4" t="s">
        <v>20</v>
      </c>
      <c r="AI10" s="4" t="s">
        <v>20</v>
      </c>
      <c r="AJ10" s="5" t="s">
        <v>27</v>
      </c>
      <c r="AK10" s="5"/>
      <c r="AL10" s="4" t="s">
        <v>25</v>
      </c>
      <c r="AM10" s="4" t="s">
        <v>32</v>
      </c>
      <c r="AN10" s="4" t="s">
        <v>25</v>
      </c>
      <c r="AO10" s="4" t="s">
        <v>25</v>
      </c>
      <c r="AP10" s="4" t="s">
        <v>25</v>
      </c>
      <c r="AQ10" s="5"/>
      <c r="AR10" s="5"/>
      <c r="AS10" s="4" t="s">
        <v>13</v>
      </c>
      <c r="AT10" s="4" t="s">
        <v>13</v>
      </c>
      <c r="AU10" s="4" t="s">
        <v>23</v>
      </c>
      <c r="AV10" s="4" t="s">
        <v>23</v>
      </c>
      <c r="AW10" s="4" t="s">
        <v>13</v>
      </c>
      <c r="AX10" s="5"/>
      <c r="AY10" s="5"/>
      <c r="AZ10" s="4" t="s">
        <v>22</v>
      </c>
      <c r="BA10" s="4" t="s">
        <v>22</v>
      </c>
      <c r="BB10" s="4" t="s">
        <v>22</v>
      </c>
      <c r="BC10" s="4" t="s">
        <v>22</v>
      </c>
      <c r="BD10" s="4" t="s">
        <v>22</v>
      </c>
      <c r="BE10" s="5" t="s">
        <v>27</v>
      </c>
      <c r="BF10" s="5"/>
      <c r="BG10" s="4" t="s">
        <v>23</v>
      </c>
      <c r="BH10" s="4" t="s">
        <v>29</v>
      </c>
      <c r="BI10" s="4" t="s">
        <v>23</v>
      </c>
      <c r="BJ10" s="4" t="s">
        <v>13</v>
      </c>
      <c r="BK10" s="4" t="s">
        <v>23</v>
      </c>
      <c r="BL10" s="5"/>
      <c r="BM10" s="5"/>
      <c r="BN10" s="4" t="s">
        <v>23</v>
      </c>
      <c r="BP10" s="19">
        <f>COUNTIF($A10:$BN10, "*(call)*")</f>
        <v>7</v>
      </c>
      <c r="BQ10" s="19">
        <f t="shared" si="0"/>
        <v>4</v>
      </c>
    </row>
    <row r="11" spans="1:69" x14ac:dyDescent="0.2">
      <c r="E11" s="5" t="s">
        <v>11</v>
      </c>
      <c r="F11" s="4" t="s">
        <v>21</v>
      </c>
      <c r="G11" s="4" t="s">
        <v>21</v>
      </c>
      <c r="H11" s="5"/>
      <c r="I11" s="5"/>
      <c r="J11" s="4" t="s">
        <v>23</v>
      </c>
      <c r="K11" s="4" t="s">
        <v>23</v>
      </c>
      <c r="L11" s="4" t="s">
        <v>23</v>
      </c>
      <c r="M11" s="4" t="s">
        <v>29</v>
      </c>
      <c r="N11" s="4" t="s">
        <v>23</v>
      </c>
      <c r="O11" s="5"/>
      <c r="P11" s="5" t="s">
        <v>27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5" t="s">
        <v>27</v>
      </c>
      <c r="W11" s="5"/>
      <c r="X11" s="4" t="s">
        <v>22</v>
      </c>
      <c r="Y11" s="4" t="s">
        <v>22</v>
      </c>
      <c r="Z11" s="4" t="s">
        <v>22</v>
      </c>
      <c r="AA11" s="4" t="s">
        <v>22</v>
      </c>
      <c r="AB11" s="4" t="s">
        <v>22</v>
      </c>
      <c r="AC11" s="5"/>
      <c r="AD11" s="5" t="s">
        <v>27</v>
      </c>
      <c r="AE11" s="4" t="s">
        <v>21</v>
      </c>
      <c r="AF11" s="4" t="s">
        <v>13</v>
      </c>
      <c r="AG11" s="4" t="s">
        <v>21</v>
      </c>
      <c r="AH11" s="4" t="s">
        <v>21</v>
      </c>
      <c r="AI11" s="4" t="s">
        <v>13</v>
      </c>
      <c r="AJ11" s="5"/>
      <c r="AK11" s="5"/>
      <c r="AL11" s="4" t="s">
        <v>24</v>
      </c>
      <c r="AM11" s="4" t="s">
        <v>24</v>
      </c>
      <c r="AN11" s="4" t="s">
        <v>24</v>
      </c>
      <c r="AO11" s="4" t="s">
        <v>24</v>
      </c>
      <c r="AP11" s="4" t="s">
        <v>28</v>
      </c>
      <c r="AQ11" s="5"/>
      <c r="AR11" s="5"/>
      <c r="AS11" s="4" t="s">
        <v>20</v>
      </c>
      <c r="AT11" s="4" t="s">
        <v>20</v>
      </c>
      <c r="AU11" s="4" t="s">
        <v>20</v>
      </c>
      <c r="AV11" s="4" t="s">
        <v>20</v>
      </c>
      <c r="AW11" s="4" t="s">
        <v>31</v>
      </c>
      <c r="AX11" s="5"/>
      <c r="AY11" s="5"/>
      <c r="AZ11" s="4" t="s">
        <v>35</v>
      </c>
      <c r="BA11" s="4" t="s">
        <v>35</v>
      </c>
      <c r="BB11" s="4" t="s">
        <v>35</v>
      </c>
      <c r="BC11" s="4" t="s">
        <v>35</v>
      </c>
      <c r="BD11" s="4" t="s">
        <v>35</v>
      </c>
      <c r="BE11" s="5"/>
      <c r="BF11" s="5"/>
      <c r="BG11" s="4" t="s">
        <v>13</v>
      </c>
      <c r="BH11" s="4" t="s">
        <v>13</v>
      </c>
      <c r="BI11" s="4" t="s">
        <v>13</v>
      </c>
      <c r="BJ11" s="4" t="s">
        <v>29</v>
      </c>
      <c r="BK11" s="4" t="s">
        <v>23</v>
      </c>
      <c r="BL11" s="5"/>
      <c r="BM11" s="5"/>
      <c r="BN11" s="4" t="s">
        <v>21</v>
      </c>
      <c r="BP11" s="19">
        <f>COUNTIF($A11:$BN11, "*(call)*")</f>
        <v>7</v>
      </c>
      <c r="BQ11" s="19">
        <f t="shared" si="0"/>
        <v>5</v>
      </c>
    </row>
    <row r="12" spans="1:69" x14ac:dyDescent="0.2">
      <c r="E12" s="5" t="s">
        <v>12</v>
      </c>
      <c r="F12" s="4" t="s">
        <v>29</v>
      </c>
      <c r="G12" s="4" t="s">
        <v>23</v>
      </c>
      <c r="H12" s="5"/>
      <c r="I12" s="5"/>
      <c r="J12" s="4" t="s">
        <v>30</v>
      </c>
      <c r="K12" s="4" t="s">
        <v>21</v>
      </c>
      <c r="L12" s="4" t="s">
        <v>21</v>
      </c>
      <c r="M12" s="4" t="s">
        <v>21</v>
      </c>
      <c r="N12" s="4" t="s">
        <v>21</v>
      </c>
      <c r="O12" s="5" t="s">
        <v>27</v>
      </c>
      <c r="P12" s="5"/>
      <c r="Q12" s="4" t="s">
        <v>23</v>
      </c>
      <c r="R12" s="4" t="s">
        <v>23</v>
      </c>
      <c r="S12" s="4" t="s">
        <v>29</v>
      </c>
      <c r="T12" s="4" t="s">
        <v>23</v>
      </c>
      <c r="U12" s="4" t="s">
        <v>23</v>
      </c>
      <c r="V12" s="5"/>
      <c r="W12" s="5"/>
      <c r="X12" s="4" t="s">
        <v>21</v>
      </c>
      <c r="Y12" s="4" t="s">
        <v>21</v>
      </c>
      <c r="Z12" s="4" t="s">
        <v>21</v>
      </c>
      <c r="AA12" s="4" t="s">
        <v>13</v>
      </c>
      <c r="AB12" s="4" t="s">
        <v>13</v>
      </c>
      <c r="AC12" s="5"/>
      <c r="AD12" s="5"/>
      <c r="AE12" s="4" t="s">
        <v>13</v>
      </c>
      <c r="AF12" s="4" t="s">
        <v>21</v>
      </c>
      <c r="AG12" s="4" t="s">
        <v>21</v>
      </c>
      <c r="AH12" s="4" t="s">
        <v>21</v>
      </c>
      <c r="AI12" s="4" t="s">
        <v>21</v>
      </c>
      <c r="AJ12" s="5"/>
      <c r="AK12" s="5" t="s">
        <v>27</v>
      </c>
      <c r="AL12" s="4" t="s">
        <v>23</v>
      </c>
      <c r="AM12" s="4" t="s">
        <v>23</v>
      </c>
      <c r="AN12" s="4" t="s">
        <v>29</v>
      </c>
      <c r="AO12" s="4" t="s">
        <v>23</v>
      </c>
      <c r="AP12" s="4" t="s">
        <v>23</v>
      </c>
      <c r="AQ12" s="5"/>
      <c r="AR12" s="5" t="s">
        <v>27</v>
      </c>
      <c r="AS12" s="4" t="s">
        <v>21</v>
      </c>
      <c r="AT12" s="4" t="s">
        <v>21</v>
      </c>
      <c r="AU12" s="4" t="s">
        <v>21</v>
      </c>
      <c r="AV12" s="4" t="s">
        <v>21</v>
      </c>
      <c r="AW12" s="4" t="s">
        <v>21</v>
      </c>
      <c r="AX12" s="5"/>
      <c r="AY12" s="5"/>
      <c r="AZ12" s="4" t="s">
        <v>23</v>
      </c>
      <c r="BA12" s="4" t="s">
        <v>23</v>
      </c>
      <c r="BB12" s="4" t="s">
        <v>23</v>
      </c>
      <c r="BC12" s="4" t="s">
        <v>23</v>
      </c>
      <c r="BD12" s="4" t="s">
        <v>23</v>
      </c>
      <c r="BE12" s="5"/>
      <c r="BF12" s="5" t="s">
        <v>27</v>
      </c>
      <c r="BG12" s="4" t="s">
        <v>24</v>
      </c>
      <c r="BH12" s="4" t="s">
        <v>24</v>
      </c>
      <c r="BI12" s="4" t="s">
        <v>13</v>
      </c>
      <c r="BJ12" s="4" t="s">
        <v>24</v>
      </c>
      <c r="BK12" s="4" t="s">
        <v>24</v>
      </c>
      <c r="BL12" s="5"/>
      <c r="BM12" s="5"/>
      <c r="BN12" s="4" t="s">
        <v>13</v>
      </c>
      <c r="BP12" s="19">
        <f>COUNTIF($A12:$BN12, "*(call)*")</f>
        <v>8</v>
      </c>
      <c r="BQ12" s="19">
        <f t="shared" si="0"/>
        <v>5</v>
      </c>
    </row>
    <row r="13" spans="1:69" x14ac:dyDescent="0.2">
      <c r="E13" s="5"/>
      <c r="F13" s="4"/>
      <c r="G13" s="4"/>
      <c r="H13" s="5"/>
      <c r="I13" s="5"/>
      <c r="J13" s="4"/>
      <c r="K13" s="4"/>
      <c r="L13" s="4"/>
      <c r="M13" s="4"/>
      <c r="N13" s="4"/>
      <c r="O13" s="5"/>
      <c r="P13" s="5"/>
      <c r="Q13" s="4"/>
      <c r="R13" s="4"/>
      <c r="S13" s="4"/>
      <c r="T13" s="4"/>
      <c r="U13" s="4"/>
      <c r="V13" s="5"/>
      <c r="W13" s="5"/>
      <c r="X13" s="4"/>
      <c r="Y13" s="4"/>
      <c r="Z13" s="4"/>
      <c r="AA13" s="4"/>
      <c r="AB13" s="4"/>
      <c r="AC13" s="5"/>
      <c r="AD13" s="5"/>
      <c r="AE13" s="4"/>
      <c r="AF13" s="4"/>
      <c r="AG13" s="4"/>
      <c r="AH13" s="4"/>
      <c r="AI13" s="4"/>
      <c r="AJ13" s="5"/>
      <c r="AK13" s="5"/>
      <c r="AL13" s="4"/>
      <c r="AM13" s="4"/>
      <c r="AN13" s="4"/>
      <c r="AO13" s="4"/>
      <c r="AP13" s="4"/>
      <c r="AQ13" s="5"/>
      <c r="AR13" s="5"/>
      <c r="AS13" s="4"/>
      <c r="AT13" s="4"/>
      <c r="AU13" s="4"/>
      <c r="AV13" s="4"/>
      <c r="AW13" s="4"/>
      <c r="AX13" s="5"/>
      <c r="AY13" s="5"/>
      <c r="AZ13" s="4"/>
      <c r="BA13" s="4"/>
      <c r="BB13" s="4"/>
      <c r="BC13" s="4"/>
      <c r="BD13" s="4"/>
      <c r="BE13" s="5"/>
      <c r="BF13" s="5"/>
      <c r="BG13" s="4"/>
      <c r="BH13" s="4"/>
      <c r="BI13" s="4"/>
      <c r="BJ13" s="4"/>
      <c r="BK13" s="4"/>
      <c r="BL13" s="5"/>
      <c r="BM13" s="5"/>
      <c r="BN13" s="4"/>
      <c r="BP13" s="19"/>
      <c r="BQ13" s="19"/>
    </row>
    <row r="14" spans="1:69" s="3" customFormat="1" x14ac:dyDescent="0.2">
      <c r="A14" s="2" t="s">
        <v>14</v>
      </c>
      <c r="B14" s="2" t="s">
        <v>33</v>
      </c>
      <c r="C14" s="2" t="s">
        <v>34</v>
      </c>
      <c r="D14" s="10"/>
      <c r="E14" s="6"/>
      <c r="F14" s="3" t="s">
        <v>18</v>
      </c>
      <c r="H14" s="6"/>
      <c r="I14" s="6"/>
      <c r="J14" s="3" t="s">
        <v>18</v>
      </c>
      <c r="O14" s="6"/>
      <c r="P14" s="6"/>
      <c r="Q14" s="3" t="s">
        <v>18</v>
      </c>
      <c r="V14" s="6"/>
      <c r="W14" s="6"/>
      <c r="X14" s="3" t="s">
        <v>18</v>
      </c>
      <c r="AC14" s="6"/>
      <c r="AD14" s="6"/>
      <c r="AE14" s="3" t="s">
        <v>18</v>
      </c>
      <c r="AJ14" s="6"/>
      <c r="AK14" s="6"/>
      <c r="AL14" s="3" t="s">
        <v>18</v>
      </c>
      <c r="AQ14" s="6"/>
      <c r="AR14" s="6"/>
      <c r="AS14" s="3" t="s">
        <v>18</v>
      </c>
      <c r="AX14" s="6"/>
      <c r="AY14" s="6"/>
      <c r="AZ14" s="3" t="s">
        <v>18</v>
      </c>
      <c r="BE14" s="6"/>
      <c r="BF14" s="6"/>
      <c r="BG14" s="3" t="s">
        <v>18</v>
      </c>
      <c r="BL14" s="6"/>
      <c r="BM14" s="6"/>
      <c r="BP14" s="14"/>
      <c r="BQ14" s="14"/>
    </row>
    <row r="15" spans="1:69" s="1" customFormat="1" x14ac:dyDescent="0.2">
      <c r="A15" s="7" t="s">
        <v>21</v>
      </c>
      <c r="B15" s="1">
        <v>3</v>
      </c>
      <c r="C15" s="1">
        <v>14</v>
      </c>
      <c r="E15" s="7" t="s">
        <v>21</v>
      </c>
      <c r="F15" s="1">
        <f>-COUNTIF(F$2:F$12,$E15 &amp; "*") +$B15</f>
        <v>0</v>
      </c>
      <c r="G15" s="1">
        <f t="shared" ref="G15:G20" si="1">-COUNTIF(G$2:G$12,$E15 &amp; "*") +$B15</f>
        <v>0</v>
      </c>
      <c r="I15" s="7" t="s">
        <v>21</v>
      </c>
      <c r="J15" s="1">
        <f t="shared" ref="J15:N20" si="2">-COUNTIF(J$2:J$12,$E15 &amp; "*") +$B15</f>
        <v>1</v>
      </c>
      <c r="K15" s="1">
        <f t="shared" si="2"/>
        <v>1</v>
      </c>
      <c r="L15" s="1">
        <f t="shared" si="2"/>
        <v>1</v>
      </c>
      <c r="M15" s="1">
        <f t="shared" si="2"/>
        <v>1</v>
      </c>
      <c r="N15" s="1">
        <f t="shared" si="2"/>
        <v>1</v>
      </c>
      <c r="P15" s="7" t="s">
        <v>21</v>
      </c>
      <c r="Q15" s="1">
        <f t="shared" ref="Q15:U20" si="3">-COUNTIF(Q$2:Q$12,$E15 &amp; "*") +$B15</f>
        <v>1</v>
      </c>
      <c r="R15" s="1">
        <f t="shared" si="3"/>
        <v>1</v>
      </c>
      <c r="S15" s="1">
        <f t="shared" si="3"/>
        <v>0</v>
      </c>
      <c r="T15" s="1">
        <f t="shared" si="3"/>
        <v>0</v>
      </c>
      <c r="U15" s="1">
        <f t="shared" si="3"/>
        <v>0</v>
      </c>
      <c r="W15" s="7" t="s">
        <v>21</v>
      </c>
      <c r="X15" s="1">
        <f t="shared" ref="X15:AB20" si="4">-COUNTIF(X$2:X$12,$E15 &amp; "*") +$B15</f>
        <v>0</v>
      </c>
      <c r="Y15" s="1">
        <f t="shared" si="4"/>
        <v>0</v>
      </c>
      <c r="Z15" s="1">
        <f t="shared" si="4"/>
        <v>1</v>
      </c>
      <c r="AA15" s="1">
        <f t="shared" si="4"/>
        <v>1</v>
      </c>
      <c r="AB15" s="1">
        <f t="shared" si="4"/>
        <v>2</v>
      </c>
      <c r="AD15" s="7" t="s">
        <v>21</v>
      </c>
      <c r="AE15" s="1">
        <f t="shared" ref="AE15:AI20" si="5">-COUNTIF(AE$2:AE$12,$E15 &amp; "*") +$B15</f>
        <v>2</v>
      </c>
      <c r="AF15" s="1">
        <f t="shared" si="5"/>
        <v>1</v>
      </c>
      <c r="AG15" s="1">
        <f t="shared" si="5"/>
        <v>0</v>
      </c>
      <c r="AH15" s="1">
        <f t="shared" si="5"/>
        <v>1</v>
      </c>
      <c r="AI15" s="1">
        <f t="shared" si="5"/>
        <v>2</v>
      </c>
      <c r="AK15" s="7" t="s">
        <v>21</v>
      </c>
      <c r="AL15" s="1">
        <f t="shared" ref="AL15:AP20" si="6">-COUNTIF(AL$2:AL$12,$E15 &amp; "*") +$B15</f>
        <v>1</v>
      </c>
      <c r="AM15" s="1">
        <f t="shared" si="6"/>
        <v>1</v>
      </c>
      <c r="AN15" s="1">
        <f t="shared" si="6"/>
        <v>1</v>
      </c>
      <c r="AO15" s="1">
        <f t="shared" si="6"/>
        <v>1</v>
      </c>
      <c r="AP15" s="1">
        <f t="shared" si="6"/>
        <v>0</v>
      </c>
      <c r="AR15" s="7" t="s">
        <v>21</v>
      </c>
      <c r="AS15" s="1">
        <f t="shared" ref="AS15:AW20" si="7">-COUNTIF(AS$2:AS$12,$E15 &amp; "*") +$B15</f>
        <v>1</v>
      </c>
      <c r="AT15" s="1">
        <f t="shared" si="7"/>
        <v>1</v>
      </c>
      <c r="AU15" s="1">
        <f t="shared" si="7"/>
        <v>1</v>
      </c>
      <c r="AV15" s="1">
        <f t="shared" si="7"/>
        <v>1</v>
      </c>
      <c r="AW15" s="1">
        <f t="shared" si="7"/>
        <v>1</v>
      </c>
      <c r="AY15" s="7" t="s">
        <v>21</v>
      </c>
      <c r="AZ15" s="1">
        <f t="shared" ref="AZ15:BD20" si="8">-COUNTIF(AZ$2:AZ$12,$E15 &amp; "*") +$B15</f>
        <v>1</v>
      </c>
      <c r="BA15" s="1">
        <f t="shared" si="8"/>
        <v>1</v>
      </c>
      <c r="BB15" s="1">
        <f t="shared" si="8"/>
        <v>1</v>
      </c>
      <c r="BC15" s="1">
        <f t="shared" si="8"/>
        <v>1</v>
      </c>
      <c r="BD15" s="1">
        <f t="shared" si="8"/>
        <v>1</v>
      </c>
      <c r="BF15" s="7" t="s">
        <v>21</v>
      </c>
      <c r="BG15" s="1">
        <f t="shared" ref="BG15:BK20" si="9">-COUNTIF(BG$2:BG$12,$E15 &amp; "*") +$B15</f>
        <v>1</v>
      </c>
      <c r="BH15" s="1">
        <f t="shared" si="9"/>
        <v>2</v>
      </c>
      <c r="BI15" s="1">
        <f t="shared" si="9"/>
        <v>1</v>
      </c>
      <c r="BJ15" s="1">
        <f t="shared" si="9"/>
        <v>1</v>
      </c>
      <c r="BK15" s="1">
        <f t="shared" si="9"/>
        <v>1</v>
      </c>
      <c r="BM15" s="7" t="s">
        <v>21</v>
      </c>
      <c r="BN15" s="1">
        <f t="shared" ref="BN15:BN20" si="10">-COUNTIF(BN$2:BN$12,$E15 &amp; "*") +$B15</f>
        <v>1</v>
      </c>
      <c r="BP15" s="13"/>
      <c r="BQ15" s="13"/>
    </row>
    <row r="16" spans="1:69" s="1" customFormat="1" x14ac:dyDescent="0.2">
      <c r="A16" s="7" t="s">
        <v>24</v>
      </c>
      <c r="B16" s="1">
        <v>2</v>
      </c>
      <c r="C16" s="1">
        <v>14</v>
      </c>
      <c r="E16" s="7" t="s">
        <v>24</v>
      </c>
      <c r="F16" s="1">
        <f t="shared" ref="F16:F20" si="11">-COUNTIF(F$2:F$12,$E16 &amp; "*") +$B16</f>
        <v>1</v>
      </c>
      <c r="G16" s="1">
        <f t="shared" si="1"/>
        <v>1</v>
      </c>
      <c r="I16" s="7" t="s">
        <v>24</v>
      </c>
      <c r="J16" s="1">
        <f t="shared" si="2"/>
        <v>1</v>
      </c>
      <c r="K16" s="1">
        <f t="shared" si="2"/>
        <v>1</v>
      </c>
      <c r="L16" s="1">
        <f t="shared" si="2"/>
        <v>1</v>
      </c>
      <c r="M16" s="1">
        <f t="shared" si="2"/>
        <v>0</v>
      </c>
      <c r="N16" s="1">
        <f t="shared" si="2"/>
        <v>0</v>
      </c>
      <c r="P16" s="7" t="s">
        <v>24</v>
      </c>
      <c r="Q16" s="1">
        <f t="shared" si="3"/>
        <v>1</v>
      </c>
      <c r="R16" s="1">
        <f t="shared" si="3"/>
        <v>1</v>
      </c>
      <c r="S16" s="1">
        <f t="shared" si="3"/>
        <v>1</v>
      </c>
      <c r="T16" s="1">
        <f t="shared" si="3"/>
        <v>1</v>
      </c>
      <c r="U16" s="1">
        <f t="shared" si="3"/>
        <v>1</v>
      </c>
      <c r="W16" s="7" t="s">
        <v>24</v>
      </c>
      <c r="X16" s="1">
        <f t="shared" si="4"/>
        <v>1</v>
      </c>
      <c r="Y16" s="1">
        <f t="shared" si="4"/>
        <v>1</v>
      </c>
      <c r="Z16" s="1">
        <f t="shared" si="4"/>
        <v>0</v>
      </c>
      <c r="AA16" s="1">
        <f t="shared" si="4"/>
        <v>1</v>
      </c>
      <c r="AB16" s="1">
        <f t="shared" si="4"/>
        <v>0</v>
      </c>
      <c r="AD16" s="7" t="s">
        <v>24</v>
      </c>
      <c r="AE16" s="1">
        <f t="shared" si="5"/>
        <v>0</v>
      </c>
      <c r="AF16" s="1">
        <f t="shared" si="5"/>
        <v>0</v>
      </c>
      <c r="AG16" s="1">
        <f t="shared" si="5"/>
        <v>1</v>
      </c>
      <c r="AH16" s="1">
        <f t="shared" si="5"/>
        <v>1</v>
      </c>
      <c r="AI16" s="1">
        <f t="shared" si="5"/>
        <v>0</v>
      </c>
      <c r="AK16" s="7" t="s">
        <v>24</v>
      </c>
      <c r="AL16" s="1">
        <f t="shared" si="6"/>
        <v>0</v>
      </c>
      <c r="AM16" s="1">
        <f t="shared" si="6"/>
        <v>0</v>
      </c>
      <c r="AN16" s="1">
        <f t="shared" si="6"/>
        <v>0</v>
      </c>
      <c r="AO16" s="1">
        <f t="shared" si="6"/>
        <v>0</v>
      </c>
      <c r="AP16" s="1">
        <f t="shared" si="6"/>
        <v>1</v>
      </c>
      <c r="AR16" s="7" t="s">
        <v>24</v>
      </c>
      <c r="AS16" s="1">
        <f t="shared" si="7"/>
        <v>0</v>
      </c>
      <c r="AT16" s="1">
        <f t="shared" si="7"/>
        <v>0</v>
      </c>
      <c r="AU16" s="1">
        <f t="shared" si="7"/>
        <v>0</v>
      </c>
      <c r="AV16" s="1">
        <f t="shared" si="7"/>
        <v>0</v>
      </c>
      <c r="AW16" s="1">
        <f t="shared" si="7"/>
        <v>1</v>
      </c>
      <c r="AY16" s="7" t="s">
        <v>24</v>
      </c>
      <c r="AZ16" s="1">
        <f t="shared" si="8"/>
        <v>1</v>
      </c>
      <c r="BA16" s="1">
        <f t="shared" si="8"/>
        <v>1</v>
      </c>
      <c r="BB16" s="1">
        <f t="shared" si="8"/>
        <v>1</v>
      </c>
      <c r="BC16" s="1">
        <f t="shared" si="8"/>
        <v>1</v>
      </c>
      <c r="BD16" s="1">
        <f t="shared" si="8"/>
        <v>0</v>
      </c>
      <c r="BF16" s="7" t="s">
        <v>24</v>
      </c>
      <c r="BG16" s="1">
        <f t="shared" si="9"/>
        <v>1</v>
      </c>
      <c r="BH16" s="1">
        <f t="shared" si="9"/>
        <v>0</v>
      </c>
      <c r="BI16" s="1">
        <f t="shared" si="9"/>
        <v>1</v>
      </c>
      <c r="BJ16" s="1">
        <f t="shared" si="9"/>
        <v>0</v>
      </c>
      <c r="BK16" s="1">
        <f t="shared" si="9"/>
        <v>0</v>
      </c>
      <c r="BM16" s="7" t="s">
        <v>24</v>
      </c>
      <c r="BN16" s="1">
        <f t="shared" si="10"/>
        <v>0</v>
      </c>
      <c r="BP16" s="13"/>
      <c r="BQ16" s="13"/>
    </row>
    <row r="17" spans="1:69" s="1" customFormat="1" x14ac:dyDescent="0.2">
      <c r="A17" s="7" t="s">
        <v>23</v>
      </c>
      <c r="B17" s="1">
        <v>2</v>
      </c>
      <c r="C17" s="1">
        <v>5</v>
      </c>
      <c r="E17" s="7" t="s">
        <v>23</v>
      </c>
      <c r="F17" s="1">
        <f t="shared" si="11"/>
        <v>0</v>
      </c>
      <c r="G17" s="1">
        <f t="shared" si="1"/>
        <v>0</v>
      </c>
      <c r="I17" s="7" t="s">
        <v>23</v>
      </c>
      <c r="J17" s="1">
        <f t="shared" si="2"/>
        <v>0</v>
      </c>
      <c r="K17" s="1">
        <f t="shared" si="2"/>
        <v>0</v>
      </c>
      <c r="L17" s="1">
        <f t="shared" si="2"/>
        <v>0</v>
      </c>
      <c r="M17" s="1">
        <f t="shared" si="2"/>
        <v>0</v>
      </c>
      <c r="N17" s="1">
        <f t="shared" si="2"/>
        <v>0</v>
      </c>
      <c r="P17" s="7" t="s">
        <v>23</v>
      </c>
      <c r="Q17" s="1">
        <f t="shared" si="3"/>
        <v>0</v>
      </c>
      <c r="R17" s="1">
        <f t="shared" si="3"/>
        <v>0</v>
      </c>
      <c r="S17" s="1">
        <f t="shared" si="3"/>
        <v>0</v>
      </c>
      <c r="T17" s="1">
        <f t="shared" si="3"/>
        <v>0</v>
      </c>
      <c r="U17" s="1">
        <f t="shared" si="3"/>
        <v>0</v>
      </c>
      <c r="W17" s="7" t="s">
        <v>23</v>
      </c>
      <c r="X17" s="1">
        <f t="shared" si="4"/>
        <v>0</v>
      </c>
      <c r="Y17" s="1">
        <f t="shared" si="4"/>
        <v>0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D17" s="7" t="s">
        <v>23</v>
      </c>
      <c r="AE17" s="1">
        <f t="shared" si="5"/>
        <v>0</v>
      </c>
      <c r="AF17" s="1">
        <f t="shared" si="5"/>
        <v>0</v>
      </c>
      <c r="AG17" s="1">
        <f t="shared" si="5"/>
        <v>0</v>
      </c>
      <c r="AH17" s="1">
        <f t="shared" si="5"/>
        <v>0</v>
      </c>
      <c r="AI17" s="1">
        <f t="shared" si="5"/>
        <v>0</v>
      </c>
      <c r="AK17" s="7" t="s">
        <v>23</v>
      </c>
      <c r="AL17" s="1">
        <f t="shared" si="6"/>
        <v>0</v>
      </c>
      <c r="AM17" s="1">
        <f t="shared" si="6"/>
        <v>0</v>
      </c>
      <c r="AN17" s="1">
        <f t="shared" si="6"/>
        <v>0</v>
      </c>
      <c r="AO17" s="1">
        <f t="shared" si="6"/>
        <v>0</v>
      </c>
      <c r="AP17" s="1">
        <f t="shared" si="6"/>
        <v>0</v>
      </c>
      <c r="AR17" s="7" t="s">
        <v>23</v>
      </c>
      <c r="AS17" s="1">
        <f t="shared" si="7"/>
        <v>0</v>
      </c>
      <c r="AT17" s="1">
        <f t="shared" si="7"/>
        <v>0</v>
      </c>
      <c r="AU17" s="1">
        <f t="shared" si="7"/>
        <v>0</v>
      </c>
      <c r="AV17" s="1">
        <f t="shared" si="7"/>
        <v>0</v>
      </c>
      <c r="AW17" s="1">
        <f t="shared" si="7"/>
        <v>0</v>
      </c>
      <c r="AY17" s="7" t="s">
        <v>23</v>
      </c>
      <c r="AZ17" s="1">
        <f t="shared" si="8"/>
        <v>0</v>
      </c>
      <c r="BA17" s="1">
        <f t="shared" si="8"/>
        <v>0</v>
      </c>
      <c r="BB17" s="1">
        <f t="shared" si="8"/>
        <v>0</v>
      </c>
      <c r="BC17" s="1">
        <f t="shared" si="8"/>
        <v>0</v>
      </c>
      <c r="BD17" s="1">
        <f t="shared" si="8"/>
        <v>0</v>
      </c>
      <c r="BF17" s="7" t="s">
        <v>23</v>
      </c>
      <c r="BG17" s="1">
        <f t="shared" si="9"/>
        <v>0</v>
      </c>
      <c r="BH17" s="1">
        <f t="shared" si="9"/>
        <v>0</v>
      </c>
      <c r="BI17" s="1">
        <f t="shared" si="9"/>
        <v>0</v>
      </c>
      <c r="BJ17" s="1">
        <f t="shared" si="9"/>
        <v>0</v>
      </c>
      <c r="BK17" s="1">
        <f t="shared" si="9"/>
        <v>0</v>
      </c>
      <c r="BM17" s="7" t="s">
        <v>23</v>
      </c>
      <c r="BN17" s="1">
        <f t="shared" si="10"/>
        <v>0</v>
      </c>
      <c r="BP17" s="13"/>
      <c r="BQ17" s="13"/>
    </row>
    <row r="18" spans="1:69" x14ac:dyDescent="0.2">
      <c r="A18" s="7" t="s">
        <v>20</v>
      </c>
      <c r="B18" s="1">
        <v>1</v>
      </c>
      <c r="C18" s="1">
        <v>1</v>
      </c>
      <c r="E18" s="7" t="s">
        <v>20</v>
      </c>
      <c r="F18" s="1">
        <f t="shared" si="11"/>
        <v>0</v>
      </c>
      <c r="G18" s="1">
        <f t="shared" si="1"/>
        <v>0</v>
      </c>
      <c r="I18" s="7" t="s">
        <v>20</v>
      </c>
      <c r="J18" s="1">
        <f t="shared" si="2"/>
        <v>0</v>
      </c>
      <c r="K18" s="1">
        <f t="shared" si="2"/>
        <v>0</v>
      </c>
      <c r="L18" s="1">
        <f t="shared" si="2"/>
        <v>0</v>
      </c>
      <c r="M18" s="1">
        <f t="shared" si="2"/>
        <v>0</v>
      </c>
      <c r="N18" s="1">
        <f t="shared" si="2"/>
        <v>0</v>
      </c>
      <c r="P18" s="7" t="s">
        <v>20</v>
      </c>
      <c r="Q18" s="1">
        <f t="shared" si="3"/>
        <v>0</v>
      </c>
      <c r="R18" s="1">
        <f t="shared" si="3"/>
        <v>0</v>
      </c>
      <c r="S18" s="1">
        <f t="shared" si="3"/>
        <v>0</v>
      </c>
      <c r="T18" s="1">
        <f t="shared" si="3"/>
        <v>0</v>
      </c>
      <c r="U18" s="1">
        <f t="shared" si="3"/>
        <v>0</v>
      </c>
      <c r="W18" s="7" t="s">
        <v>20</v>
      </c>
      <c r="X18" s="1">
        <f t="shared" si="4"/>
        <v>0</v>
      </c>
      <c r="Y18" s="1">
        <f t="shared" si="4"/>
        <v>0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D18" s="7" t="s">
        <v>20</v>
      </c>
      <c r="AE18" s="1">
        <f t="shared" si="5"/>
        <v>0</v>
      </c>
      <c r="AF18" s="1">
        <f t="shared" si="5"/>
        <v>0</v>
      </c>
      <c r="AG18" s="1">
        <f t="shared" si="5"/>
        <v>0</v>
      </c>
      <c r="AH18" s="1">
        <f t="shared" si="5"/>
        <v>0</v>
      </c>
      <c r="AI18" s="1">
        <f t="shared" si="5"/>
        <v>0</v>
      </c>
      <c r="AK18" s="7" t="s">
        <v>20</v>
      </c>
      <c r="AL18" s="1">
        <f t="shared" si="6"/>
        <v>0</v>
      </c>
      <c r="AM18" s="1">
        <f t="shared" si="6"/>
        <v>0</v>
      </c>
      <c r="AN18" s="1">
        <f t="shared" si="6"/>
        <v>0</v>
      </c>
      <c r="AO18" s="1">
        <f t="shared" si="6"/>
        <v>0</v>
      </c>
      <c r="AP18" s="1">
        <f t="shared" si="6"/>
        <v>0</v>
      </c>
      <c r="AR18" s="7" t="s">
        <v>20</v>
      </c>
      <c r="AS18" s="1">
        <f t="shared" si="7"/>
        <v>0</v>
      </c>
      <c r="AT18" s="1">
        <f t="shared" si="7"/>
        <v>0</v>
      </c>
      <c r="AU18" s="1">
        <f t="shared" si="7"/>
        <v>0</v>
      </c>
      <c r="AV18" s="1">
        <f t="shared" si="7"/>
        <v>0</v>
      </c>
      <c r="AW18" s="1">
        <f t="shared" si="7"/>
        <v>0</v>
      </c>
      <c r="AY18" s="7" t="s">
        <v>20</v>
      </c>
      <c r="AZ18" s="1">
        <f t="shared" si="8"/>
        <v>0</v>
      </c>
      <c r="BA18" s="1">
        <f t="shared" si="8"/>
        <v>0</v>
      </c>
      <c r="BB18" s="1">
        <f t="shared" si="8"/>
        <v>0</v>
      </c>
      <c r="BC18" s="1">
        <f t="shared" si="8"/>
        <v>0</v>
      </c>
      <c r="BD18" s="1">
        <f t="shared" si="8"/>
        <v>0</v>
      </c>
      <c r="BF18" s="7" t="s">
        <v>20</v>
      </c>
      <c r="BG18" s="1">
        <f t="shared" si="9"/>
        <v>0</v>
      </c>
      <c r="BH18" s="1">
        <f t="shared" si="9"/>
        <v>0</v>
      </c>
      <c r="BI18" s="1">
        <f t="shared" si="9"/>
        <v>0</v>
      </c>
      <c r="BJ18" s="1">
        <f t="shared" si="9"/>
        <v>0</v>
      </c>
      <c r="BK18" s="1">
        <f t="shared" si="9"/>
        <v>0</v>
      </c>
      <c r="BM18" s="7" t="s">
        <v>20</v>
      </c>
      <c r="BN18" s="1">
        <f t="shared" si="10"/>
        <v>0</v>
      </c>
    </row>
    <row r="19" spans="1:69" x14ac:dyDescent="0.2">
      <c r="A19" s="7" t="s">
        <v>25</v>
      </c>
      <c r="B19" s="1">
        <v>1</v>
      </c>
      <c r="C19" s="1">
        <v>1</v>
      </c>
      <c r="E19" s="7" t="s">
        <v>25</v>
      </c>
      <c r="F19" s="1">
        <f t="shared" si="11"/>
        <v>0</v>
      </c>
      <c r="G19" s="1">
        <f t="shared" si="1"/>
        <v>0</v>
      </c>
      <c r="I19" s="7" t="s">
        <v>25</v>
      </c>
      <c r="J19" s="1">
        <f t="shared" si="2"/>
        <v>0</v>
      </c>
      <c r="K19" s="1">
        <f t="shared" si="2"/>
        <v>0</v>
      </c>
      <c r="L19" s="1">
        <f t="shared" si="2"/>
        <v>0</v>
      </c>
      <c r="M19" s="1">
        <f t="shared" si="2"/>
        <v>0</v>
      </c>
      <c r="N19" s="1">
        <f t="shared" si="2"/>
        <v>0</v>
      </c>
      <c r="P19" s="7" t="s">
        <v>25</v>
      </c>
      <c r="Q19" s="1">
        <f t="shared" si="3"/>
        <v>0</v>
      </c>
      <c r="R19" s="1">
        <f t="shared" si="3"/>
        <v>0</v>
      </c>
      <c r="S19" s="1">
        <f t="shared" si="3"/>
        <v>0</v>
      </c>
      <c r="T19" s="1">
        <f t="shared" si="3"/>
        <v>0</v>
      </c>
      <c r="U19" s="1">
        <f t="shared" si="3"/>
        <v>0</v>
      </c>
      <c r="W19" s="7" t="s">
        <v>25</v>
      </c>
      <c r="X19" s="1">
        <f t="shared" si="4"/>
        <v>0</v>
      </c>
      <c r="Y19" s="1">
        <f t="shared" si="4"/>
        <v>0</v>
      </c>
      <c r="Z19" s="1">
        <f t="shared" si="4"/>
        <v>0</v>
      </c>
      <c r="AA19" s="1">
        <f t="shared" si="4"/>
        <v>0</v>
      </c>
      <c r="AB19" s="1">
        <f t="shared" si="4"/>
        <v>0</v>
      </c>
      <c r="AD19" s="7" t="s">
        <v>25</v>
      </c>
      <c r="AE19" s="1">
        <f t="shared" si="5"/>
        <v>0</v>
      </c>
      <c r="AF19" s="1">
        <f t="shared" si="5"/>
        <v>0</v>
      </c>
      <c r="AG19" s="1">
        <f t="shared" si="5"/>
        <v>0</v>
      </c>
      <c r="AH19" s="1">
        <f t="shared" si="5"/>
        <v>0</v>
      </c>
      <c r="AI19" s="1">
        <f t="shared" si="5"/>
        <v>0</v>
      </c>
      <c r="AK19" s="7" t="s">
        <v>25</v>
      </c>
      <c r="AL19" s="1">
        <f t="shared" si="6"/>
        <v>0</v>
      </c>
      <c r="AM19" s="1">
        <f t="shared" si="6"/>
        <v>0</v>
      </c>
      <c r="AN19" s="1">
        <f t="shared" si="6"/>
        <v>0</v>
      </c>
      <c r="AO19" s="1">
        <f t="shared" si="6"/>
        <v>0</v>
      </c>
      <c r="AP19" s="1">
        <f t="shared" si="6"/>
        <v>0</v>
      </c>
      <c r="AR19" s="7" t="s">
        <v>25</v>
      </c>
      <c r="AS19" s="1">
        <f t="shared" si="7"/>
        <v>0</v>
      </c>
      <c r="AT19" s="1">
        <f t="shared" si="7"/>
        <v>0</v>
      </c>
      <c r="AU19" s="1">
        <f t="shared" si="7"/>
        <v>0</v>
      </c>
      <c r="AV19" s="1">
        <f t="shared" si="7"/>
        <v>0</v>
      </c>
      <c r="AW19" s="1">
        <f t="shared" si="7"/>
        <v>0</v>
      </c>
      <c r="AY19" s="7" t="s">
        <v>25</v>
      </c>
      <c r="AZ19" s="1">
        <f t="shared" si="8"/>
        <v>0</v>
      </c>
      <c r="BA19" s="1">
        <f t="shared" si="8"/>
        <v>0</v>
      </c>
      <c r="BB19" s="1">
        <f t="shared" si="8"/>
        <v>0</v>
      </c>
      <c r="BC19" s="1">
        <f t="shared" si="8"/>
        <v>0</v>
      </c>
      <c r="BD19" s="1">
        <f t="shared" si="8"/>
        <v>0</v>
      </c>
      <c r="BF19" s="7" t="s">
        <v>25</v>
      </c>
      <c r="BG19" s="1">
        <f t="shared" si="9"/>
        <v>0</v>
      </c>
      <c r="BH19" s="1">
        <f t="shared" si="9"/>
        <v>0</v>
      </c>
      <c r="BI19" s="1">
        <f t="shared" si="9"/>
        <v>0</v>
      </c>
      <c r="BJ19" s="1">
        <f t="shared" si="9"/>
        <v>0</v>
      </c>
      <c r="BK19" s="1">
        <f t="shared" si="9"/>
        <v>0</v>
      </c>
      <c r="BM19" s="7" t="s">
        <v>25</v>
      </c>
      <c r="BN19" s="1">
        <f t="shared" si="10"/>
        <v>0</v>
      </c>
    </row>
    <row r="20" spans="1:69" x14ac:dyDescent="0.2">
      <c r="A20" s="7" t="s">
        <v>22</v>
      </c>
      <c r="B20" s="1">
        <v>1</v>
      </c>
      <c r="C20" s="1">
        <v>1</v>
      </c>
      <c r="E20" s="7" t="s">
        <v>22</v>
      </c>
      <c r="F20" s="1">
        <f t="shared" si="11"/>
        <v>0</v>
      </c>
      <c r="G20" s="1">
        <f t="shared" si="1"/>
        <v>0</v>
      </c>
      <c r="I20" s="7" t="s">
        <v>22</v>
      </c>
      <c r="J20" s="1">
        <f t="shared" si="2"/>
        <v>0</v>
      </c>
      <c r="K20" s="1">
        <f t="shared" si="2"/>
        <v>0</v>
      </c>
      <c r="L20" s="1">
        <f t="shared" si="2"/>
        <v>0</v>
      </c>
      <c r="M20" s="1">
        <f t="shared" si="2"/>
        <v>0</v>
      </c>
      <c r="N20" s="1">
        <f t="shared" si="2"/>
        <v>0</v>
      </c>
      <c r="P20" s="7" t="s">
        <v>22</v>
      </c>
      <c r="Q20" s="1">
        <f t="shared" si="3"/>
        <v>0</v>
      </c>
      <c r="R20" s="1">
        <f t="shared" si="3"/>
        <v>0</v>
      </c>
      <c r="S20" s="1">
        <f t="shared" si="3"/>
        <v>0</v>
      </c>
      <c r="T20" s="1">
        <f t="shared" si="3"/>
        <v>0</v>
      </c>
      <c r="U20" s="1">
        <f t="shared" si="3"/>
        <v>0</v>
      </c>
      <c r="W20" s="7" t="s">
        <v>22</v>
      </c>
      <c r="X20" s="1">
        <f t="shared" si="4"/>
        <v>0</v>
      </c>
      <c r="Y20" s="1">
        <f t="shared" si="4"/>
        <v>0</v>
      </c>
      <c r="Z20" s="1">
        <f t="shared" si="4"/>
        <v>0</v>
      </c>
      <c r="AA20" s="1">
        <f t="shared" si="4"/>
        <v>0</v>
      </c>
      <c r="AB20" s="1">
        <f t="shared" si="4"/>
        <v>0</v>
      </c>
      <c r="AD20" s="7" t="s">
        <v>22</v>
      </c>
      <c r="AE20" s="1">
        <f t="shared" si="5"/>
        <v>0</v>
      </c>
      <c r="AF20" s="1">
        <f t="shared" si="5"/>
        <v>0</v>
      </c>
      <c r="AG20" s="1">
        <f t="shared" si="5"/>
        <v>0</v>
      </c>
      <c r="AH20" s="1">
        <f t="shared" si="5"/>
        <v>0</v>
      </c>
      <c r="AI20" s="1">
        <f t="shared" si="5"/>
        <v>0</v>
      </c>
      <c r="AK20" s="7" t="s">
        <v>22</v>
      </c>
      <c r="AL20" s="1">
        <f t="shared" si="6"/>
        <v>0</v>
      </c>
      <c r="AM20" s="1">
        <f t="shared" si="6"/>
        <v>0</v>
      </c>
      <c r="AN20" s="1">
        <f t="shared" si="6"/>
        <v>0</v>
      </c>
      <c r="AO20" s="1">
        <f t="shared" si="6"/>
        <v>0</v>
      </c>
      <c r="AP20" s="1">
        <f t="shared" si="6"/>
        <v>0</v>
      </c>
      <c r="AR20" s="7" t="s">
        <v>22</v>
      </c>
      <c r="AS20" s="1">
        <f t="shared" si="7"/>
        <v>0</v>
      </c>
      <c r="AT20" s="1">
        <f t="shared" si="7"/>
        <v>0</v>
      </c>
      <c r="AU20" s="1">
        <f t="shared" si="7"/>
        <v>0</v>
      </c>
      <c r="AV20" s="1">
        <f t="shared" si="7"/>
        <v>0</v>
      </c>
      <c r="AW20" s="1">
        <f t="shared" si="7"/>
        <v>0</v>
      </c>
      <c r="AY20" s="7" t="s">
        <v>22</v>
      </c>
      <c r="AZ20" s="1">
        <f t="shared" si="8"/>
        <v>0</v>
      </c>
      <c r="BA20" s="1">
        <f t="shared" si="8"/>
        <v>0</v>
      </c>
      <c r="BB20" s="1">
        <f t="shared" si="8"/>
        <v>0</v>
      </c>
      <c r="BC20" s="1">
        <f t="shared" si="8"/>
        <v>0</v>
      </c>
      <c r="BD20" s="1">
        <f t="shared" si="8"/>
        <v>0</v>
      </c>
      <c r="BF20" s="7" t="s">
        <v>22</v>
      </c>
      <c r="BG20" s="1">
        <f t="shared" si="9"/>
        <v>0</v>
      </c>
      <c r="BH20" s="1">
        <f t="shared" si="9"/>
        <v>0</v>
      </c>
      <c r="BI20" s="1">
        <f t="shared" si="9"/>
        <v>0</v>
      </c>
      <c r="BJ20" s="1">
        <f t="shared" si="9"/>
        <v>0</v>
      </c>
      <c r="BK20" s="1">
        <f t="shared" si="9"/>
        <v>0</v>
      </c>
      <c r="BM20" s="7" t="s">
        <v>22</v>
      </c>
      <c r="BN20" s="1">
        <f t="shared" si="10"/>
        <v>0</v>
      </c>
    </row>
    <row r="21" spans="1:69" s="16" customFormat="1" x14ac:dyDescent="0.2">
      <c r="A21" s="16" t="s">
        <v>35</v>
      </c>
      <c r="B21" s="16">
        <v>1</v>
      </c>
      <c r="C21" s="16">
        <v>0</v>
      </c>
      <c r="E21" s="17" t="s">
        <v>13</v>
      </c>
      <c r="F21" s="16">
        <f>COUNTIF(F$2:F$12,$E21 &amp; "*")</f>
        <v>1</v>
      </c>
      <c r="G21" s="16">
        <f>COUNTIF(G$2:G$12,$E21 &amp; "*")</f>
        <v>1</v>
      </c>
      <c r="I21" s="17" t="s">
        <v>13</v>
      </c>
      <c r="J21" s="16">
        <f t="shared" ref="J21:N21" si="12">COUNTIF(J$2:J$12,$E21 &amp; "*")</f>
        <v>2</v>
      </c>
      <c r="K21" s="16">
        <f t="shared" si="12"/>
        <v>2</v>
      </c>
      <c r="L21" s="16">
        <f t="shared" si="12"/>
        <v>2</v>
      </c>
      <c r="M21" s="16">
        <f t="shared" si="12"/>
        <v>1</v>
      </c>
      <c r="N21" s="16">
        <f t="shared" si="12"/>
        <v>1</v>
      </c>
      <c r="P21" s="17" t="s">
        <v>13</v>
      </c>
      <c r="Q21" s="16">
        <f t="shared" ref="Q21:U21" si="13">COUNTIF(Q$2:Q$12,$E21 &amp; "*")</f>
        <v>2</v>
      </c>
      <c r="R21" s="16">
        <f t="shared" si="13"/>
        <v>2</v>
      </c>
      <c r="S21" s="16">
        <f t="shared" si="13"/>
        <v>1</v>
      </c>
      <c r="T21" s="16">
        <f t="shared" si="13"/>
        <v>1</v>
      </c>
      <c r="U21" s="16">
        <f t="shared" si="13"/>
        <v>1</v>
      </c>
      <c r="W21" s="17" t="s">
        <v>13</v>
      </c>
      <c r="X21" s="16">
        <f t="shared" ref="X21:AB21" si="14">COUNTIF(X$2:X$12,$E21 &amp; "*")</f>
        <v>1</v>
      </c>
      <c r="Y21" s="16">
        <f t="shared" si="14"/>
        <v>1</v>
      </c>
      <c r="Z21" s="16">
        <f t="shared" si="14"/>
        <v>1</v>
      </c>
      <c r="AA21" s="16">
        <f t="shared" si="14"/>
        <v>2</v>
      </c>
      <c r="AB21" s="16">
        <f t="shared" si="14"/>
        <v>2</v>
      </c>
      <c r="AD21" s="17" t="s">
        <v>13</v>
      </c>
      <c r="AE21" s="16">
        <f t="shared" ref="AE21:AI21" si="15">COUNTIF(AE$2:AE$12,$E21 &amp; "*")</f>
        <v>2</v>
      </c>
      <c r="AF21" s="16">
        <f t="shared" si="15"/>
        <v>1</v>
      </c>
      <c r="AG21" s="16">
        <f t="shared" si="15"/>
        <v>1</v>
      </c>
      <c r="AH21" s="16">
        <f t="shared" si="15"/>
        <v>2</v>
      </c>
      <c r="AI21" s="16">
        <f t="shared" si="15"/>
        <v>2</v>
      </c>
      <c r="AK21" s="17" t="s">
        <v>13</v>
      </c>
      <c r="AL21" s="16">
        <f t="shared" ref="AL21:AP21" si="16">COUNTIF(AL$2:AL$12,$E21 &amp; "*")</f>
        <v>1</v>
      </c>
      <c r="AM21" s="16">
        <f t="shared" si="16"/>
        <v>1</v>
      </c>
      <c r="AN21" s="16">
        <f t="shared" si="16"/>
        <v>1</v>
      </c>
      <c r="AO21" s="16">
        <f t="shared" si="16"/>
        <v>1</v>
      </c>
      <c r="AP21" s="16">
        <f t="shared" si="16"/>
        <v>1</v>
      </c>
      <c r="AR21" s="17" t="s">
        <v>13</v>
      </c>
      <c r="AS21" s="16">
        <f t="shared" ref="AS21:AW21" si="17">COUNTIF(AS$2:AS$12,$E21 &amp; "*")</f>
        <v>1</v>
      </c>
      <c r="AT21" s="16">
        <f t="shared" si="17"/>
        <v>1</v>
      </c>
      <c r="AU21" s="16">
        <f t="shared" si="17"/>
        <v>1</v>
      </c>
      <c r="AV21" s="16">
        <f t="shared" si="17"/>
        <v>1</v>
      </c>
      <c r="AW21" s="16">
        <f t="shared" si="17"/>
        <v>2</v>
      </c>
      <c r="AY21" s="17" t="s">
        <v>13</v>
      </c>
      <c r="AZ21" s="16">
        <f t="shared" ref="AZ21:BD21" si="18">COUNTIF(AZ$2:AZ$12,$E21 &amp; "*")</f>
        <v>2</v>
      </c>
      <c r="BA21" s="16">
        <f t="shared" si="18"/>
        <v>2</v>
      </c>
      <c r="BB21" s="16">
        <f t="shared" si="18"/>
        <v>2</v>
      </c>
      <c r="BC21" s="16">
        <f t="shared" si="18"/>
        <v>2</v>
      </c>
      <c r="BD21" s="16">
        <f t="shared" si="18"/>
        <v>1</v>
      </c>
      <c r="BF21" s="17" t="s">
        <v>13</v>
      </c>
      <c r="BG21" s="16">
        <f t="shared" ref="BG21:BK21" si="19">COUNTIF(BG$2:BG$12,$E21 &amp; "*")</f>
        <v>2</v>
      </c>
      <c r="BH21" s="16">
        <f t="shared" si="19"/>
        <v>2</v>
      </c>
      <c r="BI21" s="16">
        <f t="shared" si="19"/>
        <v>2</v>
      </c>
      <c r="BJ21" s="16">
        <f t="shared" si="19"/>
        <v>1</v>
      </c>
      <c r="BK21" s="16">
        <f t="shared" si="19"/>
        <v>1</v>
      </c>
      <c r="BM21" s="17" t="s">
        <v>13</v>
      </c>
      <c r="BN21" s="16">
        <f t="shared" ref="BN21" si="20">COUNTIF(BN$2:BN$12,$E21 &amp; "*")</f>
        <v>1</v>
      </c>
      <c r="BP21" s="18"/>
      <c r="BQ21" s="18"/>
    </row>
    <row r="22" spans="1:69" s="3" customFormat="1" hidden="1" x14ac:dyDescent="0.2">
      <c r="A22" s="2" t="s">
        <v>14</v>
      </c>
      <c r="B22" s="2" t="s">
        <v>15</v>
      </c>
      <c r="C22" s="2" t="s">
        <v>19</v>
      </c>
      <c r="D22" s="10"/>
      <c r="E22" s="8"/>
      <c r="F22" s="3" t="s">
        <v>18</v>
      </c>
      <c r="H22" s="6"/>
      <c r="I22" s="8"/>
      <c r="J22" s="3" t="s">
        <v>18</v>
      </c>
      <c r="O22" s="6"/>
      <c r="P22" s="8"/>
      <c r="Q22" s="3" t="s">
        <v>18</v>
      </c>
      <c r="V22" s="6"/>
      <c r="W22" s="8"/>
      <c r="X22" s="3" t="s">
        <v>18</v>
      </c>
      <c r="AC22" s="6"/>
      <c r="AD22" s="8"/>
      <c r="AE22" s="3" t="s">
        <v>18</v>
      </c>
      <c r="AJ22" s="6"/>
      <c r="AK22" s="8"/>
      <c r="AL22" s="3" t="s">
        <v>18</v>
      </c>
      <c r="AQ22" s="6"/>
      <c r="AR22" s="8"/>
      <c r="AS22" s="3" t="s">
        <v>18</v>
      </c>
      <c r="AX22" s="6"/>
      <c r="AY22" s="8"/>
      <c r="AZ22" s="3" t="s">
        <v>18</v>
      </c>
      <c r="BE22" s="6"/>
      <c r="BF22" s="8"/>
      <c r="BG22" s="3" t="s">
        <v>18</v>
      </c>
      <c r="BL22" s="6"/>
      <c r="BM22" s="8"/>
      <c r="BP22" s="14"/>
      <c r="BQ22" s="14"/>
    </row>
    <row r="23" spans="1:69" s="1" customFormat="1" hidden="1" x14ac:dyDescent="0.2">
      <c r="A23" s="1" t="s">
        <v>21</v>
      </c>
      <c r="B23" s="1">
        <v>3</v>
      </c>
      <c r="C23" s="1">
        <v>7</v>
      </c>
      <c r="E23" s="7" t="s">
        <v>21</v>
      </c>
      <c r="F23" s="1">
        <f>COUNTIF(F$2:F$12,$E23 &amp; "*") -$B23</f>
        <v>0</v>
      </c>
      <c r="G23" s="1">
        <f>COUNTIF(G$2:G$12,$E23 &amp; "*") -$B23</f>
        <v>0</v>
      </c>
      <c r="I23" s="7" t="s">
        <v>21</v>
      </c>
      <c r="J23">
        <f>COUNTIF(J$2:J$12,$E23 &amp; "*") -$B23</f>
        <v>-1</v>
      </c>
      <c r="K23">
        <f>COUNTIF(K$2:K$12,$E23 &amp; "*") -$B23</f>
        <v>-1</v>
      </c>
      <c r="L23">
        <f>COUNTIF(L$2:L$12,$E23 &amp; "*") -$B23</f>
        <v>-1</v>
      </c>
      <c r="M23">
        <f>COUNTIF(M$2:M$12,$E23 &amp; "*") -$B23</f>
        <v>-1</v>
      </c>
      <c r="N23" s="1">
        <f>COUNTIF(N$2:N$12,$E23 &amp; "*") -$B23</f>
        <v>-1</v>
      </c>
      <c r="P23" s="7" t="s">
        <v>21</v>
      </c>
      <c r="Q23" s="1">
        <f>COUNTIF(Q$2:Q$12,$E23 &amp; "*") -$B23</f>
        <v>-1</v>
      </c>
      <c r="R23" s="1">
        <f>COUNTIF(R$2:R$12,$E23 &amp; "*") -$B23</f>
        <v>-1</v>
      </c>
      <c r="S23" s="1">
        <f>COUNTIF(S$2:S$12,$E23 &amp; "*") -$B23</f>
        <v>0</v>
      </c>
      <c r="T23" s="1">
        <f>COUNTIF(T$2:T$12,$E23 &amp; "*") -$B23</f>
        <v>0</v>
      </c>
      <c r="U23" s="1">
        <f>COUNTIF(U$2:U$12,$E23 &amp; "*") -$B23</f>
        <v>0</v>
      </c>
      <c r="W23" s="7" t="s">
        <v>21</v>
      </c>
      <c r="X23" s="1">
        <f>COUNTIF(X$2:X$12,$E23 &amp; "*") -$B23</f>
        <v>0</v>
      </c>
      <c r="Y23" s="1">
        <f>COUNTIF(Y$2:Y$12,$E23 &amp; "*") -$B23</f>
        <v>0</v>
      </c>
      <c r="Z23" s="1">
        <f>COUNTIF(Z$2:Z$12,$E23 &amp; "*") -$B23</f>
        <v>-1</v>
      </c>
      <c r="AA23" s="1">
        <f>COUNTIF(AA$2:AA$12,$E23 &amp; "*") -$B23</f>
        <v>-1</v>
      </c>
      <c r="AB23" s="1">
        <f>COUNTIF(AB$2:AB$12,$E23 &amp; "*") -$B23</f>
        <v>-2</v>
      </c>
      <c r="AD23" s="7" t="s">
        <v>21</v>
      </c>
      <c r="AE23" s="1">
        <f>COUNTIF(AE$2:AE$12,$E23 &amp; "*") -$B23</f>
        <v>-2</v>
      </c>
      <c r="AF23" s="1">
        <f>COUNTIF(AF$2:AF$12,$E23 &amp; "*") -$B23</f>
        <v>-1</v>
      </c>
      <c r="AG23" s="1">
        <f>COUNTIF(AG$2:AG$12,$E23 &amp; "*") -$B23</f>
        <v>0</v>
      </c>
      <c r="AH23" s="1">
        <f>COUNTIF(AH$2:AH$12,$E23 &amp; "*") -$B23</f>
        <v>-1</v>
      </c>
      <c r="AI23" s="1">
        <f>COUNTIF(AI$2:AI$12,$E23 &amp; "*") -$B23</f>
        <v>-2</v>
      </c>
      <c r="AK23" s="7" t="s">
        <v>21</v>
      </c>
      <c r="AL23" s="1">
        <f>COUNTIF(AL$2:AL$12,$E23 &amp; "*") -$B23</f>
        <v>-1</v>
      </c>
      <c r="AM23" s="1">
        <f>COUNTIF(AM$2:AM$12,$E23 &amp; "*") -$B23</f>
        <v>-1</v>
      </c>
      <c r="AN23" s="1">
        <f>COUNTIF(AN$2:AN$12,$E23 &amp; "*") -$B23</f>
        <v>-1</v>
      </c>
      <c r="AO23" s="1">
        <f>COUNTIF(AO$2:AO$12,$E23 &amp; "*") -$B23</f>
        <v>-1</v>
      </c>
      <c r="AP23" s="1">
        <f>COUNTIF(AP$2:AP$12,$E23 &amp; "*") -$B23</f>
        <v>0</v>
      </c>
      <c r="AR23" s="7" t="s">
        <v>21</v>
      </c>
      <c r="AS23" s="1">
        <f>COUNTIF(AS$2:AS$12,$E23 &amp; "*") -$B23</f>
        <v>-1</v>
      </c>
      <c r="AT23" s="1">
        <f>COUNTIF(AT$2:AT$12,$E23 &amp; "*") -$B23</f>
        <v>-1</v>
      </c>
      <c r="AU23" s="1">
        <f>COUNTIF(AU$2:AU$12,$E23 &amp; "*") -$B23</f>
        <v>-1</v>
      </c>
      <c r="AV23" s="1">
        <f>COUNTIF(AV$2:AV$12,$E23 &amp; "*") -$B23</f>
        <v>-1</v>
      </c>
      <c r="AW23" s="1">
        <f>COUNTIF(AW$2:AW$12,$E23 &amp; "*") -$B23</f>
        <v>-1</v>
      </c>
      <c r="AY23" s="7" t="s">
        <v>21</v>
      </c>
      <c r="AZ23" s="1">
        <f>COUNTIF(AZ$2:AZ$12,$E23 &amp; "*") -$B23</f>
        <v>-1</v>
      </c>
      <c r="BA23" s="1">
        <f>COUNTIF(BA$2:BA$12,$E23 &amp; "*") -$B23</f>
        <v>-1</v>
      </c>
      <c r="BB23" s="1">
        <f>COUNTIF(BB$2:BB$12,$E23 &amp; "*") -$B23</f>
        <v>-1</v>
      </c>
      <c r="BC23" s="1">
        <f>COUNTIF(BC$2:BC$12,$E23 &amp; "*") -$B23</f>
        <v>-1</v>
      </c>
      <c r="BD23" s="1">
        <f>COUNTIF(BD$2:BD$12,$E23 &amp; "*") -$B23</f>
        <v>-1</v>
      </c>
      <c r="BF23" s="7" t="s">
        <v>21</v>
      </c>
      <c r="BG23" s="1">
        <f>COUNTIF(BG$2:BG$12,$E23 &amp; "*") -$B23</f>
        <v>-1</v>
      </c>
      <c r="BH23" s="1">
        <f>COUNTIF(BH$2:BH$12,$E23 &amp; "*") -$B23</f>
        <v>-2</v>
      </c>
      <c r="BI23" s="1">
        <f>COUNTIF(BI$2:BI$12,$E23 &amp; "*") -$B23</f>
        <v>-1</v>
      </c>
      <c r="BJ23" s="1">
        <f>COUNTIF(BJ$2:BJ$12,$E23 &amp; "*") -$B23</f>
        <v>-1</v>
      </c>
      <c r="BK23" s="1">
        <f>COUNTIF(BK$2:BK$12,$E23 &amp; "*") -$B23</f>
        <v>-1</v>
      </c>
      <c r="BM23" s="7" t="s">
        <v>21</v>
      </c>
      <c r="BN23" s="1">
        <f>COUNTIF(BN$2:BN$12,$E23 &amp; "*") -$B23</f>
        <v>-1</v>
      </c>
      <c r="BP23" s="13"/>
      <c r="BQ23" s="13"/>
    </row>
    <row r="24" spans="1:69" s="1" customFormat="1" hidden="1" x14ac:dyDescent="0.2">
      <c r="A24" s="1" t="s">
        <v>24</v>
      </c>
      <c r="B24" s="1">
        <v>2</v>
      </c>
      <c r="C24" s="1">
        <v>6</v>
      </c>
      <c r="E24" s="7" t="s">
        <v>24</v>
      </c>
      <c r="F24" s="1">
        <f>COUNTIF(F$2:F$12,$E24 &amp; "*") -$B24</f>
        <v>-1</v>
      </c>
      <c r="G24" s="1">
        <f>COUNTIF(G$2:G$12,$E24 &amp; "*") -$B24</f>
        <v>-1</v>
      </c>
      <c r="I24" s="7" t="s">
        <v>24</v>
      </c>
      <c r="J24" s="1">
        <f>COUNTIF(J$2:J$12,$E24 &amp; "*") -$B24</f>
        <v>-1</v>
      </c>
      <c r="K24" s="1">
        <f>COUNTIF(K$2:K$12,$E24 &amp; "*") -$B24</f>
        <v>-1</v>
      </c>
      <c r="L24" s="1">
        <f>COUNTIF(L$2:L$12,$E24 &amp; "*") -$B24</f>
        <v>-1</v>
      </c>
      <c r="M24" s="1">
        <f>COUNTIF(M$2:M$12,$E24 &amp; "*") -$B24</f>
        <v>0</v>
      </c>
      <c r="N24" s="1">
        <f>COUNTIF(N$2:N$12,$E24 &amp; "*") -$B24</f>
        <v>0</v>
      </c>
      <c r="P24" s="7" t="s">
        <v>24</v>
      </c>
      <c r="Q24" s="1">
        <f>COUNTIF(Q$2:Q$12,$E24 &amp; "*") -$B24</f>
        <v>-1</v>
      </c>
      <c r="R24" s="1">
        <f>COUNTIF(R$2:R$12,$E24 &amp; "*") -$B24</f>
        <v>-1</v>
      </c>
      <c r="S24" s="1">
        <f>COUNTIF(S$2:S$12,$E24 &amp; "*") -$B24</f>
        <v>-1</v>
      </c>
      <c r="T24" s="1">
        <f>COUNTIF(T$2:T$12,$E24 &amp; "*") -$B24</f>
        <v>-1</v>
      </c>
      <c r="U24" s="1">
        <f>COUNTIF(U$2:U$12,$E24 &amp; "*") -$B24</f>
        <v>-1</v>
      </c>
      <c r="W24" s="7" t="s">
        <v>24</v>
      </c>
      <c r="X24" s="1">
        <f>COUNTIF(X$2:X$12,$E24 &amp; "*") -$B24</f>
        <v>-1</v>
      </c>
      <c r="Y24" s="1">
        <f>COUNTIF(Y$2:Y$12,$E24 &amp; "*") -$B24</f>
        <v>-1</v>
      </c>
      <c r="Z24" s="1">
        <f>COUNTIF(Z$2:Z$12,$E24 &amp; "*") -$B24</f>
        <v>0</v>
      </c>
      <c r="AA24" s="1">
        <f>COUNTIF(AA$2:AA$12,$E24 &amp; "*") -$B24</f>
        <v>-1</v>
      </c>
      <c r="AB24" s="1">
        <f>COUNTIF(AB$2:AB$12,$E24 &amp; "*") -$B24</f>
        <v>0</v>
      </c>
      <c r="AD24" s="7" t="s">
        <v>24</v>
      </c>
      <c r="AE24" s="1">
        <f>COUNTIF(AE$2:AE$12,$E24 &amp; "*") -$B24</f>
        <v>0</v>
      </c>
      <c r="AF24" s="1">
        <f>COUNTIF(AF$2:AF$12,$E24 &amp; "*") -$B24</f>
        <v>0</v>
      </c>
      <c r="AG24" s="1">
        <f>COUNTIF(AG$2:AG$12,$E24 &amp; "*") -$B24</f>
        <v>-1</v>
      </c>
      <c r="AH24" s="1">
        <f>COUNTIF(AH$2:AH$12,$E24 &amp; "*") -$B24</f>
        <v>-1</v>
      </c>
      <c r="AI24" s="1">
        <f>COUNTIF(AI$2:AI$12,$E24 &amp; "*") -$B24</f>
        <v>0</v>
      </c>
      <c r="AK24" s="7" t="s">
        <v>24</v>
      </c>
      <c r="AL24" s="1">
        <f>COUNTIF(AL$2:AL$12,$E24 &amp; "*") -$B24</f>
        <v>0</v>
      </c>
      <c r="AM24" s="1">
        <f>COUNTIF(AM$2:AM$12,$E24 &amp; "*") -$B24</f>
        <v>0</v>
      </c>
      <c r="AN24" s="1">
        <f>COUNTIF(AN$2:AN$12,$E24 &amp; "*") -$B24</f>
        <v>0</v>
      </c>
      <c r="AO24" s="1">
        <f>COUNTIF(AO$2:AO$12,$E24 &amp; "*") -$B24</f>
        <v>0</v>
      </c>
      <c r="AP24" s="1">
        <f>COUNTIF(AP$2:AP$12,$E24 &amp; "*") -$B24</f>
        <v>-1</v>
      </c>
      <c r="AR24" s="7" t="s">
        <v>24</v>
      </c>
      <c r="AS24" s="1">
        <f>COUNTIF(AS$2:AS$12,$E24 &amp; "*") -$B24</f>
        <v>0</v>
      </c>
      <c r="AT24" s="1">
        <f>COUNTIF(AT$2:AT$12,$E24 &amp; "*") -$B24</f>
        <v>0</v>
      </c>
      <c r="AU24" s="1">
        <f>COUNTIF(AU$2:AU$12,$E24 &amp; "*") -$B24</f>
        <v>0</v>
      </c>
      <c r="AV24" s="1">
        <f>COUNTIF(AV$2:AV$12,$E24 &amp; "*") -$B24</f>
        <v>0</v>
      </c>
      <c r="AW24" s="1">
        <f>COUNTIF(AW$2:AW$12,$E24 &amp; "*") -$B24</f>
        <v>-1</v>
      </c>
      <c r="AY24" s="7" t="s">
        <v>24</v>
      </c>
      <c r="AZ24" s="1">
        <f>COUNTIF(AZ$2:AZ$12,$E24 &amp; "*") -$B24</f>
        <v>-1</v>
      </c>
      <c r="BA24" s="1">
        <f>COUNTIF(BA$2:BA$12,$E24 &amp; "*") -$B24</f>
        <v>-1</v>
      </c>
      <c r="BB24" s="1">
        <f>COUNTIF(BB$2:BB$12,$E24 &amp; "*") -$B24</f>
        <v>-1</v>
      </c>
      <c r="BC24" s="1">
        <f>COUNTIF(BC$2:BC$12,$E24 &amp; "*") -$B24</f>
        <v>-1</v>
      </c>
      <c r="BD24" s="1">
        <f>COUNTIF(BD$2:BD$12,$E24 &amp; "*") -$B24</f>
        <v>0</v>
      </c>
      <c r="BF24" s="7" t="s">
        <v>24</v>
      </c>
      <c r="BG24" s="1">
        <f>COUNTIF(BG$2:BG$12,$E24 &amp; "*") -$B24</f>
        <v>-1</v>
      </c>
      <c r="BH24" s="1">
        <f>COUNTIF(BH$2:BH$12,$E24 &amp; "*") -$B24</f>
        <v>0</v>
      </c>
      <c r="BI24" s="1">
        <f>COUNTIF(BI$2:BI$12,$E24 &amp; "*") -$B24</f>
        <v>-1</v>
      </c>
      <c r="BJ24" s="1">
        <f>COUNTIF(BJ$2:BJ$12,$E24 &amp; "*") -$B24</f>
        <v>0</v>
      </c>
      <c r="BK24" s="1">
        <f>COUNTIF(BK$2:BK$12,$E24 &amp; "*") -$B24</f>
        <v>0</v>
      </c>
      <c r="BM24" s="7" t="s">
        <v>24</v>
      </c>
      <c r="BN24" s="1">
        <f>COUNTIF(BN$2:BN$12,$E24 &amp; "*") -$B24</f>
        <v>0</v>
      </c>
      <c r="BP24" s="13"/>
      <c r="BQ24" s="13"/>
    </row>
    <row r="25" spans="1:69" s="1" customFormat="1" hidden="1" x14ac:dyDescent="0.2">
      <c r="A25" s="1" t="s">
        <v>23</v>
      </c>
      <c r="B25" s="1">
        <v>2</v>
      </c>
      <c r="C25" s="1">
        <v>2</v>
      </c>
      <c r="E25" s="7" t="s">
        <v>23</v>
      </c>
      <c r="F25" s="1">
        <f>COUNTIF(F$2:F$12,$E25 &amp; "*") -$B25</f>
        <v>0</v>
      </c>
      <c r="G25" s="1">
        <f>COUNTIF(G$2:G$12,$E25 &amp; "*") -$B25</f>
        <v>0</v>
      </c>
      <c r="I25" s="7" t="s">
        <v>23</v>
      </c>
      <c r="J25" s="1">
        <f>COUNTIF(J$2:J$12,$E25 &amp; "*") -$B25</f>
        <v>0</v>
      </c>
      <c r="K25" s="1">
        <f>COUNTIF(K$2:K$12,$E25 &amp; "*") -$B25</f>
        <v>0</v>
      </c>
      <c r="L25" s="1">
        <f>COUNTIF(L$2:L$12,$E25 &amp; "*") -$B25</f>
        <v>0</v>
      </c>
      <c r="M25" s="1">
        <f>COUNTIF(M$2:M$12,$E25 &amp; "*") -$B25</f>
        <v>0</v>
      </c>
      <c r="N25" s="1">
        <f>COUNTIF(N$2:N$12,$E25 &amp; "*") -$B25</f>
        <v>0</v>
      </c>
      <c r="P25" s="7" t="s">
        <v>23</v>
      </c>
      <c r="Q25" s="1">
        <f>COUNTIF(Q$2:Q$12,$E25 &amp; "*") -$B25</f>
        <v>0</v>
      </c>
      <c r="R25" s="1">
        <f>COUNTIF(R$2:R$12,$E25 &amp; "*") -$B25</f>
        <v>0</v>
      </c>
      <c r="S25" s="1">
        <f>COUNTIF(S$2:S$12,$E25 &amp; "*") -$B25</f>
        <v>0</v>
      </c>
      <c r="T25" s="1">
        <f>COUNTIF(T$2:T$12,$E25 &amp; "*") -$B25</f>
        <v>0</v>
      </c>
      <c r="U25" s="1">
        <f>COUNTIF(U$2:U$12,$E25 &amp; "*") -$B25</f>
        <v>0</v>
      </c>
      <c r="W25" s="7" t="s">
        <v>23</v>
      </c>
      <c r="X25" s="1">
        <f>COUNTIF(X$2:X$12,$E25 &amp; "*") -$B25</f>
        <v>0</v>
      </c>
      <c r="Y25" s="1">
        <f>COUNTIF(Y$2:Y$12,$E25 &amp; "*") -$B25</f>
        <v>0</v>
      </c>
      <c r="Z25" s="1">
        <f>COUNTIF(Z$2:Z$12,$E25 &amp; "*") -$B25</f>
        <v>0</v>
      </c>
      <c r="AA25" s="1">
        <f>COUNTIF(AA$2:AA$12,$E25 &amp; "*") -$B25</f>
        <v>0</v>
      </c>
      <c r="AB25" s="1">
        <f>COUNTIF(AB$2:AB$12,$E25 &amp; "*") -$B25</f>
        <v>0</v>
      </c>
      <c r="AD25" s="7" t="s">
        <v>23</v>
      </c>
      <c r="AE25" s="1">
        <f>COUNTIF(AE$2:AE$12,$E25 &amp; "*") -$B25</f>
        <v>0</v>
      </c>
      <c r="AF25" s="1">
        <f>COUNTIF(AF$2:AF$12,$E25 &amp; "*") -$B25</f>
        <v>0</v>
      </c>
      <c r="AG25" s="1">
        <f>COUNTIF(AG$2:AG$12,$E25 &amp; "*") -$B25</f>
        <v>0</v>
      </c>
      <c r="AH25" s="1">
        <f>COUNTIF(AH$2:AH$12,$E25 &amp; "*") -$B25</f>
        <v>0</v>
      </c>
      <c r="AI25" s="1">
        <f>COUNTIF(AI$2:AI$12,$E25 &amp; "*") -$B25</f>
        <v>0</v>
      </c>
      <c r="AK25" s="7" t="s">
        <v>23</v>
      </c>
      <c r="AL25" s="1">
        <f>COUNTIF(AL$2:AL$12,$E25 &amp; "*") -$B25</f>
        <v>0</v>
      </c>
      <c r="AM25" s="1">
        <f>COUNTIF(AM$2:AM$12,$E25 &amp; "*") -$B25</f>
        <v>0</v>
      </c>
      <c r="AN25" s="1">
        <f>COUNTIF(AN$2:AN$12,$E25 &amp; "*") -$B25</f>
        <v>0</v>
      </c>
      <c r="AO25" s="1">
        <f>COUNTIF(AO$2:AO$12,$E25 &amp; "*") -$B25</f>
        <v>0</v>
      </c>
      <c r="AP25" s="1">
        <f>COUNTIF(AP$2:AP$12,$E25 &amp; "*") -$B25</f>
        <v>0</v>
      </c>
      <c r="AR25" s="7" t="s">
        <v>23</v>
      </c>
      <c r="AS25" s="1">
        <f>COUNTIF(AS$2:AS$12,$E25 &amp; "*") -$B25</f>
        <v>0</v>
      </c>
      <c r="AT25" s="1">
        <f>COUNTIF(AT$2:AT$12,$E25 &amp; "*") -$B25</f>
        <v>0</v>
      </c>
      <c r="AU25" s="1">
        <f>COUNTIF(AU$2:AU$12,$E25 &amp; "*") -$B25</f>
        <v>0</v>
      </c>
      <c r="AV25" s="1">
        <f>COUNTIF(AV$2:AV$12,$E25 &amp; "*") -$B25</f>
        <v>0</v>
      </c>
      <c r="AW25" s="1">
        <f>COUNTIF(AW$2:AW$12,$E25 &amp; "*") -$B25</f>
        <v>0</v>
      </c>
      <c r="AY25" s="7" t="s">
        <v>23</v>
      </c>
      <c r="AZ25" s="1">
        <f>COUNTIF(AZ$2:AZ$12,$E25 &amp; "*") -$B25</f>
        <v>0</v>
      </c>
      <c r="BA25" s="1">
        <f>COUNTIF(BA$2:BA$12,$E25 &amp; "*") -$B25</f>
        <v>0</v>
      </c>
      <c r="BB25" s="1">
        <f>COUNTIF(BB$2:BB$12,$E25 &amp; "*") -$B25</f>
        <v>0</v>
      </c>
      <c r="BC25" s="1">
        <f>COUNTIF(BC$2:BC$12,$E25 &amp; "*") -$B25</f>
        <v>0</v>
      </c>
      <c r="BD25" s="1">
        <f>COUNTIF(BD$2:BD$12,$E25 &amp; "*") -$B25</f>
        <v>0</v>
      </c>
      <c r="BF25" s="7" t="s">
        <v>23</v>
      </c>
      <c r="BG25" s="1">
        <f>COUNTIF(BG$2:BG$12,$E25 &amp; "*") -$B25</f>
        <v>0</v>
      </c>
      <c r="BH25" s="1">
        <f>COUNTIF(BH$2:BH$12,$E25 &amp; "*") -$B25</f>
        <v>0</v>
      </c>
      <c r="BI25" s="1">
        <f>COUNTIF(BI$2:BI$12,$E25 &amp; "*") -$B25</f>
        <v>0</v>
      </c>
      <c r="BJ25" s="1">
        <f>COUNTIF(BJ$2:BJ$12,$E25 &amp; "*") -$B25</f>
        <v>0</v>
      </c>
      <c r="BK25" s="1">
        <f>COUNTIF(BK$2:BK$12,$E25 &amp; "*") -$B25</f>
        <v>0</v>
      </c>
      <c r="BM25" s="7" t="s">
        <v>23</v>
      </c>
      <c r="BN25" s="1">
        <f>COUNTIF(BN$2:BN$12,$E25 &amp; "*") -$B25</f>
        <v>0</v>
      </c>
      <c r="BP25" s="13"/>
      <c r="BQ25" s="13"/>
    </row>
    <row r="26" spans="1:69" hidden="1" x14ac:dyDescent="0.2">
      <c r="A26" t="s">
        <v>20</v>
      </c>
      <c r="B26">
        <v>1</v>
      </c>
      <c r="C26">
        <v>0</v>
      </c>
      <c r="E26" s="7" t="s">
        <v>20</v>
      </c>
      <c r="F26">
        <f>COUNTIF(F$2:F$12,$E26 &amp; "*") -$B26</f>
        <v>0</v>
      </c>
      <c r="G26">
        <f>COUNTIF(G$2:G$12,$E26 &amp; "*") -$B26</f>
        <v>0</v>
      </c>
      <c r="I26" s="7" t="s">
        <v>20</v>
      </c>
      <c r="J26">
        <f>COUNTIF(J$2:J$12,$E26 &amp; "*") -$B26</f>
        <v>0</v>
      </c>
      <c r="K26">
        <f>COUNTIF(K$2:K$12,$E26 &amp; "*") -$B26</f>
        <v>0</v>
      </c>
      <c r="L26">
        <f>COUNTIF(L$2:L$12,$E26 &amp; "*") -$B26</f>
        <v>0</v>
      </c>
      <c r="M26">
        <f>COUNTIF(M$2:M$12,$E26 &amp; "*") -$B26</f>
        <v>0</v>
      </c>
      <c r="N26">
        <f>COUNTIF(N$2:N$12,$E26 &amp; "*") -$B26</f>
        <v>0</v>
      </c>
      <c r="P26" s="7" t="s">
        <v>20</v>
      </c>
      <c r="Q26">
        <f>COUNTIF(Q$2:Q$12,$E26 &amp; "*") -$B26</f>
        <v>0</v>
      </c>
      <c r="R26">
        <f>COUNTIF(R$2:R$12,$E26 &amp; "*") -$B26</f>
        <v>0</v>
      </c>
      <c r="S26">
        <f>COUNTIF(S$2:S$12,$E26 &amp; "*") -$B26</f>
        <v>0</v>
      </c>
      <c r="T26">
        <f>COUNTIF(T$2:T$12,$E26 &amp; "*") -$B26</f>
        <v>0</v>
      </c>
      <c r="U26">
        <f>COUNTIF(U$2:U$12,$E26 &amp; "*") -$B26</f>
        <v>0</v>
      </c>
      <c r="W26" s="7" t="s">
        <v>20</v>
      </c>
      <c r="X26">
        <f>COUNTIF(X$2:X$12,$E26 &amp; "*") -$B26</f>
        <v>0</v>
      </c>
      <c r="Y26">
        <f>COUNTIF(Y$2:Y$12,$E26 &amp; "*") -$B26</f>
        <v>0</v>
      </c>
      <c r="Z26">
        <f>COUNTIF(Z$2:Z$12,$E26 &amp; "*") -$B26</f>
        <v>0</v>
      </c>
      <c r="AA26">
        <f>COUNTIF(AA$2:AA$12,$E26 &amp; "*") -$B26</f>
        <v>0</v>
      </c>
      <c r="AB26">
        <f>COUNTIF(AB$2:AB$12,$E26 &amp; "*") -$B26</f>
        <v>0</v>
      </c>
      <c r="AD26" s="7" t="s">
        <v>20</v>
      </c>
      <c r="AE26">
        <f>COUNTIF(AE$2:AE$12,$E26 &amp; "*") -$B26</f>
        <v>0</v>
      </c>
      <c r="AF26">
        <f>COUNTIF(AF$2:AF$12,$E26 &amp; "*") -$B26</f>
        <v>0</v>
      </c>
      <c r="AG26">
        <f>COUNTIF(AG$2:AG$12,$E26 &amp; "*") -$B26</f>
        <v>0</v>
      </c>
      <c r="AH26">
        <f>COUNTIF(AH$2:AH$12,$E26 &amp; "*") -$B26</f>
        <v>0</v>
      </c>
      <c r="AI26">
        <f>COUNTIF(AI$2:AI$12,$E26 &amp; "*") -$B26</f>
        <v>0</v>
      </c>
      <c r="AK26" s="7" t="s">
        <v>20</v>
      </c>
      <c r="AL26">
        <f>COUNTIF(AL$2:AL$12,$E26 &amp; "*") -$B26</f>
        <v>0</v>
      </c>
      <c r="AM26">
        <f>COUNTIF(AM$2:AM$12,$E26 &amp; "*") -$B26</f>
        <v>0</v>
      </c>
      <c r="AN26">
        <f>COUNTIF(AN$2:AN$12,$E26 &amp; "*") -$B26</f>
        <v>0</v>
      </c>
      <c r="AO26">
        <f>COUNTIF(AO$2:AO$12,$E26 &amp; "*") -$B26</f>
        <v>0</v>
      </c>
      <c r="AP26">
        <f>COUNTIF(AP$2:AP$12,$E26 &amp; "*") -$B26</f>
        <v>0</v>
      </c>
      <c r="AR26" s="7" t="s">
        <v>20</v>
      </c>
      <c r="AS26">
        <f>COUNTIF(AS$2:AS$12,$E26 &amp; "*") -$B26</f>
        <v>0</v>
      </c>
      <c r="AT26">
        <f>COUNTIF(AT$2:AT$12,$E26 &amp; "*") -$B26</f>
        <v>0</v>
      </c>
      <c r="AU26">
        <f>COUNTIF(AU$2:AU$12,$E26 &amp; "*") -$B26</f>
        <v>0</v>
      </c>
      <c r="AV26">
        <f>COUNTIF(AV$2:AV$12,$E26 &amp; "*") -$B26</f>
        <v>0</v>
      </c>
      <c r="AW26">
        <f>COUNTIF(AW$2:AW$12,$E26 &amp; "*") -$B26</f>
        <v>0</v>
      </c>
      <c r="AY26" s="7" t="s">
        <v>20</v>
      </c>
      <c r="AZ26">
        <f>COUNTIF(AZ$2:AZ$12,$E26 &amp; "*") -$B26</f>
        <v>0</v>
      </c>
      <c r="BA26">
        <f>COUNTIF(BA$2:BA$12,$E26 &amp; "*") -$B26</f>
        <v>0</v>
      </c>
      <c r="BB26">
        <f>COUNTIF(BB$2:BB$12,$E26 &amp; "*") -$B26</f>
        <v>0</v>
      </c>
      <c r="BC26">
        <f>COUNTIF(BC$2:BC$12,$E26 &amp; "*") -$B26</f>
        <v>0</v>
      </c>
      <c r="BD26">
        <f>COUNTIF(BD$2:BD$12,$E26 &amp; "*") -$B26</f>
        <v>0</v>
      </c>
      <c r="BF26" s="7" t="s">
        <v>20</v>
      </c>
      <c r="BG26">
        <f>COUNTIF(BG$2:BG$12,$E26 &amp; "*") -$B26</f>
        <v>0</v>
      </c>
      <c r="BH26">
        <f>COUNTIF(BH$2:BH$12,$E26 &amp; "*") -$B26</f>
        <v>0</v>
      </c>
      <c r="BI26">
        <f>COUNTIF(BI$2:BI$12,$E26 &amp; "*") -$B26</f>
        <v>0</v>
      </c>
      <c r="BJ26">
        <f>COUNTIF(BJ$2:BJ$12,$E26 &amp; "*") -$B26</f>
        <v>0</v>
      </c>
      <c r="BK26">
        <f>COUNTIF(BK$2:BK$12,$E26 &amp; "*") -$B26</f>
        <v>0</v>
      </c>
      <c r="BM26" s="7" t="s">
        <v>20</v>
      </c>
      <c r="BN26">
        <f>COUNTIF(BN$2:BN$12,$E26 &amp; "*") -$B26</f>
        <v>0</v>
      </c>
    </row>
    <row r="27" spans="1:69" hidden="1" x14ac:dyDescent="0.2">
      <c r="A27" t="s">
        <v>25</v>
      </c>
      <c r="B27">
        <v>1</v>
      </c>
      <c r="C27">
        <v>0</v>
      </c>
      <c r="E27" s="7" t="s">
        <v>25</v>
      </c>
      <c r="F27">
        <f>COUNTIF(F$2:F$12,$E27 &amp; "*") -$B27</f>
        <v>0</v>
      </c>
      <c r="G27">
        <f>COUNTIF(G$2:G$12,$E27 &amp; "*") -$B27</f>
        <v>0</v>
      </c>
      <c r="I27" s="7" t="s">
        <v>25</v>
      </c>
      <c r="J27">
        <f>COUNTIF(J$2:J$12,$E27 &amp; "*") -$B27</f>
        <v>0</v>
      </c>
      <c r="K27">
        <f>COUNTIF(K$2:K$12,$E27 &amp; "*") -$B27</f>
        <v>0</v>
      </c>
      <c r="L27">
        <f>COUNTIF(L$2:L$12,$E27 &amp; "*") -$B27</f>
        <v>0</v>
      </c>
      <c r="M27">
        <f>COUNTIF(M$2:M$12,$E27 &amp; "*") -$B27</f>
        <v>0</v>
      </c>
      <c r="N27">
        <f>COUNTIF(N$2:N$12,$E27 &amp; "*") -$B27</f>
        <v>0</v>
      </c>
      <c r="P27" s="7" t="s">
        <v>25</v>
      </c>
      <c r="Q27">
        <f>COUNTIF(Q$2:Q$12,$E27 &amp; "*") -$B27</f>
        <v>0</v>
      </c>
      <c r="R27">
        <f>COUNTIF(R$2:R$12,$E27 &amp; "*") -$B27</f>
        <v>0</v>
      </c>
      <c r="S27">
        <f>COUNTIF(S$2:S$12,$E27 &amp; "*") -$B27</f>
        <v>0</v>
      </c>
      <c r="T27">
        <f>COUNTIF(T$2:T$12,$E27 &amp; "*") -$B27</f>
        <v>0</v>
      </c>
      <c r="U27">
        <f>COUNTIF(U$2:U$12,$E27 &amp; "*") -$B27</f>
        <v>0</v>
      </c>
      <c r="W27" s="7" t="s">
        <v>25</v>
      </c>
      <c r="X27">
        <f>COUNTIF(X$2:X$12,$E27 &amp; "*") -$B27</f>
        <v>0</v>
      </c>
      <c r="Y27">
        <f>COUNTIF(Y$2:Y$12,$E27 &amp; "*") -$B27</f>
        <v>0</v>
      </c>
      <c r="Z27">
        <f>COUNTIF(Z$2:Z$12,$E27 &amp; "*") -$B27</f>
        <v>0</v>
      </c>
      <c r="AA27">
        <f>COUNTIF(AA$2:AA$12,$E27 &amp; "*") -$B27</f>
        <v>0</v>
      </c>
      <c r="AB27">
        <f>COUNTIF(AB$2:AB$12,$E27 &amp; "*") -$B27</f>
        <v>0</v>
      </c>
      <c r="AD27" s="7" t="s">
        <v>25</v>
      </c>
      <c r="AE27">
        <f>COUNTIF(AE$2:AE$12,$E27 &amp; "*") -$B27</f>
        <v>0</v>
      </c>
      <c r="AF27">
        <f>COUNTIF(AF$2:AF$12,$E27 &amp; "*") -$B27</f>
        <v>0</v>
      </c>
      <c r="AG27">
        <f>COUNTIF(AG$2:AG$12,$E27 &amp; "*") -$B27</f>
        <v>0</v>
      </c>
      <c r="AH27">
        <f>COUNTIF(AH$2:AH$12,$E27 &amp; "*") -$B27</f>
        <v>0</v>
      </c>
      <c r="AI27">
        <f>COUNTIF(AI$2:AI$12,$E27 &amp; "*") -$B27</f>
        <v>0</v>
      </c>
      <c r="AK27" s="7" t="s">
        <v>25</v>
      </c>
      <c r="AL27">
        <f>COUNTIF(AL$2:AL$12,$E27 &amp; "*") -$B27</f>
        <v>0</v>
      </c>
      <c r="AM27">
        <f>COUNTIF(AM$2:AM$12,$E27 &amp; "*") -$B27</f>
        <v>0</v>
      </c>
      <c r="AN27">
        <f>COUNTIF(AN$2:AN$12,$E27 &amp; "*") -$B27</f>
        <v>0</v>
      </c>
      <c r="AO27">
        <f>COUNTIF(AO$2:AO$12,$E27 &amp; "*") -$B27</f>
        <v>0</v>
      </c>
      <c r="AP27">
        <f>COUNTIF(AP$2:AP$12,$E27 &amp; "*") -$B27</f>
        <v>0</v>
      </c>
      <c r="AR27" s="7" t="s">
        <v>25</v>
      </c>
      <c r="AS27">
        <f>COUNTIF(AS$2:AS$12,$E27 &amp; "*") -$B27</f>
        <v>0</v>
      </c>
      <c r="AT27">
        <f>COUNTIF(AT$2:AT$12,$E27 &amp; "*") -$B27</f>
        <v>0</v>
      </c>
      <c r="AU27">
        <f>COUNTIF(AU$2:AU$12,$E27 &amp; "*") -$B27</f>
        <v>0</v>
      </c>
      <c r="AV27">
        <f>COUNTIF(AV$2:AV$12,$E27 &amp; "*") -$B27</f>
        <v>0</v>
      </c>
      <c r="AW27">
        <f>COUNTIF(AW$2:AW$12,$E27 &amp; "*") -$B27</f>
        <v>0</v>
      </c>
      <c r="AY27" s="7" t="s">
        <v>25</v>
      </c>
      <c r="AZ27">
        <f>COUNTIF(AZ$2:AZ$12,$E27 &amp; "*") -$B27</f>
        <v>0</v>
      </c>
      <c r="BA27">
        <f>COUNTIF(BA$2:BA$12,$E27 &amp; "*") -$B27</f>
        <v>0</v>
      </c>
      <c r="BB27">
        <f>COUNTIF(BB$2:BB$12,$E27 &amp; "*") -$B27</f>
        <v>0</v>
      </c>
      <c r="BC27">
        <f>COUNTIF(BC$2:BC$12,$E27 &amp; "*") -$B27</f>
        <v>0</v>
      </c>
      <c r="BD27">
        <f>COUNTIF(BD$2:BD$12,$E27 &amp; "*") -$B27</f>
        <v>0</v>
      </c>
      <c r="BF27" s="7" t="s">
        <v>25</v>
      </c>
      <c r="BG27">
        <f>COUNTIF(BG$2:BG$12,$E27 &amp; "*") -$B27</f>
        <v>0</v>
      </c>
      <c r="BH27">
        <f>COUNTIF(BH$2:BH$12,$E27 &amp; "*") -$B27</f>
        <v>0</v>
      </c>
      <c r="BI27">
        <f>COUNTIF(BI$2:BI$12,$E27 &amp; "*") -$B27</f>
        <v>0</v>
      </c>
      <c r="BJ27">
        <f>COUNTIF(BJ$2:BJ$12,$E27 &amp; "*") -$B27</f>
        <v>0</v>
      </c>
      <c r="BK27">
        <f>COUNTIF(BK$2:BK$12,$E27 &amp; "*") -$B27</f>
        <v>0</v>
      </c>
      <c r="BM27" s="7" t="s">
        <v>25</v>
      </c>
      <c r="BN27">
        <f>COUNTIF(BN$2:BN$12,$E27 &amp; "*") -$B27</f>
        <v>0</v>
      </c>
    </row>
    <row r="28" spans="1:69" hidden="1" x14ac:dyDescent="0.2">
      <c r="A28" t="s">
        <v>22</v>
      </c>
      <c r="B28">
        <v>1</v>
      </c>
      <c r="C28">
        <v>0</v>
      </c>
      <c r="E28" s="7" t="s">
        <v>22</v>
      </c>
      <c r="F28">
        <f>COUNTIF(F$2:F$12,$E28 &amp; "*") -$B28</f>
        <v>0</v>
      </c>
      <c r="G28">
        <f>COUNTIF(G$2:G$12,$E28 &amp; "*") -$B28</f>
        <v>0</v>
      </c>
      <c r="I28" s="7" t="s">
        <v>22</v>
      </c>
      <c r="J28">
        <f>COUNTIF(J$2:J$12,$E28 &amp; "*") -$B28</f>
        <v>0</v>
      </c>
      <c r="K28">
        <f>COUNTIF(K$2:K$12,$E28 &amp; "*") -$B28</f>
        <v>0</v>
      </c>
      <c r="L28">
        <f>COUNTIF(L$2:L$12,$E28 &amp; "*") -$B28</f>
        <v>0</v>
      </c>
      <c r="M28">
        <f>COUNTIF(M$2:M$12,$E28 &amp; "*") -$B28</f>
        <v>0</v>
      </c>
      <c r="N28">
        <f>COUNTIF(N$2:N$12,$E28 &amp; "*") -$B28</f>
        <v>0</v>
      </c>
      <c r="P28" s="7" t="s">
        <v>22</v>
      </c>
      <c r="Q28">
        <f>COUNTIF(Q$2:Q$12,$E28 &amp; "*") -$B28</f>
        <v>0</v>
      </c>
      <c r="R28">
        <f>COUNTIF(R$2:R$12,$E28 &amp; "*") -$B28</f>
        <v>0</v>
      </c>
      <c r="S28">
        <f>COUNTIF(S$2:S$12,$E28 &amp; "*") -$B28</f>
        <v>0</v>
      </c>
      <c r="T28">
        <f>COUNTIF(T$2:T$12,$E28 &amp; "*") -$B28</f>
        <v>0</v>
      </c>
      <c r="U28">
        <f>COUNTIF(U$2:U$12,$E28 &amp; "*") -$B28</f>
        <v>0</v>
      </c>
      <c r="W28" s="7" t="s">
        <v>22</v>
      </c>
      <c r="X28">
        <f>COUNTIF(X$2:X$12,$E28 &amp; "*") -$B28</f>
        <v>0</v>
      </c>
      <c r="Y28">
        <f>COUNTIF(Y$2:Y$12,$E28 &amp; "*") -$B28</f>
        <v>0</v>
      </c>
      <c r="Z28">
        <f>COUNTIF(Z$2:Z$12,$E28 &amp; "*") -$B28</f>
        <v>0</v>
      </c>
      <c r="AA28">
        <f>COUNTIF(AA$2:AA$12,$E28 &amp; "*") -$B28</f>
        <v>0</v>
      </c>
      <c r="AB28">
        <f>COUNTIF(AB$2:AB$12,$E28 &amp; "*") -$B28</f>
        <v>0</v>
      </c>
      <c r="AD28" s="7" t="s">
        <v>22</v>
      </c>
      <c r="AE28">
        <f>COUNTIF(AE$2:AE$12,$E28 &amp; "*") -$B28</f>
        <v>0</v>
      </c>
      <c r="AF28">
        <f>COUNTIF(AF$2:AF$12,$E28 &amp; "*") -$B28</f>
        <v>0</v>
      </c>
      <c r="AG28">
        <f>COUNTIF(AG$2:AG$12,$E28 &amp; "*") -$B28</f>
        <v>0</v>
      </c>
      <c r="AH28">
        <f>COUNTIF(AH$2:AH$12,$E28 &amp; "*") -$B28</f>
        <v>0</v>
      </c>
      <c r="AI28">
        <f>COUNTIF(AI$2:AI$12,$E28 &amp; "*") -$B28</f>
        <v>0</v>
      </c>
      <c r="AK28" s="7" t="s">
        <v>22</v>
      </c>
      <c r="AL28">
        <f>COUNTIF(AL$2:AL$12,$E28 &amp; "*") -$B28</f>
        <v>0</v>
      </c>
      <c r="AM28">
        <f>COUNTIF(AM$2:AM$12,$E28 &amp; "*") -$B28</f>
        <v>0</v>
      </c>
      <c r="AN28">
        <f>COUNTIF(AN$2:AN$12,$E28 &amp; "*") -$B28</f>
        <v>0</v>
      </c>
      <c r="AO28">
        <f>COUNTIF(AO$2:AO$12,$E28 &amp; "*") -$B28</f>
        <v>0</v>
      </c>
      <c r="AP28">
        <f>COUNTIF(AP$2:AP$12,$E28 &amp; "*") -$B28</f>
        <v>0</v>
      </c>
      <c r="AR28" s="7" t="s">
        <v>22</v>
      </c>
      <c r="AS28">
        <f>COUNTIF(AS$2:AS$12,$E28 &amp; "*") -$B28</f>
        <v>0</v>
      </c>
      <c r="AT28">
        <f>COUNTIF(AT$2:AT$12,$E28 &amp; "*") -$B28</f>
        <v>0</v>
      </c>
      <c r="AU28">
        <f>COUNTIF(AU$2:AU$12,$E28 &amp; "*") -$B28</f>
        <v>0</v>
      </c>
      <c r="AV28">
        <f>COUNTIF(AV$2:AV$12,$E28 &amp; "*") -$B28</f>
        <v>0</v>
      </c>
      <c r="AW28">
        <f>COUNTIF(AW$2:AW$12,$E28 &amp; "*") -$B28</f>
        <v>0</v>
      </c>
      <c r="AY28" s="7" t="s">
        <v>22</v>
      </c>
      <c r="AZ28">
        <f>COUNTIF(AZ$2:AZ$12,$E28 &amp; "*") -$B28</f>
        <v>0</v>
      </c>
      <c r="BA28">
        <f>COUNTIF(BA$2:BA$12,$E28 &amp; "*") -$B28</f>
        <v>0</v>
      </c>
      <c r="BB28">
        <f>COUNTIF(BB$2:BB$12,$E28 &amp; "*") -$B28</f>
        <v>0</v>
      </c>
      <c r="BC28">
        <f>COUNTIF(BC$2:BC$12,$E28 &amp; "*") -$B28</f>
        <v>0</v>
      </c>
      <c r="BD28">
        <f>COUNTIF(BD$2:BD$12,$E28 &amp; "*") -$B28</f>
        <v>0</v>
      </c>
      <c r="BF28" s="7" t="s">
        <v>22</v>
      </c>
      <c r="BG28">
        <f>COUNTIF(BG$2:BG$12,$E28 &amp; "*") -$B28</f>
        <v>0</v>
      </c>
      <c r="BH28">
        <f>COUNTIF(BH$2:BH$12,$E28 &amp; "*") -$B28</f>
        <v>0</v>
      </c>
      <c r="BI28">
        <f>COUNTIF(BI$2:BI$12,$E28 &amp; "*") -$B28</f>
        <v>0</v>
      </c>
      <c r="BJ28">
        <f>COUNTIF(BJ$2:BJ$12,$E28 &amp; "*") -$B28</f>
        <v>0</v>
      </c>
      <c r="BK28">
        <f>COUNTIF(BK$2:BK$12,$E28 &amp; "*") -$B28</f>
        <v>0</v>
      </c>
      <c r="BM28" s="7" t="s">
        <v>22</v>
      </c>
      <c r="BN28">
        <f>COUNTIF(BN$2:BN$12,$E28 &amp; "*") -$B28</f>
        <v>0</v>
      </c>
    </row>
    <row r="29" spans="1:69" s="1" customFormat="1" hidden="1" x14ac:dyDescent="0.2">
      <c r="A29" s="1" t="s">
        <v>13</v>
      </c>
      <c r="C29" s="1">
        <v>0</v>
      </c>
      <c r="E29" s="7" t="s">
        <v>13</v>
      </c>
      <c r="F29" s="1">
        <f>COUNTIF(F$2:F$12,$E29 &amp; "*") -$B29</f>
        <v>1</v>
      </c>
      <c r="G29" s="1">
        <f>COUNTIF(G$2:G$12,$E29 &amp; "*") -$B29</f>
        <v>1</v>
      </c>
      <c r="I29" s="7" t="s">
        <v>13</v>
      </c>
      <c r="J29" s="1">
        <f>COUNTIF(J$2:J$12,$E29 &amp; "*") -$B29</f>
        <v>2</v>
      </c>
      <c r="K29" s="1">
        <f>COUNTIF(K$2:K$12,$E29 &amp; "*") -$B29</f>
        <v>2</v>
      </c>
      <c r="L29" s="1">
        <f>COUNTIF(L$2:L$12,$E29 &amp; "*") -$B29</f>
        <v>2</v>
      </c>
      <c r="M29" s="1">
        <f>COUNTIF(M$2:M$12,$E29 &amp; "*") -$B29</f>
        <v>1</v>
      </c>
      <c r="N29" s="1">
        <f>COUNTIF(N$2:N$12,$E29 &amp; "*") -$B29</f>
        <v>1</v>
      </c>
      <c r="P29" s="7" t="s">
        <v>13</v>
      </c>
      <c r="Q29" s="1">
        <f>COUNTIF(Q$2:Q$12,$E29 &amp; "*") -$B29</f>
        <v>2</v>
      </c>
      <c r="R29" s="1">
        <f>COUNTIF(R$2:R$12,$E29 &amp; "*") -$B29</f>
        <v>2</v>
      </c>
      <c r="S29" s="1">
        <f>COUNTIF(S$2:S$12,$E29 &amp; "*") -$B29</f>
        <v>1</v>
      </c>
      <c r="T29" s="1">
        <f>COUNTIF(T$2:T$12,$E29 &amp; "*") -$B29</f>
        <v>1</v>
      </c>
      <c r="U29" s="1">
        <f>COUNTIF(U$2:U$12,$E29 &amp; "*") -$B29</f>
        <v>1</v>
      </c>
      <c r="W29" s="7" t="s">
        <v>13</v>
      </c>
      <c r="X29" s="1">
        <f>COUNTIF(X$2:X$12,$E29 &amp; "*") -$B29</f>
        <v>1</v>
      </c>
      <c r="Y29" s="1">
        <f>COUNTIF(Y$2:Y$12,$E29 &amp; "*") -$B29</f>
        <v>1</v>
      </c>
      <c r="Z29" s="1">
        <f>COUNTIF(Z$2:Z$12,$E29 &amp; "*") -$B29</f>
        <v>1</v>
      </c>
      <c r="AA29" s="1">
        <f>COUNTIF(AA$2:AA$12,$E29 &amp; "*") -$B29</f>
        <v>2</v>
      </c>
      <c r="AB29" s="1">
        <f>COUNTIF(AB$2:AB$12,$E29 &amp; "*") -$B29</f>
        <v>2</v>
      </c>
      <c r="AD29" s="7" t="s">
        <v>13</v>
      </c>
      <c r="AE29" s="1">
        <f>COUNTIF(AE$2:AE$12,$E29 &amp; "*") -$B29</f>
        <v>2</v>
      </c>
      <c r="AF29" s="1">
        <f>COUNTIF(AF$2:AF$12,$E29 &amp; "*") -$B29</f>
        <v>1</v>
      </c>
      <c r="AG29" s="1">
        <f>COUNTIF(AG$2:AG$12,$E29 &amp; "*") -$B29</f>
        <v>1</v>
      </c>
      <c r="AH29" s="1">
        <f>COUNTIF(AH$2:AH$12,$E29 &amp; "*") -$B29</f>
        <v>2</v>
      </c>
      <c r="AI29" s="1">
        <f>COUNTIF(AI$2:AI$12,$E29 &amp; "*") -$B29</f>
        <v>2</v>
      </c>
      <c r="AK29" s="7" t="s">
        <v>13</v>
      </c>
      <c r="AL29" s="1">
        <f>COUNTIF(AL$2:AL$12,$E29 &amp; "*") -$B29</f>
        <v>1</v>
      </c>
      <c r="AM29" s="1">
        <f>COUNTIF(AM$2:AM$12,$E29 &amp; "*") -$B29</f>
        <v>1</v>
      </c>
      <c r="AN29" s="1">
        <f>COUNTIF(AN$2:AN$12,$E29 &amp; "*") -$B29</f>
        <v>1</v>
      </c>
      <c r="AO29" s="1">
        <f>COUNTIF(AO$2:AO$12,$E29 &amp; "*") -$B29</f>
        <v>1</v>
      </c>
      <c r="AP29" s="1">
        <f>COUNTIF(AP$2:AP$12,$E29 &amp; "*") -$B29</f>
        <v>1</v>
      </c>
      <c r="AR29" s="7" t="s">
        <v>13</v>
      </c>
      <c r="AS29" s="1">
        <f>COUNTIF(AS$2:AS$12,$E29 &amp; "*") -$B29</f>
        <v>1</v>
      </c>
      <c r="AT29" s="1">
        <f>COUNTIF(AT$2:AT$12,$E29 &amp; "*") -$B29</f>
        <v>1</v>
      </c>
      <c r="AU29" s="1">
        <f>COUNTIF(AU$2:AU$12,$E29 &amp; "*") -$B29</f>
        <v>1</v>
      </c>
      <c r="AV29" s="1">
        <f>COUNTIF(AV$2:AV$12,$E29 &amp; "*") -$B29</f>
        <v>1</v>
      </c>
      <c r="AW29" s="1">
        <f>COUNTIF(AW$2:AW$12,$E29 &amp; "*") -$B29</f>
        <v>2</v>
      </c>
      <c r="AY29" s="7" t="s">
        <v>13</v>
      </c>
      <c r="AZ29" s="1">
        <f>COUNTIF(AZ$2:AZ$12,$E29 &amp; "*") -$B29</f>
        <v>2</v>
      </c>
      <c r="BA29" s="1">
        <f>COUNTIF(BA$2:BA$12,$E29 &amp; "*") -$B29</f>
        <v>2</v>
      </c>
      <c r="BB29" s="1">
        <f>COUNTIF(BB$2:BB$12,$E29 &amp; "*") -$B29</f>
        <v>2</v>
      </c>
      <c r="BC29" s="1">
        <f>COUNTIF(BC$2:BC$12,$E29 &amp; "*") -$B29</f>
        <v>2</v>
      </c>
      <c r="BD29" s="1">
        <f>COUNTIF(BD$2:BD$12,$E29 &amp; "*") -$B29</f>
        <v>1</v>
      </c>
      <c r="BF29" s="7" t="s">
        <v>13</v>
      </c>
      <c r="BG29" s="1">
        <f>COUNTIF(BG$2:BG$12,$E29 &amp; "*") -$B29</f>
        <v>2</v>
      </c>
      <c r="BH29" s="1">
        <f>COUNTIF(BH$2:BH$12,$E29 &amp; "*") -$B29</f>
        <v>2</v>
      </c>
      <c r="BI29" s="1">
        <f>COUNTIF(BI$2:BI$12,$E29 &amp; "*") -$B29</f>
        <v>2</v>
      </c>
      <c r="BJ29" s="1">
        <f>COUNTIF(BJ$2:BJ$12,$E29 &amp; "*") -$B29</f>
        <v>1</v>
      </c>
      <c r="BK29" s="1">
        <f>COUNTIF(BK$2:BK$12,$E29 &amp; "*") -$B29</f>
        <v>1</v>
      </c>
      <c r="BM29" s="7" t="s">
        <v>13</v>
      </c>
      <c r="BN29" s="1">
        <f>COUNTIF(BN$2:BN$12,$E29 &amp; "*") -$B29</f>
        <v>1</v>
      </c>
      <c r="BP29" s="13"/>
      <c r="BQ29" s="13"/>
    </row>
    <row r="30" spans="1:69" hidden="1" x14ac:dyDescent="0.2">
      <c r="A30" t="s">
        <v>2</v>
      </c>
      <c r="B30">
        <v>1</v>
      </c>
      <c r="C30">
        <v>0</v>
      </c>
      <c r="E30" s="7" t="s">
        <v>2</v>
      </c>
      <c r="F30">
        <f>COUNTIF(F$2:F$12,$E30 &amp; "*") -$B30</f>
        <v>-1</v>
      </c>
      <c r="G30">
        <f>COUNTIF(G$2:G$12,$E30 &amp; "*") -$B30</f>
        <v>-1</v>
      </c>
      <c r="I30" s="7" t="s">
        <v>2</v>
      </c>
      <c r="J30">
        <f>COUNTIF(J$2:J$12,$E30 &amp; "*") -$B30</f>
        <v>-1</v>
      </c>
      <c r="K30">
        <f>COUNTIF(K$2:K$12,$E30 &amp; "*") -$B30</f>
        <v>-1</v>
      </c>
      <c r="L30">
        <f>COUNTIF(L$2:L$12,$E30 &amp; "*") -$B30</f>
        <v>-1</v>
      </c>
      <c r="M30">
        <f>COUNTIF(M$2:M$12,$E30 &amp; "*") -$B30</f>
        <v>-1</v>
      </c>
      <c r="N30">
        <f>COUNTIF(N$2:N$12,$E30 &amp; "*") -$B30</f>
        <v>-1</v>
      </c>
      <c r="P30" s="7" t="s">
        <v>2</v>
      </c>
      <c r="Q30">
        <f>COUNTIF(Q$2:Q$12,$E30 &amp; "*") -$B30</f>
        <v>-1</v>
      </c>
      <c r="R30">
        <f>COUNTIF(R$2:R$12,$E30 &amp; "*") -$B30</f>
        <v>-1</v>
      </c>
      <c r="S30">
        <f>COUNTIF(S$2:S$12,$E30 &amp; "*") -$B30</f>
        <v>-1</v>
      </c>
      <c r="T30">
        <f>COUNTIF(T$2:T$12,$E30 &amp; "*") -$B30</f>
        <v>-1</v>
      </c>
      <c r="U30">
        <f>COUNTIF(U$2:U$12,$E30 &amp; "*") -$B30</f>
        <v>-1</v>
      </c>
      <c r="W30" s="7" t="s">
        <v>2</v>
      </c>
      <c r="X30">
        <f>COUNTIF(X$2:X$12,$E30 &amp; "*") -$B30</f>
        <v>-1</v>
      </c>
      <c r="Y30">
        <f>COUNTIF(Y$2:Y$12,$E30 &amp; "*") -$B30</f>
        <v>-1</v>
      </c>
      <c r="Z30">
        <f>COUNTIF(Z$2:Z$12,$E30 &amp; "*") -$B30</f>
        <v>-1</v>
      </c>
      <c r="AA30">
        <f>COUNTIF(AA$2:AA$12,$E30 &amp; "*") -$B30</f>
        <v>-1</v>
      </c>
      <c r="AB30">
        <f>COUNTIF(AB$2:AB$12,$E30 &amp; "*") -$B30</f>
        <v>-1</v>
      </c>
      <c r="AD30" s="7" t="s">
        <v>2</v>
      </c>
      <c r="AE30">
        <f>COUNTIF(AE$2:AE$12,$E30 &amp; "*") -$B30</f>
        <v>-1</v>
      </c>
      <c r="AF30">
        <f>COUNTIF(AF$2:AF$12,$E30 &amp; "*") -$B30</f>
        <v>-1</v>
      </c>
      <c r="AG30">
        <f>COUNTIF(AG$2:AG$12,$E30 &amp; "*") -$B30</f>
        <v>-1</v>
      </c>
      <c r="AH30">
        <f>COUNTIF(AH$2:AH$12,$E30 &amp; "*") -$B30</f>
        <v>-1</v>
      </c>
      <c r="AI30">
        <f>COUNTIF(AI$2:AI$12,$E30 &amp; "*") -$B30</f>
        <v>-1</v>
      </c>
      <c r="AK30" s="7" t="s">
        <v>2</v>
      </c>
      <c r="AL30">
        <f>COUNTIF(AL$2:AL$12,$E30 &amp; "*") -$B30</f>
        <v>-1</v>
      </c>
      <c r="AM30">
        <f>COUNTIF(AM$2:AM$12,$E30 &amp; "*") -$B30</f>
        <v>-1</v>
      </c>
      <c r="AN30">
        <f>COUNTIF(AN$2:AN$12,$E30 &amp; "*") -$B30</f>
        <v>-1</v>
      </c>
      <c r="AO30">
        <f>COUNTIF(AO$2:AO$12,$E30 &amp; "*") -$B30</f>
        <v>-1</v>
      </c>
      <c r="AP30">
        <f>COUNTIF(AP$2:AP$12,$E30 &amp; "*") -$B30</f>
        <v>-1</v>
      </c>
      <c r="AR30" s="7" t="s">
        <v>2</v>
      </c>
      <c r="AS30">
        <f>COUNTIF(AS$2:AS$12,$E30 &amp; "*") -$B30</f>
        <v>-1</v>
      </c>
      <c r="AT30">
        <f>COUNTIF(AT$2:AT$12,$E30 &amp; "*") -$B30</f>
        <v>-1</v>
      </c>
      <c r="AU30">
        <f>COUNTIF(AU$2:AU$12,$E30 &amp; "*") -$B30</f>
        <v>-1</v>
      </c>
      <c r="AV30">
        <f>COUNTIF(AV$2:AV$12,$E30 &amp; "*") -$B30</f>
        <v>-1</v>
      </c>
      <c r="AW30">
        <f>COUNTIF(AW$2:AW$12,$E30 &amp; "*") -$B30</f>
        <v>-1</v>
      </c>
      <c r="AY30" s="7" t="s">
        <v>2</v>
      </c>
      <c r="AZ30">
        <f>COUNTIF(AZ$2:AZ$12,$E30 &amp; "*") -$B30</f>
        <v>-1</v>
      </c>
      <c r="BA30">
        <f>COUNTIF(BA$2:BA$12,$E30 &amp; "*") -$B30</f>
        <v>-1</v>
      </c>
      <c r="BB30">
        <f>COUNTIF(BB$2:BB$12,$E30 &amp; "*") -$B30</f>
        <v>-1</v>
      </c>
      <c r="BC30">
        <f>COUNTIF(BC$2:BC$12,$E30 &amp; "*") -$B30</f>
        <v>-1</v>
      </c>
      <c r="BD30">
        <f>COUNTIF(BD$2:BD$12,$E30 &amp; "*") -$B30</f>
        <v>-1</v>
      </c>
      <c r="BF30" s="7" t="s">
        <v>2</v>
      </c>
      <c r="BG30">
        <f>COUNTIF(BG$2:BG$12,$E30 &amp; "*") -$B30</f>
        <v>-1</v>
      </c>
      <c r="BH30">
        <f>COUNTIF(BH$2:BH$12,$E30 &amp; "*") -$B30</f>
        <v>-1</v>
      </c>
      <c r="BI30">
        <f>COUNTIF(BI$2:BI$12,$E30 &amp; "*") -$B30</f>
        <v>-1</v>
      </c>
      <c r="BJ30">
        <f>COUNTIF(BJ$2:BJ$12,$E30 &amp; "*") -$B30</f>
        <v>-1</v>
      </c>
      <c r="BK30">
        <f>COUNTIF(BK$2:BK$12,$E30 &amp; "*") -$B30</f>
        <v>-1</v>
      </c>
      <c r="BM30" s="7" t="s">
        <v>2</v>
      </c>
      <c r="BN30">
        <f>COUNTIF(BN$2:BN$12,$E30 &amp; "*") -$B30</f>
        <v>-1</v>
      </c>
    </row>
    <row r="31" spans="1:69" x14ac:dyDescent="0.2">
      <c r="E31" s="6"/>
      <c r="F31" s="3" t="s">
        <v>36</v>
      </c>
      <c r="G31" s="3"/>
      <c r="I31" s="6"/>
      <c r="J31" s="3" t="s">
        <v>36</v>
      </c>
      <c r="K31" s="3"/>
      <c r="L31" s="3"/>
      <c r="M31" s="3"/>
      <c r="N31" s="3"/>
      <c r="P31" s="6"/>
      <c r="Q31" s="3" t="s">
        <v>36</v>
      </c>
      <c r="R31" s="3"/>
      <c r="S31" s="3"/>
      <c r="T31" s="3"/>
      <c r="U31" s="3"/>
      <c r="W31" s="6"/>
      <c r="X31" s="3" t="s">
        <v>36</v>
      </c>
      <c r="Y31" s="3"/>
      <c r="Z31" s="3"/>
      <c r="AA31" s="3"/>
      <c r="AB31" s="3"/>
      <c r="AD31" s="6"/>
      <c r="AE31" s="3" t="s">
        <v>36</v>
      </c>
      <c r="AF31" s="3"/>
      <c r="AG31" s="3"/>
      <c r="AH31" s="3"/>
      <c r="AI31" s="3"/>
      <c r="AK31" s="6"/>
      <c r="AL31" s="3" t="s">
        <v>36</v>
      </c>
      <c r="AM31" s="3"/>
      <c r="AN31" s="3"/>
      <c r="AO31" s="3"/>
      <c r="AP31" s="3"/>
      <c r="AR31" s="6"/>
      <c r="AS31" s="3" t="s">
        <v>36</v>
      </c>
      <c r="AT31" s="3"/>
      <c r="AU31" s="3"/>
      <c r="AV31" s="3"/>
      <c r="AW31" s="3"/>
      <c r="AY31" s="6"/>
      <c r="AZ31" s="3" t="s">
        <v>36</v>
      </c>
      <c r="BA31" s="3"/>
      <c r="BB31" s="3"/>
      <c r="BC31" s="3"/>
      <c r="BD31" s="3"/>
      <c r="BF31" s="6"/>
      <c r="BG31" s="3" t="s">
        <v>36</v>
      </c>
      <c r="BH31" s="3"/>
      <c r="BI31" s="3"/>
      <c r="BJ31" s="3"/>
      <c r="BK31" s="3"/>
      <c r="BM31" s="6"/>
      <c r="BN31" s="3"/>
      <c r="BP31"/>
      <c r="BQ31"/>
    </row>
    <row r="32" spans="1:69" x14ac:dyDescent="0.2">
      <c r="E32" s="7" t="s">
        <v>21</v>
      </c>
      <c r="F32" s="1">
        <f>COUNTIF(F$2:F$12,$E32 &amp; " (call)")</f>
        <v>0</v>
      </c>
      <c r="G32" s="1">
        <f t="shared" ref="G32:G37" si="21">COUNTIF(G$2:G$12,$E32 &amp; " (call)")</f>
        <v>0</v>
      </c>
      <c r="I32" s="7" t="s">
        <v>21</v>
      </c>
      <c r="J32" s="1">
        <f>COUNTIF(J$2:J$12,$E32 &amp; " (call)")</f>
        <v>1</v>
      </c>
      <c r="K32" s="1">
        <f t="shared" ref="K32:N37" si="22">COUNTIF(K$2:K$12,$E32 &amp; " (call)")</f>
        <v>0</v>
      </c>
      <c r="L32" s="1">
        <f t="shared" si="22"/>
        <v>0</v>
      </c>
      <c r="M32" s="1">
        <f t="shared" si="22"/>
        <v>0</v>
      </c>
      <c r="N32" s="1">
        <f t="shared" si="22"/>
        <v>0</v>
      </c>
      <c r="P32" s="7" t="s">
        <v>21</v>
      </c>
      <c r="Q32" s="1">
        <f>COUNTIF(Q$2:Q$12,$E32 &amp; " (call)")</f>
        <v>0</v>
      </c>
      <c r="R32" s="1">
        <f t="shared" ref="R32:U37" si="23">COUNTIF(R$2:R$12,$E32 &amp; " (call)")</f>
        <v>1</v>
      </c>
      <c r="S32" s="1">
        <f t="shared" si="23"/>
        <v>0</v>
      </c>
      <c r="T32" s="1">
        <f t="shared" si="23"/>
        <v>1</v>
      </c>
      <c r="U32" s="1">
        <f t="shared" si="23"/>
        <v>1</v>
      </c>
      <c r="W32" s="7" t="s">
        <v>21</v>
      </c>
      <c r="X32" s="1">
        <f>COUNTIF(X$2:X$12,$E32 &amp; " (call)")</f>
        <v>0</v>
      </c>
      <c r="Y32" s="1">
        <f t="shared" ref="Y32:AB37" si="24">COUNTIF(Y$2:Y$12,$E32 &amp; " (call)")</f>
        <v>0</v>
      </c>
      <c r="Z32" s="1">
        <f t="shared" si="24"/>
        <v>0</v>
      </c>
      <c r="AA32" s="1">
        <f t="shared" si="24"/>
        <v>1</v>
      </c>
      <c r="AB32" s="1">
        <f t="shared" si="24"/>
        <v>0</v>
      </c>
      <c r="AD32" s="7" t="s">
        <v>21</v>
      </c>
      <c r="AE32" s="1">
        <f>COUNTIF(AE$2:AE$12,$E32 &amp; " (call)")</f>
        <v>0</v>
      </c>
      <c r="AF32" s="1">
        <f t="shared" ref="AF32:AI37" si="25">COUNTIF(AF$2:AF$12,$E32 &amp; " (call)")</f>
        <v>0</v>
      </c>
      <c r="AG32" s="1">
        <f t="shared" si="25"/>
        <v>0</v>
      </c>
      <c r="AH32" s="1">
        <f t="shared" si="25"/>
        <v>0</v>
      </c>
      <c r="AI32" s="1">
        <f t="shared" si="25"/>
        <v>0</v>
      </c>
      <c r="AK32" s="7" t="s">
        <v>21</v>
      </c>
      <c r="AL32" s="1">
        <f>COUNTIF(AL$2:AL$12,$E32 &amp; " (call)")</f>
        <v>1</v>
      </c>
      <c r="AM32" s="1">
        <f t="shared" ref="AM32:AP37" si="26">COUNTIF(AM$2:AM$12,$E32 &amp; " (call)")</f>
        <v>0</v>
      </c>
      <c r="AN32" s="1">
        <f t="shared" si="26"/>
        <v>0</v>
      </c>
      <c r="AO32" s="1">
        <f t="shared" si="26"/>
        <v>1</v>
      </c>
      <c r="AP32" s="1">
        <f t="shared" si="26"/>
        <v>0</v>
      </c>
      <c r="AR32" s="7" t="s">
        <v>21</v>
      </c>
      <c r="AS32" s="1">
        <f>COUNTIF(AS$2:AS$12,$E32 &amp; " (call)")</f>
        <v>1</v>
      </c>
      <c r="AT32" s="1">
        <f t="shared" ref="AT32:AW37" si="27">COUNTIF(AT$2:AT$12,$E32 &amp; " (call)")</f>
        <v>0</v>
      </c>
      <c r="AU32" s="1">
        <f t="shared" si="27"/>
        <v>0</v>
      </c>
      <c r="AV32" s="1">
        <f t="shared" si="27"/>
        <v>0</v>
      </c>
      <c r="AW32" s="1">
        <f t="shared" si="27"/>
        <v>0</v>
      </c>
      <c r="AY32" s="7" t="s">
        <v>21</v>
      </c>
      <c r="AZ32" s="1">
        <f>COUNTIF(AZ$2:AZ$12,$E32 &amp; " (call)")</f>
        <v>1</v>
      </c>
      <c r="BA32" s="1">
        <f t="shared" ref="BA32:BD37" si="28">COUNTIF(BA$2:BA$12,$E32 &amp; " (call)")</f>
        <v>0</v>
      </c>
      <c r="BB32" s="1">
        <f t="shared" si="28"/>
        <v>0</v>
      </c>
      <c r="BC32" s="1">
        <f t="shared" si="28"/>
        <v>0</v>
      </c>
      <c r="BD32" s="1">
        <f t="shared" si="28"/>
        <v>1</v>
      </c>
      <c r="BF32" s="7" t="s">
        <v>21</v>
      </c>
      <c r="BG32" s="1">
        <f>COUNTIF(BG$2:BG$12,$E32 &amp; " (call)")</f>
        <v>0</v>
      </c>
      <c r="BH32" s="1">
        <f t="shared" ref="BH32:BK37" si="29">COUNTIF(BH$2:BH$12,$E32 &amp; " (call)")</f>
        <v>0</v>
      </c>
      <c r="BI32" s="1">
        <f t="shared" si="29"/>
        <v>0</v>
      </c>
      <c r="BJ32" s="1">
        <f t="shared" si="29"/>
        <v>0</v>
      </c>
      <c r="BK32" s="1">
        <f t="shared" si="29"/>
        <v>1</v>
      </c>
      <c r="BM32" s="7" t="s">
        <v>21</v>
      </c>
      <c r="BN32" s="1">
        <f>COUNTIF(BN$2:BN$12,$E32 &amp; " (call)")</f>
        <v>0</v>
      </c>
      <c r="BP32"/>
      <c r="BQ32"/>
    </row>
    <row r="33" spans="5:69" x14ac:dyDescent="0.2">
      <c r="E33" s="7" t="s">
        <v>24</v>
      </c>
      <c r="F33" s="1">
        <f>COUNTIF(F$2:F$12,$E33 &amp; " (call)")</f>
        <v>0</v>
      </c>
      <c r="G33" s="1">
        <f t="shared" si="21"/>
        <v>0</v>
      </c>
      <c r="I33" s="7" t="s">
        <v>24</v>
      </c>
      <c r="J33" s="1">
        <f>COUNTIF(J$2:J$12,$E33 &amp; " (call)")</f>
        <v>0</v>
      </c>
      <c r="K33" s="1">
        <f t="shared" si="22"/>
        <v>0</v>
      </c>
      <c r="L33" s="1">
        <f t="shared" si="22"/>
        <v>0</v>
      </c>
      <c r="M33" s="1">
        <f t="shared" si="22"/>
        <v>0</v>
      </c>
      <c r="N33" s="1">
        <f t="shared" si="22"/>
        <v>0</v>
      </c>
      <c r="P33" s="7" t="s">
        <v>24</v>
      </c>
      <c r="Q33" s="1">
        <f>COUNTIF(Q$2:Q$12,$E33 &amp; " (call)")</f>
        <v>0</v>
      </c>
      <c r="R33" s="1">
        <f t="shared" si="23"/>
        <v>0</v>
      </c>
      <c r="S33" s="1">
        <f t="shared" si="23"/>
        <v>0</v>
      </c>
      <c r="T33" s="1">
        <f t="shared" si="23"/>
        <v>0</v>
      </c>
      <c r="U33" s="1">
        <f t="shared" si="23"/>
        <v>0</v>
      </c>
      <c r="W33" s="7" t="s">
        <v>24</v>
      </c>
      <c r="X33" s="1">
        <f>COUNTIF(X$2:X$12,$E33 &amp; " (call)")</f>
        <v>0</v>
      </c>
      <c r="Y33" s="1">
        <f t="shared" si="24"/>
        <v>0</v>
      </c>
      <c r="Z33" s="1">
        <f t="shared" si="24"/>
        <v>1</v>
      </c>
      <c r="AA33" s="1">
        <f t="shared" si="24"/>
        <v>0</v>
      </c>
      <c r="AB33" s="1">
        <f t="shared" si="24"/>
        <v>0</v>
      </c>
      <c r="AD33" s="7" t="s">
        <v>24</v>
      </c>
      <c r="AE33" s="1">
        <f>COUNTIF(AE$2:AE$12,$E33 &amp; " (call)")</f>
        <v>0</v>
      </c>
      <c r="AF33" s="1">
        <f t="shared" si="25"/>
        <v>1</v>
      </c>
      <c r="AG33" s="1">
        <f t="shared" si="25"/>
        <v>0</v>
      </c>
      <c r="AH33" s="1">
        <f t="shared" si="25"/>
        <v>1</v>
      </c>
      <c r="AI33" s="1">
        <f t="shared" si="25"/>
        <v>0</v>
      </c>
      <c r="AK33" s="7" t="s">
        <v>24</v>
      </c>
      <c r="AL33" s="1">
        <f>COUNTIF(AL$2:AL$12,$E33 &amp; " (call)")</f>
        <v>0</v>
      </c>
      <c r="AM33" s="1">
        <f t="shared" si="26"/>
        <v>0</v>
      </c>
      <c r="AN33" s="1">
        <f t="shared" si="26"/>
        <v>0</v>
      </c>
      <c r="AO33" s="1">
        <f t="shared" si="26"/>
        <v>0</v>
      </c>
      <c r="AP33" s="1">
        <f t="shared" si="26"/>
        <v>1</v>
      </c>
      <c r="AR33" s="7" t="s">
        <v>24</v>
      </c>
      <c r="AS33" s="1">
        <f>COUNTIF(AS$2:AS$12,$E33 &amp; " (call)")</f>
        <v>0</v>
      </c>
      <c r="AT33" s="1">
        <f t="shared" si="27"/>
        <v>0</v>
      </c>
      <c r="AU33" s="1">
        <f t="shared" si="27"/>
        <v>0</v>
      </c>
      <c r="AV33" s="1">
        <f t="shared" si="27"/>
        <v>1</v>
      </c>
      <c r="AW33" s="1">
        <f t="shared" si="27"/>
        <v>0</v>
      </c>
      <c r="AY33" s="7" t="s">
        <v>24</v>
      </c>
      <c r="AZ33" s="1">
        <f>COUNTIF(AZ$2:AZ$12,$E33 &amp; " (call)")</f>
        <v>0</v>
      </c>
      <c r="BA33" s="1">
        <f t="shared" si="28"/>
        <v>0</v>
      </c>
      <c r="BB33" s="1">
        <f t="shared" si="28"/>
        <v>0</v>
      </c>
      <c r="BC33" s="1">
        <f t="shared" si="28"/>
        <v>1</v>
      </c>
      <c r="BD33" s="1">
        <f t="shared" si="28"/>
        <v>0</v>
      </c>
      <c r="BF33" s="7" t="s">
        <v>24</v>
      </c>
      <c r="BG33" s="1">
        <f>COUNTIF(BG$2:BG$12,$E33 &amp; " (call)")</f>
        <v>0</v>
      </c>
      <c r="BH33" s="1">
        <f t="shared" si="29"/>
        <v>0</v>
      </c>
      <c r="BI33" s="1">
        <f t="shared" si="29"/>
        <v>0</v>
      </c>
      <c r="BJ33" s="1">
        <f t="shared" si="29"/>
        <v>0</v>
      </c>
      <c r="BK33" s="1">
        <f t="shared" si="29"/>
        <v>0</v>
      </c>
      <c r="BM33" s="7" t="s">
        <v>24</v>
      </c>
      <c r="BN33" s="1">
        <f>COUNTIF(BN$2:BN$12,$E33 &amp; " (call)")</f>
        <v>0</v>
      </c>
      <c r="BP33"/>
      <c r="BQ33"/>
    </row>
    <row r="34" spans="5:69" x14ac:dyDescent="0.2">
      <c r="E34" s="7" t="s">
        <v>23</v>
      </c>
      <c r="F34" s="1">
        <f>COUNTIF(F$2:F$12,$E34 &amp; " (call)")</f>
        <v>1</v>
      </c>
      <c r="G34" s="1">
        <f t="shared" si="21"/>
        <v>0</v>
      </c>
      <c r="I34" s="7" t="s">
        <v>23</v>
      </c>
      <c r="J34" s="1">
        <f>COUNTIF(J$2:J$12,$E34 &amp; " (call)")</f>
        <v>0</v>
      </c>
      <c r="K34" s="1">
        <f t="shared" si="22"/>
        <v>0</v>
      </c>
      <c r="L34" s="1">
        <f t="shared" si="22"/>
        <v>0</v>
      </c>
      <c r="M34" s="1">
        <f t="shared" si="22"/>
        <v>1</v>
      </c>
      <c r="N34" s="1">
        <f t="shared" si="22"/>
        <v>0</v>
      </c>
      <c r="P34" s="7" t="s">
        <v>23</v>
      </c>
      <c r="Q34" s="1">
        <f>COUNTIF(Q$2:Q$12,$E34 &amp; " (call)")</f>
        <v>1</v>
      </c>
      <c r="R34" s="1">
        <f t="shared" si="23"/>
        <v>0</v>
      </c>
      <c r="S34" s="1">
        <f t="shared" si="23"/>
        <v>1</v>
      </c>
      <c r="T34" s="1">
        <f t="shared" si="23"/>
        <v>0</v>
      </c>
      <c r="U34" s="1">
        <f t="shared" si="23"/>
        <v>0</v>
      </c>
      <c r="W34" s="7" t="s">
        <v>23</v>
      </c>
      <c r="X34" s="1">
        <f>COUNTIF(X$2:X$12,$E34 &amp; " (call)")</f>
        <v>0</v>
      </c>
      <c r="Y34" s="1">
        <f t="shared" si="24"/>
        <v>1</v>
      </c>
      <c r="Z34" s="1">
        <f t="shared" si="24"/>
        <v>0</v>
      </c>
      <c r="AA34" s="1">
        <f t="shared" si="24"/>
        <v>0</v>
      </c>
      <c r="AB34" s="1">
        <f t="shared" si="24"/>
        <v>0</v>
      </c>
      <c r="AD34" s="7" t="s">
        <v>23</v>
      </c>
      <c r="AE34" s="1">
        <f>COUNTIF(AE$2:AE$12,$E34 &amp; " (call)")</f>
        <v>1</v>
      </c>
      <c r="AF34" s="1">
        <f t="shared" si="25"/>
        <v>0</v>
      </c>
      <c r="AG34" s="1">
        <f t="shared" si="25"/>
        <v>0</v>
      </c>
      <c r="AH34" s="1">
        <f t="shared" si="25"/>
        <v>0</v>
      </c>
      <c r="AI34" s="1">
        <f t="shared" si="25"/>
        <v>1</v>
      </c>
      <c r="AK34" s="7" t="s">
        <v>23</v>
      </c>
      <c r="AL34" s="1">
        <f>COUNTIF(AL$2:AL$12,$E34 &amp; " (call)")</f>
        <v>0</v>
      </c>
      <c r="AM34" s="1">
        <f t="shared" si="26"/>
        <v>0</v>
      </c>
      <c r="AN34" s="1">
        <f t="shared" si="26"/>
        <v>1</v>
      </c>
      <c r="AO34" s="1">
        <f t="shared" si="26"/>
        <v>0</v>
      </c>
      <c r="AP34" s="1">
        <f t="shared" si="26"/>
        <v>0</v>
      </c>
      <c r="AR34" s="7" t="s">
        <v>23</v>
      </c>
      <c r="AS34" s="1">
        <f>COUNTIF(AS$2:AS$12,$E34 &amp; " (call)")</f>
        <v>0</v>
      </c>
      <c r="AT34" s="1">
        <f t="shared" si="27"/>
        <v>1</v>
      </c>
      <c r="AU34" s="1">
        <f t="shared" si="27"/>
        <v>0</v>
      </c>
      <c r="AV34" s="1">
        <f t="shared" si="27"/>
        <v>0</v>
      </c>
      <c r="AW34" s="1">
        <f t="shared" si="27"/>
        <v>0</v>
      </c>
      <c r="AY34" s="7" t="s">
        <v>23</v>
      </c>
      <c r="AZ34" s="1">
        <f>COUNTIF(AZ$2:AZ$12,$E34 &amp; " (call)")</f>
        <v>0</v>
      </c>
      <c r="BA34" s="1">
        <f t="shared" si="28"/>
        <v>0</v>
      </c>
      <c r="BB34" s="1">
        <f t="shared" si="28"/>
        <v>1</v>
      </c>
      <c r="BC34" s="1">
        <f t="shared" si="28"/>
        <v>0</v>
      </c>
      <c r="BD34" s="1">
        <f t="shared" si="28"/>
        <v>0</v>
      </c>
      <c r="BF34" s="7" t="s">
        <v>23</v>
      </c>
      <c r="BG34" s="1">
        <f>COUNTIF(BG$2:BG$12,$E34 &amp; " (call)")</f>
        <v>0</v>
      </c>
      <c r="BH34" s="1">
        <f t="shared" si="29"/>
        <v>1</v>
      </c>
      <c r="BI34" s="1">
        <f t="shared" si="29"/>
        <v>0</v>
      </c>
      <c r="BJ34" s="1">
        <f t="shared" si="29"/>
        <v>1</v>
      </c>
      <c r="BK34" s="1">
        <f t="shared" si="29"/>
        <v>0</v>
      </c>
      <c r="BM34" s="7" t="s">
        <v>23</v>
      </c>
      <c r="BN34" s="1">
        <f>COUNTIF(BN$2:BN$12,$E34 &amp; " (call)")</f>
        <v>0</v>
      </c>
      <c r="BP34"/>
      <c r="BQ34"/>
    </row>
    <row r="35" spans="5:69" x14ac:dyDescent="0.2">
      <c r="E35" s="7" t="s">
        <v>20</v>
      </c>
      <c r="F35" s="1">
        <f>COUNTIF(F$2:F$12,$E35 &amp; " (call)")</f>
        <v>0</v>
      </c>
      <c r="G35" s="1">
        <f t="shared" si="21"/>
        <v>1</v>
      </c>
      <c r="I35" s="7" t="s">
        <v>20</v>
      </c>
      <c r="J35" s="1">
        <f>COUNTIF(J$2:J$12,$E35 &amp; " (call)")</f>
        <v>0</v>
      </c>
      <c r="K35" s="1">
        <f t="shared" si="22"/>
        <v>1</v>
      </c>
      <c r="L35" s="1">
        <f t="shared" si="22"/>
        <v>0</v>
      </c>
      <c r="M35" s="1">
        <f t="shared" si="22"/>
        <v>0</v>
      </c>
      <c r="N35" s="1">
        <f t="shared" si="22"/>
        <v>0</v>
      </c>
      <c r="P35" s="7" t="s">
        <v>20</v>
      </c>
      <c r="Q35" s="1">
        <f>COUNTIF(Q$2:Q$12,$E35 &amp; " (call)")</f>
        <v>0</v>
      </c>
      <c r="R35" s="1">
        <f t="shared" si="23"/>
        <v>0</v>
      </c>
      <c r="S35" s="1">
        <f t="shared" si="23"/>
        <v>0</v>
      </c>
      <c r="T35" s="1">
        <f t="shared" si="23"/>
        <v>0</v>
      </c>
      <c r="U35" s="1">
        <f t="shared" si="23"/>
        <v>0</v>
      </c>
      <c r="W35" s="7" t="s">
        <v>20</v>
      </c>
      <c r="X35" s="1">
        <f>COUNTIF(X$2:X$12,$E35 &amp; " (call)")</f>
        <v>0</v>
      </c>
      <c r="Y35" s="1">
        <f t="shared" si="24"/>
        <v>0</v>
      </c>
      <c r="Z35" s="1">
        <f t="shared" si="24"/>
        <v>0</v>
      </c>
      <c r="AA35" s="1">
        <f t="shared" si="24"/>
        <v>0</v>
      </c>
      <c r="AB35" s="1">
        <f t="shared" si="24"/>
        <v>0</v>
      </c>
      <c r="AD35" s="7" t="s">
        <v>20</v>
      </c>
      <c r="AE35" s="1">
        <f>COUNTIF(AE$2:AE$12,$E35 &amp; " (call)")</f>
        <v>0</v>
      </c>
      <c r="AF35" s="1">
        <f t="shared" si="25"/>
        <v>0</v>
      </c>
      <c r="AG35" s="1">
        <f t="shared" si="25"/>
        <v>0</v>
      </c>
      <c r="AH35" s="1">
        <f t="shared" si="25"/>
        <v>0</v>
      </c>
      <c r="AI35" s="1">
        <f t="shared" si="25"/>
        <v>0</v>
      </c>
      <c r="AK35" s="7" t="s">
        <v>20</v>
      </c>
      <c r="AL35" s="1">
        <f>COUNTIF(AL$2:AL$12,$E35 &amp; " (call)")</f>
        <v>0</v>
      </c>
      <c r="AM35" s="1">
        <f t="shared" si="26"/>
        <v>0</v>
      </c>
      <c r="AN35" s="1">
        <f t="shared" si="26"/>
        <v>0</v>
      </c>
      <c r="AO35" s="1">
        <f t="shared" si="26"/>
        <v>0</v>
      </c>
      <c r="AP35" s="1">
        <f t="shared" si="26"/>
        <v>0</v>
      </c>
      <c r="AR35" s="7" t="s">
        <v>20</v>
      </c>
      <c r="AS35" s="1">
        <f>COUNTIF(AS$2:AS$12,$E35 &amp; " (call)")</f>
        <v>0</v>
      </c>
      <c r="AT35" s="1">
        <f t="shared" si="27"/>
        <v>0</v>
      </c>
      <c r="AU35" s="1">
        <f t="shared" si="27"/>
        <v>0</v>
      </c>
      <c r="AV35" s="1">
        <f t="shared" si="27"/>
        <v>0</v>
      </c>
      <c r="AW35" s="1">
        <f t="shared" si="27"/>
        <v>1</v>
      </c>
      <c r="AY35" s="7" t="s">
        <v>20</v>
      </c>
      <c r="AZ35" s="1">
        <f>COUNTIF(AZ$2:AZ$12,$E35 &amp; " (call)")</f>
        <v>0</v>
      </c>
      <c r="BA35" s="1">
        <f t="shared" si="28"/>
        <v>1</v>
      </c>
      <c r="BB35" s="1">
        <f t="shared" si="28"/>
        <v>0</v>
      </c>
      <c r="BC35" s="1">
        <f t="shared" si="28"/>
        <v>0</v>
      </c>
      <c r="BD35" s="1">
        <f t="shared" si="28"/>
        <v>0</v>
      </c>
      <c r="BF35" s="7" t="s">
        <v>20</v>
      </c>
      <c r="BG35" s="1">
        <f>COUNTIF(BG$2:BG$12,$E35 &amp; " (call)")</f>
        <v>0</v>
      </c>
      <c r="BH35" s="1">
        <f t="shared" si="29"/>
        <v>0</v>
      </c>
      <c r="BI35" s="1">
        <f t="shared" si="29"/>
        <v>0</v>
      </c>
      <c r="BJ35" s="1">
        <f t="shared" si="29"/>
        <v>0</v>
      </c>
      <c r="BK35" s="1">
        <f t="shared" si="29"/>
        <v>0</v>
      </c>
      <c r="BM35" s="7" t="s">
        <v>20</v>
      </c>
      <c r="BN35" s="1">
        <f>COUNTIF(BN$2:BN$12,$E35 &amp; " (call)")</f>
        <v>0</v>
      </c>
      <c r="BP35"/>
      <c r="BQ35"/>
    </row>
    <row r="36" spans="5:69" x14ac:dyDescent="0.2">
      <c r="E36" s="7" t="s">
        <v>25</v>
      </c>
      <c r="F36" s="1">
        <f>COUNTIF(F$2:F$12,$E36 &amp; " (call)")</f>
        <v>0</v>
      </c>
      <c r="G36" s="1">
        <f t="shared" si="21"/>
        <v>0</v>
      </c>
      <c r="I36" s="7" t="s">
        <v>25</v>
      </c>
      <c r="J36" s="1">
        <f>COUNTIF(J$2:J$12,$E36 &amp; " (call)")</f>
        <v>0</v>
      </c>
      <c r="K36" s="1">
        <f t="shared" si="22"/>
        <v>0</v>
      </c>
      <c r="L36" s="1">
        <f t="shared" si="22"/>
        <v>1</v>
      </c>
      <c r="M36" s="1">
        <f t="shared" si="22"/>
        <v>0</v>
      </c>
      <c r="N36" s="1">
        <f t="shared" si="22"/>
        <v>0</v>
      </c>
      <c r="P36" s="7" t="s">
        <v>25</v>
      </c>
      <c r="Q36" s="1">
        <f>COUNTIF(Q$2:Q$12,$E36 &amp; " (call)")</f>
        <v>0</v>
      </c>
      <c r="R36" s="1">
        <f t="shared" si="23"/>
        <v>0</v>
      </c>
      <c r="S36" s="1">
        <f t="shared" si="23"/>
        <v>0</v>
      </c>
      <c r="T36" s="1">
        <f t="shared" si="23"/>
        <v>0</v>
      </c>
      <c r="U36" s="1">
        <f t="shared" si="23"/>
        <v>0</v>
      </c>
      <c r="W36" s="7" t="s">
        <v>25</v>
      </c>
      <c r="X36" s="1">
        <f>COUNTIF(X$2:X$12,$E36 &amp; " (call)")</f>
        <v>1</v>
      </c>
      <c r="Y36" s="1">
        <f t="shared" si="24"/>
        <v>0</v>
      </c>
      <c r="Z36" s="1">
        <f t="shared" si="24"/>
        <v>0</v>
      </c>
      <c r="AA36" s="1">
        <f t="shared" si="24"/>
        <v>0</v>
      </c>
      <c r="AB36" s="1">
        <f t="shared" si="24"/>
        <v>0</v>
      </c>
      <c r="AD36" s="7" t="s">
        <v>25</v>
      </c>
      <c r="AE36" s="1">
        <f>COUNTIF(AE$2:AE$12,$E36 &amp; " (call)")</f>
        <v>0</v>
      </c>
      <c r="AF36" s="1">
        <f t="shared" si="25"/>
        <v>0</v>
      </c>
      <c r="AG36" s="1">
        <f t="shared" si="25"/>
        <v>1</v>
      </c>
      <c r="AH36" s="1">
        <f t="shared" si="25"/>
        <v>0</v>
      </c>
      <c r="AI36" s="1">
        <f t="shared" si="25"/>
        <v>0</v>
      </c>
      <c r="AK36" s="7" t="s">
        <v>25</v>
      </c>
      <c r="AL36" s="1">
        <f>COUNTIF(AL$2:AL$12,$E36 &amp; " (call)")</f>
        <v>0</v>
      </c>
      <c r="AM36" s="1">
        <f t="shared" si="26"/>
        <v>1</v>
      </c>
      <c r="AN36" s="1">
        <f t="shared" si="26"/>
        <v>0</v>
      </c>
      <c r="AO36" s="1">
        <f t="shared" si="26"/>
        <v>0</v>
      </c>
      <c r="AP36" s="1">
        <f t="shared" si="26"/>
        <v>0</v>
      </c>
      <c r="AR36" s="7" t="s">
        <v>25</v>
      </c>
      <c r="AS36" s="1">
        <f>COUNTIF(AS$2:AS$12,$E36 &amp; " (call)")</f>
        <v>0</v>
      </c>
      <c r="AT36" s="1">
        <f t="shared" si="27"/>
        <v>0</v>
      </c>
      <c r="AU36" s="1">
        <f t="shared" si="27"/>
        <v>0</v>
      </c>
      <c r="AV36" s="1">
        <f t="shared" si="27"/>
        <v>0</v>
      </c>
      <c r="AW36" s="1">
        <f t="shared" si="27"/>
        <v>0</v>
      </c>
      <c r="AY36" s="7" t="s">
        <v>25</v>
      </c>
      <c r="AZ36" s="1">
        <f>COUNTIF(AZ$2:AZ$12,$E36 &amp; " (call)")</f>
        <v>0</v>
      </c>
      <c r="BA36" s="1">
        <f t="shared" si="28"/>
        <v>0</v>
      </c>
      <c r="BB36" s="1">
        <f t="shared" si="28"/>
        <v>0</v>
      </c>
      <c r="BC36" s="1">
        <f t="shared" si="28"/>
        <v>0</v>
      </c>
      <c r="BD36" s="1">
        <f t="shared" si="28"/>
        <v>0</v>
      </c>
      <c r="BF36" s="7" t="s">
        <v>25</v>
      </c>
      <c r="BG36" s="1">
        <f>COUNTIF(BG$2:BG$12,$E36 &amp; " (call)")</f>
        <v>0</v>
      </c>
      <c r="BH36" s="1">
        <f t="shared" si="29"/>
        <v>0</v>
      </c>
      <c r="BI36" s="1">
        <f t="shared" si="29"/>
        <v>1</v>
      </c>
      <c r="BJ36" s="1">
        <f t="shared" si="29"/>
        <v>0</v>
      </c>
      <c r="BK36" s="1">
        <f t="shared" si="29"/>
        <v>0</v>
      </c>
      <c r="BM36" s="7" t="s">
        <v>25</v>
      </c>
      <c r="BN36" s="1">
        <f>COUNTIF(BN$2:BN$12,$E36 &amp; " (call)")</f>
        <v>0</v>
      </c>
      <c r="BP36"/>
      <c r="BQ36"/>
    </row>
    <row r="37" spans="5:69" x14ac:dyDescent="0.2">
      <c r="E37" s="7" t="s">
        <v>22</v>
      </c>
      <c r="F37" s="1">
        <f>COUNTIF(F$2:F$12,$E37 &amp; " (call)")</f>
        <v>0</v>
      </c>
      <c r="G37" s="1">
        <f t="shared" si="21"/>
        <v>0</v>
      </c>
      <c r="I37" s="7" t="s">
        <v>22</v>
      </c>
      <c r="J37" s="1">
        <f>COUNTIF(J$2:J$12,$E37 &amp; " (call)")</f>
        <v>0</v>
      </c>
      <c r="K37" s="1">
        <f t="shared" si="22"/>
        <v>0</v>
      </c>
      <c r="L37" s="1">
        <f t="shared" si="22"/>
        <v>0</v>
      </c>
      <c r="M37" s="1">
        <f t="shared" si="22"/>
        <v>0</v>
      </c>
      <c r="N37" s="1">
        <f t="shared" si="22"/>
        <v>0</v>
      </c>
      <c r="P37" s="7" t="s">
        <v>22</v>
      </c>
      <c r="Q37" s="1">
        <f>COUNTIF(Q$2:Q$12,$E37 &amp; " (call)")</f>
        <v>0</v>
      </c>
      <c r="R37" s="1">
        <f t="shared" si="23"/>
        <v>0</v>
      </c>
      <c r="S37" s="1">
        <f t="shared" si="23"/>
        <v>0</v>
      </c>
      <c r="T37" s="1">
        <f t="shared" si="23"/>
        <v>0</v>
      </c>
      <c r="U37" s="1">
        <f t="shared" si="23"/>
        <v>0</v>
      </c>
      <c r="W37" s="7" t="s">
        <v>22</v>
      </c>
      <c r="X37" s="1">
        <f>COUNTIF(X$2:X$12,$E37 &amp; " (call)")</f>
        <v>0</v>
      </c>
      <c r="Y37" s="1">
        <f t="shared" si="24"/>
        <v>0</v>
      </c>
      <c r="Z37" s="1">
        <f t="shared" si="24"/>
        <v>0</v>
      </c>
      <c r="AA37" s="1">
        <f t="shared" si="24"/>
        <v>0</v>
      </c>
      <c r="AB37" s="1">
        <f t="shared" si="24"/>
        <v>0</v>
      </c>
      <c r="AD37" s="7" t="s">
        <v>22</v>
      </c>
      <c r="AE37" s="1">
        <f>COUNTIF(AE$2:AE$12,$E37 &amp; " (call)")</f>
        <v>0</v>
      </c>
      <c r="AF37" s="1">
        <f t="shared" si="25"/>
        <v>0</v>
      </c>
      <c r="AG37" s="1">
        <f t="shared" si="25"/>
        <v>0</v>
      </c>
      <c r="AH37" s="1">
        <f t="shared" si="25"/>
        <v>0</v>
      </c>
      <c r="AI37" s="1">
        <f t="shared" si="25"/>
        <v>0</v>
      </c>
      <c r="AK37" s="7" t="s">
        <v>22</v>
      </c>
      <c r="AL37" s="1">
        <f>COUNTIF(AL$2:AL$12,$E37 &amp; " (call)")</f>
        <v>0</v>
      </c>
      <c r="AM37" s="1">
        <f t="shared" si="26"/>
        <v>0</v>
      </c>
      <c r="AN37" s="1">
        <f t="shared" si="26"/>
        <v>0</v>
      </c>
      <c r="AO37" s="1">
        <f t="shared" si="26"/>
        <v>0</v>
      </c>
      <c r="AP37" s="1">
        <f t="shared" si="26"/>
        <v>0</v>
      </c>
      <c r="AR37" s="7" t="s">
        <v>22</v>
      </c>
      <c r="AS37" s="1">
        <f>COUNTIF(AS$2:AS$12,$E37 &amp; " (call)")</f>
        <v>0</v>
      </c>
      <c r="AT37" s="1">
        <f t="shared" si="27"/>
        <v>0</v>
      </c>
      <c r="AU37" s="1">
        <f t="shared" si="27"/>
        <v>1</v>
      </c>
      <c r="AV37" s="1">
        <f t="shared" si="27"/>
        <v>0</v>
      </c>
      <c r="AW37" s="1">
        <f t="shared" si="27"/>
        <v>0</v>
      </c>
      <c r="AY37" s="7" t="s">
        <v>22</v>
      </c>
      <c r="AZ37" s="1">
        <f>COUNTIF(AZ$2:AZ$12,$E37 &amp; " (call)")</f>
        <v>0</v>
      </c>
      <c r="BA37" s="1">
        <f t="shared" si="28"/>
        <v>0</v>
      </c>
      <c r="BB37" s="1">
        <f t="shared" si="28"/>
        <v>0</v>
      </c>
      <c r="BC37" s="1">
        <f t="shared" si="28"/>
        <v>0</v>
      </c>
      <c r="BD37" s="1">
        <f t="shared" si="28"/>
        <v>0</v>
      </c>
      <c r="BF37" s="7" t="s">
        <v>22</v>
      </c>
      <c r="BG37" s="1">
        <f>COUNTIF(BG$2:BG$12,$E37 &amp; " (call)")</f>
        <v>1</v>
      </c>
      <c r="BH37" s="1">
        <f t="shared" si="29"/>
        <v>0</v>
      </c>
      <c r="BI37" s="1">
        <f t="shared" si="29"/>
        <v>0</v>
      </c>
      <c r="BJ37" s="1">
        <f t="shared" si="29"/>
        <v>0</v>
      </c>
      <c r="BK37" s="1">
        <f t="shared" si="29"/>
        <v>0</v>
      </c>
      <c r="BM37" s="7" t="s">
        <v>22</v>
      </c>
      <c r="BN37" s="1">
        <f>COUNTIF(BN$2:BN$12,$E37 &amp; " (call)")</f>
        <v>1</v>
      </c>
      <c r="BP37"/>
      <c r="BQ37"/>
    </row>
  </sheetData>
  <conditionalFormatting sqref="A15:A21">
    <cfRule type="containsText" dxfId="1210" priority="1233" operator="containsText" text="9ab">
      <formula>NOT(ISERROR(SEARCH("9ab",A15)))</formula>
    </cfRule>
    <cfRule type="cellIs" dxfId="1209" priority="1234" stopIfTrue="1" operator="equal">
      <formula>"leave"</formula>
    </cfRule>
    <cfRule type="containsText" dxfId="1208" priority="1235" operator="containsText" text="ds">
      <formula>NOT(ISERROR(SEARCH("ds",A15)))</formula>
    </cfRule>
    <cfRule type="containsText" dxfId="1207" priority="1236" operator="containsText" text="subobs">
      <formula>NOT(ISERROR(SEARCH("subobs",A15)))</formula>
    </cfRule>
    <cfRule type="containsText" dxfId="1206" priority="1237" operator="containsText" text="Call">
      <formula>NOT(ISERROR(SEARCH("Call",A15)))</formula>
    </cfRule>
  </conditionalFormatting>
  <conditionalFormatting sqref="BP2:BQ13 A1:BP14 A23:BR30 A22:BP22 A15:BR21">
    <cfRule type="containsText" dxfId="1204" priority="662" operator="containsText" text="(Call)">
      <formula>NOT(ISERROR(SEARCH("(Call)",A1)))</formula>
    </cfRule>
    <cfRule type="containsText" dxfId="1203" priority="1225" stopIfTrue="1" operator="containsText" text="go">
      <formula>NOT(ISERROR(SEARCH("go",A1)))</formula>
    </cfRule>
    <cfRule type="containsText" dxfId="1202" priority="1260" stopIfTrue="1" operator="containsText" text="ds">
      <formula>NOT(ISERROR(SEARCH("ds",A1)))</formula>
    </cfRule>
    <cfRule type="containsText" dxfId="1201" priority="1261" stopIfTrue="1" operator="containsText" text="subobs">
      <formula>NOT(ISERROR(SEARCH("subobs",A1)))</formula>
    </cfRule>
  </conditionalFormatting>
  <conditionalFormatting sqref="BP2:BQ13 A1:BP14 A23:BR30 A22:BP22 A15:BR21">
    <cfRule type="cellIs" dxfId="1200" priority="1257" operator="equal">
      <formula>"ps_cover"</formula>
    </cfRule>
    <cfRule type="containsText" dxfId="1199" priority="1258" stopIfTrue="1" operator="containsText" text="9ab">
      <formula>NOT(ISERROR(SEARCH("9ab",A1)))</formula>
    </cfRule>
  </conditionalFormatting>
  <conditionalFormatting sqref="BP2:BQ13 A1:BP14 A23:BR30 A22:BP22 A15:BR21">
    <cfRule type="containsText" dxfId="1198" priority="1205" operator="containsText" text="b1">
      <formula>NOT(ISERROR(SEARCH("b1",A1)))</formula>
    </cfRule>
    <cfRule type="cellIs" dxfId="1197" priority="1206" operator="equal">
      <formula>0</formula>
    </cfRule>
  </conditionalFormatting>
  <conditionalFormatting sqref="E15:E20">
    <cfRule type="containsText" dxfId="1196" priority="1219" operator="containsText" text="9ab">
      <formula>NOT(ISERROR(SEARCH("9ab",E15)))</formula>
    </cfRule>
    <cfRule type="cellIs" dxfId="1195" priority="1220" stopIfTrue="1" operator="equal">
      <formula>"leave"</formula>
    </cfRule>
    <cfRule type="containsText" dxfId="1194" priority="1221" operator="containsText" text="ds">
      <formula>NOT(ISERROR(SEARCH("ds",E15)))</formula>
    </cfRule>
    <cfRule type="containsText" dxfId="1193" priority="1222" operator="containsText" text="subobs">
      <formula>NOT(ISERROR(SEARCH("subobs",E15)))</formula>
    </cfRule>
    <cfRule type="containsText" dxfId="1192" priority="1223" operator="containsText" text="Call">
      <formula>NOT(ISERROR(SEARCH("Call",E15)))</formula>
    </cfRule>
  </conditionalFormatting>
  <conditionalFormatting sqref="E15:E21">
    <cfRule type="containsText" dxfId="1190" priority="1227" operator="containsText" text="9ab">
      <formula>NOT(ISERROR(SEARCH("9ab",E15)))</formula>
    </cfRule>
    <cfRule type="cellIs" dxfId="1189" priority="1228" stopIfTrue="1" operator="equal">
      <formula>"leave"</formula>
    </cfRule>
    <cfRule type="containsText" dxfId="1188" priority="1229" operator="containsText" text="ds">
      <formula>NOT(ISERROR(SEARCH("ds",E15)))</formula>
    </cfRule>
    <cfRule type="containsText" dxfId="1187" priority="1230" operator="containsText" text="subobs">
      <formula>NOT(ISERROR(SEARCH("subobs",E15)))</formula>
    </cfRule>
    <cfRule type="containsText" dxfId="1186" priority="1231" stopIfTrue="1" operator="containsText" text="(Call)">
      <formula>NOT(ISERROR(SEARCH("(Call)",E15)))</formula>
    </cfRule>
  </conditionalFormatting>
  <conditionalFormatting sqref="P15:P20">
    <cfRule type="containsText" dxfId="1184" priority="1181" operator="containsText" text="9ab">
      <formula>NOT(ISERROR(SEARCH("9ab",P15)))</formula>
    </cfRule>
    <cfRule type="cellIs" dxfId="1183" priority="1182" stopIfTrue="1" operator="equal">
      <formula>"leave"</formula>
    </cfRule>
    <cfRule type="containsText" dxfId="1182" priority="1183" operator="containsText" text="ds">
      <formula>NOT(ISERROR(SEARCH("ds",P15)))</formula>
    </cfRule>
    <cfRule type="containsText" dxfId="1181" priority="1184" operator="containsText" text="subobs">
      <formula>NOT(ISERROR(SEARCH("subobs",P15)))</formula>
    </cfRule>
    <cfRule type="containsText" dxfId="1180" priority="1185" operator="containsText" text="Call">
      <formula>NOT(ISERROR(SEARCH("Call",P15)))</formula>
    </cfRule>
    <cfRule type="containsText" dxfId="1178" priority="1207" operator="containsText" text="9ab">
      <formula>NOT(ISERROR(SEARCH("9ab",P15)))</formula>
    </cfRule>
    <cfRule type="cellIs" dxfId="1177" priority="1208" stopIfTrue="1" operator="equal">
      <formula>"leave"</formula>
    </cfRule>
    <cfRule type="containsText" dxfId="1176" priority="1209" operator="containsText" text="ds">
      <formula>NOT(ISERROR(SEARCH("ds",P15)))</formula>
    </cfRule>
    <cfRule type="containsText" dxfId="1175" priority="1210" operator="containsText" text="subobs">
      <formula>NOT(ISERROR(SEARCH("subobs",P15)))</formula>
    </cfRule>
    <cfRule type="containsText" dxfId="1174" priority="1211" operator="containsText" text="Call">
      <formula>NOT(ISERROR(SEARCH("Call",P15)))</formula>
    </cfRule>
  </conditionalFormatting>
  <conditionalFormatting sqref="P15:P21">
    <cfRule type="containsText" dxfId="1172" priority="1187" operator="containsText" text="9ab">
      <formula>NOT(ISERROR(SEARCH("9ab",P15)))</formula>
    </cfRule>
    <cfRule type="cellIs" dxfId="1171" priority="1188" stopIfTrue="1" operator="equal">
      <formula>"leave"</formula>
    </cfRule>
    <cfRule type="containsText" dxfId="1170" priority="1189" operator="containsText" text="ds">
      <formula>NOT(ISERROR(SEARCH("ds",P15)))</formula>
    </cfRule>
    <cfRule type="containsText" dxfId="1169" priority="1190" operator="containsText" text="subobs">
      <formula>NOT(ISERROR(SEARCH("subobs",P15)))</formula>
    </cfRule>
    <cfRule type="containsText" dxfId="1168" priority="1191" stopIfTrue="1" operator="containsText" text="(Call)">
      <formula>NOT(ISERROR(SEARCH("(Call)",P15)))</formula>
    </cfRule>
    <cfRule type="containsText" dxfId="1166" priority="1251" operator="containsText" text="9ab">
      <formula>NOT(ISERROR(SEARCH("9ab",P15)))</formula>
    </cfRule>
    <cfRule type="cellIs" dxfId="1165" priority="1252" stopIfTrue="1" operator="equal">
      <formula>"leave"</formula>
    </cfRule>
    <cfRule type="containsText" dxfId="1164" priority="1253" operator="containsText" text="ds">
      <formula>NOT(ISERROR(SEARCH("ds",P15)))</formula>
    </cfRule>
    <cfRule type="containsText" dxfId="1163" priority="1254" operator="containsText" text="subobs">
      <formula>NOT(ISERROR(SEARCH("subobs",P15)))</formula>
    </cfRule>
    <cfRule type="containsText" dxfId="1162" priority="1255" operator="containsText" text="Call">
      <formula>NOT(ISERROR(SEARCH("Call",P15)))</formula>
    </cfRule>
  </conditionalFormatting>
  <conditionalFormatting sqref="W15:W20">
    <cfRule type="containsText" dxfId="1160" priority="1157" operator="containsText" text="9ab">
      <formula>NOT(ISERROR(SEARCH("9ab",W15)))</formula>
    </cfRule>
    <cfRule type="cellIs" dxfId="1159" priority="1158" stopIfTrue="1" operator="equal">
      <formula>"leave"</formula>
    </cfRule>
    <cfRule type="containsText" dxfId="1158" priority="1159" operator="containsText" text="ds">
      <formula>NOT(ISERROR(SEARCH("ds",W15)))</formula>
    </cfRule>
    <cfRule type="containsText" dxfId="1157" priority="1160" operator="containsText" text="subobs">
      <formula>NOT(ISERROR(SEARCH("subobs",W15)))</formula>
    </cfRule>
    <cfRule type="containsText" dxfId="1156" priority="1161" operator="containsText" text="Call">
      <formula>NOT(ISERROR(SEARCH("Call",W15)))</formula>
    </cfRule>
    <cfRule type="containsText" dxfId="1154" priority="1169" operator="containsText" text="9ab">
      <formula>NOT(ISERROR(SEARCH("9ab",W15)))</formula>
    </cfRule>
    <cfRule type="cellIs" dxfId="1153" priority="1170" stopIfTrue="1" operator="equal">
      <formula>"leave"</formula>
    </cfRule>
    <cfRule type="containsText" dxfId="1152" priority="1171" operator="containsText" text="ds">
      <formula>NOT(ISERROR(SEARCH("ds",W15)))</formula>
    </cfRule>
    <cfRule type="containsText" dxfId="1151" priority="1172" operator="containsText" text="subobs">
      <formula>NOT(ISERROR(SEARCH("subobs",W15)))</formula>
    </cfRule>
    <cfRule type="containsText" dxfId="1150" priority="1173" operator="containsText" text="Call">
      <formula>NOT(ISERROR(SEARCH("Call",W15)))</formula>
    </cfRule>
  </conditionalFormatting>
  <conditionalFormatting sqref="W15:W21">
    <cfRule type="containsText" dxfId="1148" priority="1163" operator="containsText" text="9ab">
      <formula>NOT(ISERROR(SEARCH("9ab",W15)))</formula>
    </cfRule>
    <cfRule type="cellIs" dxfId="1147" priority="1164" stopIfTrue="1" operator="equal">
      <formula>"leave"</formula>
    </cfRule>
    <cfRule type="containsText" dxfId="1146" priority="1165" operator="containsText" text="ds">
      <formula>NOT(ISERROR(SEARCH("ds",W15)))</formula>
    </cfRule>
    <cfRule type="containsText" dxfId="1145" priority="1166" operator="containsText" text="subobs">
      <formula>NOT(ISERROR(SEARCH("subobs",W15)))</formula>
    </cfRule>
    <cfRule type="containsText" dxfId="1144" priority="1167" stopIfTrue="1" operator="containsText" text="(Call)">
      <formula>NOT(ISERROR(SEARCH("(Call)",W15)))</formula>
    </cfRule>
    <cfRule type="containsText" dxfId="1142" priority="1175" operator="containsText" text="9ab">
      <formula>NOT(ISERROR(SEARCH("9ab",W15)))</formula>
    </cfRule>
    <cfRule type="cellIs" dxfId="1141" priority="1176" stopIfTrue="1" operator="equal">
      <formula>"leave"</formula>
    </cfRule>
    <cfRule type="containsText" dxfId="1140" priority="1177" operator="containsText" text="ds">
      <formula>NOT(ISERROR(SEARCH("ds",W15)))</formula>
    </cfRule>
    <cfRule type="containsText" dxfId="1139" priority="1178" operator="containsText" text="subobs">
      <formula>NOT(ISERROR(SEARCH("subobs",W15)))</formula>
    </cfRule>
    <cfRule type="containsText" dxfId="1138" priority="1179" operator="containsText" text="Call">
      <formula>NOT(ISERROR(SEARCH("Call",W15)))</formula>
    </cfRule>
    <cfRule type="containsText" dxfId="1136" priority="1245" operator="containsText" text="9ab">
      <formula>NOT(ISERROR(SEARCH("9ab",W15)))</formula>
    </cfRule>
    <cfRule type="cellIs" dxfId="1135" priority="1246" stopIfTrue="1" operator="equal">
      <formula>"leave"</formula>
    </cfRule>
    <cfRule type="containsText" dxfId="1134" priority="1247" operator="containsText" text="ds">
      <formula>NOT(ISERROR(SEARCH("ds",W15)))</formula>
    </cfRule>
    <cfRule type="containsText" dxfId="1133" priority="1248" operator="containsText" text="subobs">
      <formula>NOT(ISERROR(SEARCH("subobs",W15)))</formula>
    </cfRule>
    <cfRule type="containsText" dxfId="1132" priority="1249" operator="containsText" text="Call">
      <formula>NOT(ISERROR(SEARCH("Call",W15)))</formula>
    </cfRule>
  </conditionalFormatting>
  <conditionalFormatting sqref="AD15:AD20">
    <cfRule type="containsText" dxfId="1130" priority="1133" operator="containsText" text="9ab">
      <formula>NOT(ISERROR(SEARCH("9ab",AD15)))</formula>
    </cfRule>
    <cfRule type="cellIs" dxfId="1129" priority="1134" stopIfTrue="1" operator="equal">
      <formula>"leave"</formula>
    </cfRule>
    <cfRule type="containsText" dxfId="1128" priority="1135" operator="containsText" text="ds">
      <formula>NOT(ISERROR(SEARCH("ds",AD15)))</formula>
    </cfRule>
    <cfRule type="containsText" dxfId="1127" priority="1136" operator="containsText" text="subobs">
      <formula>NOT(ISERROR(SEARCH("subobs",AD15)))</formula>
    </cfRule>
    <cfRule type="containsText" dxfId="1126" priority="1137" operator="containsText" text="Call">
      <formula>NOT(ISERROR(SEARCH("Call",AD15)))</formula>
    </cfRule>
    <cfRule type="containsText" dxfId="1124" priority="1145" operator="containsText" text="9ab">
      <formula>NOT(ISERROR(SEARCH("9ab",AD15)))</formula>
    </cfRule>
    <cfRule type="cellIs" dxfId="1123" priority="1146" stopIfTrue="1" operator="equal">
      <formula>"leave"</formula>
    </cfRule>
    <cfRule type="containsText" dxfId="1122" priority="1147" operator="containsText" text="ds">
      <formula>NOT(ISERROR(SEARCH("ds",AD15)))</formula>
    </cfRule>
    <cfRule type="containsText" dxfId="1121" priority="1148" operator="containsText" text="subobs">
      <formula>NOT(ISERROR(SEARCH("subobs",AD15)))</formula>
    </cfRule>
    <cfRule type="containsText" dxfId="1120" priority="1149" operator="containsText" text="Call">
      <formula>NOT(ISERROR(SEARCH("Call",AD15)))</formula>
    </cfRule>
  </conditionalFormatting>
  <conditionalFormatting sqref="AD15:AD21">
    <cfRule type="containsText" dxfId="1118" priority="1139" operator="containsText" text="9ab">
      <formula>NOT(ISERROR(SEARCH("9ab",AD15)))</formula>
    </cfRule>
    <cfRule type="cellIs" dxfId="1117" priority="1140" stopIfTrue="1" operator="equal">
      <formula>"leave"</formula>
    </cfRule>
    <cfRule type="containsText" dxfId="1116" priority="1141" operator="containsText" text="ds">
      <formula>NOT(ISERROR(SEARCH("ds",AD15)))</formula>
    </cfRule>
    <cfRule type="containsText" dxfId="1115" priority="1142" operator="containsText" text="subobs">
      <formula>NOT(ISERROR(SEARCH("subobs",AD15)))</formula>
    </cfRule>
    <cfRule type="containsText" dxfId="1114" priority="1143" stopIfTrue="1" operator="containsText" text="(Call)">
      <formula>NOT(ISERROR(SEARCH("(Call)",AD15)))</formula>
    </cfRule>
    <cfRule type="containsText" dxfId="1112" priority="1151" operator="containsText" text="9ab">
      <formula>NOT(ISERROR(SEARCH("9ab",AD15)))</formula>
    </cfRule>
    <cfRule type="cellIs" dxfId="1111" priority="1152" stopIfTrue="1" operator="equal">
      <formula>"leave"</formula>
    </cfRule>
    <cfRule type="containsText" dxfId="1110" priority="1153" operator="containsText" text="ds">
      <formula>NOT(ISERROR(SEARCH("ds",AD15)))</formula>
    </cfRule>
    <cfRule type="containsText" dxfId="1109" priority="1154" operator="containsText" text="subobs">
      <formula>NOT(ISERROR(SEARCH("subobs",AD15)))</formula>
    </cfRule>
    <cfRule type="containsText" dxfId="1108" priority="1155" operator="containsText" text="Call">
      <formula>NOT(ISERROR(SEARCH("Call",AD15)))</formula>
    </cfRule>
    <cfRule type="containsText" dxfId="1106" priority="1239" operator="containsText" text="9ab">
      <formula>NOT(ISERROR(SEARCH("9ab",AD15)))</formula>
    </cfRule>
    <cfRule type="cellIs" dxfId="1105" priority="1240" stopIfTrue="1" operator="equal">
      <formula>"leave"</formula>
    </cfRule>
    <cfRule type="containsText" dxfId="1104" priority="1241" operator="containsText" text="ds">
      <formula>NOT(ISERROR(SEARCH("ds",AD15)))</formula>
    </cfRule>
    <cfRule type="containsText" dxfId="1103" priority="1242" operator="containsText" text="subobs">
      <formula>NOT(ISERROR(SEARCH("subobs",AD15)))</formula>
    </cfRule>
    <cfRule type="containsText" dxfId="1102" priority="1243" operator="containsText" text="Call">
      <formula>NOT(ISERROR(SEARCH("Call",AD15)))</formula>
    </cfRule>
  </conditionalFormatting>
  <conditionalFormatting sqref="AJ15:AP21">
    <cfRule type="cellIs" dxfId="1100" priority="1126" operator="equal">
      <formula>0</formula>
    </cfRule>
  </conditionalFormatting>
  <conditionalFormatting sqref="AK15:AK20">
    <cfRule type="containsText" dxfId="1099" priority="1108" operator="containsText" text="9ab">
      <formula>NOT(ISERROR(SEARCH("9ab",AK15)))</formula>
    </cfRule>
    <cfRule type="cellIs" dxfId="1098" priority="1109" stopIfTrue="1" operator="equal">
      <formula>"leave"</formula>
    </cfRule>
    <cfRule type="containsText" dxfId="1097" priority="1110" operator="containsText" text="ds">
      <formula>NOT(ISERROR(SEARCH("ds",AK15)))</formula>
    </cfRule>
    <cfRule type="containsText" dxfId="1096" priority="1111" operator="containsText" text="subobs">
      <formula>NOT(ISERROR(SEARCH("subobs",AK15)))</formula>
    </cfRule>
    <cfRule type="containsText" dxfId="1095" priority="1112" operator="containsText" text="Call">
      <formula>NOT(ISERROR(SEARCH("Call",AK15)))</formula>
    </cfRule>
    <cfRule type="containsText" dxfId="1093" priority="1120" operator="containsText" text="9ab">
      <formula>NOT(ISERROR(SEARCH("9ab",AK15)))</formula>
    </cfRule>
    <cfRule type="cellIs" dxfId="1092" priority="1121" stopIfTrue="1" operator="equal">
      <formula>"leave"</formula>
    </cfRule>
    <cfRule type="containsText" dxfId="1091" priority="1122" operator="containsText" text="ds">
      <formula>NOT(ISERROR(SEARCH("ds",AK15)))</formula>
    </cfRule>
    <cfRule type="containsText" dxfId="1090" priority="1123" operator="containsText" text="subobs">
      <formula>NOT(ISERROR(SEARCH("subobs",AK15)))</formula>
    </cfRule>
    <cfRule type="containsText" dxfId="1089" priority="1124" operator="containsText" text="Call">
      <formula>NOT(ISERROR(SEARCH("Call",AK15)))</formula>
    </cfRule>
  </conditionalFormatting>
  <conditionalFormatting sqref="AK15:AK21">
    <cfRule type="containsText" dxfId="1087" priority="1114" operator="containsText" text="9ab">
      <formula>NOT(ISERROR(SEARCH("9ab",AK15)))</formula>
    </cfRule>
    <cfRule type="cellIs" dxfId="1086" priority="1115" stopIfTrue="1" operator="equal">
      <formula>"leave"</formula>
    </cfRule>
    <cfRule type="containsText" dxfId="1085" priority="1116" operator="containsText" text="ds">
      <formula>NOT(ISERROR(SEARCH("ds",AK15)))</formula>
    </cfRule>
    <cfRule type="containsText" dxfId="1084" priority="1117" operator="containsText" text="subobs">
      <formula>NOT(ISERROR(SEARCH("subobs",AK15)))</formula>
    </cfRule>
    <cfRule type="containsText" dxfId="1083" priority="1118" stopIfTrue="1" operator="containsText" text="(Call)">
      <formula>NOT(ISERROR(SEARCH("(Call)",AK15)))</formula>
    </cfRule>
    <cfRule type="containsText" dxfId="1081" priority="1127" operator="containsText" text="9ab">
      <formula>NOT(ISERROR(SEARCH("9ab",AK15)))</formula>
    </cfRule>
    <cfRule type="cellIs" dxfId="1080" priority="1128" stopIfTrue="1" operator="equal">
      <formula>"leave"</formula>
    </cfRule>
    <cfRule type="containsText" dxfId="1079" priority="1129" operator="containsText" text="ds">
      <formula>NOT(ISERROR(SEARCH("ds",AK15)))</formula>
    </cfRule>
    <cfRule type="containsText" dxfId="1078" priority="1130" operator="containsText" text="subobs">
      <formula>NOT(ISERROR(SEARCH("subobs",AK15)))</formula>
    </cfRule>
    <cfRule type="containsText" dxfId="1077" priority="1131" operator="containsText" text="Call">
      <formula>NOT(ISERROR(SEARCH("Call",AK15)))</formula>
    </cfRule>
  </conditionalFormatting>
  <conditionalFormatting sqref="AQ15:AW21">
    <cfRule type="cellIs" dxfId="1075" priority="1101" operator="equal">
      <formula>0</formula>
    </cfRule>
  </conditionalFormatting>
  <conditionalFormatting sqref="AR15:AR20">
    <cfRule type="containsText" dxfId="1074" priority="1083" operator="containsText" text="9ab">
      <formula>NOT(ISERROR(SEARCH("9ab",AR15)))</formula>
    </cfRule>
    <cfRule type="cellIs" dxfId="1073" priority="1084" stopIfTrue="1" operator="equal">
      <formula>"leave"</formula>
    </cfRule>
    <cfRule type="containsText" dxfId="1072" priority="1085" operator="containsText" text="ds">
      <formula>NOT(ISERROR(SEARCH("ds",AR15)))</formula>
    </cfRule>
    <cfRule type="containsText" dxfId="1071" priority="1086" operator="containsText" text="subobs">
      <formula>NOT(ISERROR(SEARCH("subobs",AR15)))</formula>
    </cfRule>
    <cfRule type="containsText" dxfId="1070" priority="1087" operator="containsText" text="Call">
      <formula>NOT(ISERROR(SEARCH("Call",AR15)))</formula>
    </cfRule>
    <cfRule type="containsText" dxfId="1068" priority="1095" operator="containsText" text="9ab">
      <formula>NOT(ISERROR(SEARCH("9ab",AR15)))</formula>
    </cfRule>
    <cfRule type="cellIs" dxfId="1067" priority="1096" stopIfTrue="1" operator="equal">
      <formula>"leave"</formula>
    </cfRule>
    <cfRule type="containsText" dxfId="1066" priority="1097" operator="containsText" text="ds">
      <formula>NOT(ISERROR(SEARCH("ds",AR15)))</formula>
    </cfRule>
    <cfRule type="containsText" dxfId="1065" priority="1098" operator="containsText" text="subobs">
      <formula>NOT(ISERROR(SEARCH("subobs",AR15)))</formula>
    </cfRule>
    <cfRule type="containsText" dxfId="1064" priority="1099" operator="containsText" text="Call">
      <formula>NOT(ISERROR(SEARCH("Call",AR15)))</formula>
    </cfRule>
  </conditionalFormatting>
  <conditionalFormatting sqref="AR15:AR21">
    <cfRule type="containsText" dxfId="1062" priority="1089" operator="containsText" text="9ab">
      <formula>NOT(ISERROR(SEARCH("9ab",AR15)))</formula>
    </cfRule>
    <cfRule type="cellIs" dxfId="1061" priority="1090" stopIfTrue="1" operator="equal">
      <formula>"leave"</formula>
    </cfRule>
    <cfRule type="containsText" dxfId="1060" priority="1091" operator="containsText" text="ds">
      <formula>NOT(ISERROR(SEARCH("ds",AR15)))</formula>
    </cfRule>
    <cfRule type="containsText" dxfId="1059" priority="1092" operator="containsText" text="subobs">
      <formula>NOT(ISERROR(SEARCH("subobs",AR15)))</formula>
    </cfRule>
    <cfRule type="containsText" dxfId="1058" priority="1093" stopIfTrue="1" operator="containsText" text="(Call)">
      <formula>NOT(ISERROR(SEARCH("(Call)",AR15)))</formula>
    </cfRule>
    <cfRule type="containsText" dxfId="1056" priority="1102" operator="containsText" text="9ab">
      <formula>NOT(ISERROR(SEARCH("9ab",AR15)))</formula>
    </cfRule>
    <cfRule type="cellIs" dxfId="1055" priority="1103" stopIfTrue="1" operator="equal">
      <formula>"leave"</formula>
    </cfRule>
    <cfRule type="containsText" dxfId="1054" priority="1104" operator="containsText" text="ds">
      <formula>NOT(ISERROR(SEARCH("ds",AR15)))</formula>
    </cfRule>
    <cfRule type="containsText" dxfId="1053" priority="1105" operator="containsText" text="subobs">
      <formula>NOT(ISERROR(SEARCH("subobs",AR15)))</formula>
    </cfRule>
    <cfRule type="containsText" dxfId="1052" priority="1106" operator="containsText" text="Call">
      <formula>NOT(ISERROR(SEARCH("Call",AR15)))</formula>
    </cfRule>
  </conditionalFormatting>
  <conditionalFormatting sqref="AX15:BD21">
    <cfRule type="cellIs" dxfId="1050" priority="1076" operator="equal">
      <formula>0</formula>
    </cfRule>
  </conditionalFormatting>
  <conditionalFormatting sqref="AY15:AY20">
    <cfRule type="containsText" dxfId="1049" priority="1058" operator="containsText" text="9ab">
      <formula>NOT(ISERROR(SEARCH("9ab",AY15)))</formula>
    </cfRule>
    <cfRule type="cellIs" dxfId="1048" priority="1059" stopIfTrue="1" operator="equal">
      <formula>"leave"</formula>
    </cfRule>
    <cfRule type="containsText" dxfId="1047" priority="1060" operator="containsText" text="ds">
      <formula>NOT(ISERROR(SEARCH("ds",AY15)))</formula>
    </cfRule>
    <cfRule type="containsText" dxfId="1046" priority="1061" operator="containsText" text="subobs">
      <formula>NOT(ISERROR(SEARCH("subobs",AY15)))</formula>
    </cfRule>
    <cfRule type="containsText" dxfId="1045" priority="1062" operator="containsText" text="Call">
      <formula>NOT(ISERROR(SEARCH("Call",AY15)))</formula>
    </cfRule>
    <cfRule type="containsText" dxfId="1043" priority="1070" operator="containsText" text="9ab">
      <formula>NOT(ISERROR(SEARCH("9ab",AY15)))</formula>
    </cfRule>
    <cfRule type="cellIs" dxfId="1042" priority="1071" stopIfTrue="1" operator="equal">
      <formula>"leave"</formula>
    </cfRule>
    <cfRule type="containsText" dxfId="1041" priority="1072" operator="containsText" text="ds">
      <formula>NOT(ISERROR(SEARCH("ds",AY15)))</formula>
    </cfRule>
    <cfRule type="containsText" dxfId="1040" priority="1073" operator="containsText" text="subobs">
      <formula>NOT(ISERROR(SEARCH("subobs",AY15)))</formula>
    </cfRule>
    <cfRule type="containsText" dxfId="1039" priority="1074" operator="containsText" text="Call">
      <formula>NOT(ISERROR(SEARCH("Call",AY15)))</formula>
    </cfRule>
  </conditionalFormatting>
  <conditionalFormatting sqref="AY15:AY21">
    <cfRule type="containsText" dxfId="1037" priority="1064" operator="containsText" text="9ab">
      <formula>NOT(ISERROR(SEARCH("9ab",AY15)))</formula>
    </cfRule>
    <cfRule type="cellIs" dxfId="1036" priority="1065" stopIfTrue="1" operator="equal">
      <formula>"leave"</formula>
    </cfRule>
    <cfRule type="containsText" dxfId="1035" priority="1066" operator="containsText" text="ds">
      <formula>NOT(ISERROR(SEARCH("ds",AY15)))</formula>
    </cfRule>
    <cfRule type="containsText" dxfId="1034" priority="1067" operator="containsText" text="subobs">
      <formula>NOT(ISERROR(SEARCH("subobs",AY15)))</formula>
    </cfRule>
    <cfRule type="containsText" dxfId="1033" priority="1068" stopIfTrue="1" operator="containsText" text="(Call)">
      <formula>NOT(ISERROR(SEARCH("(Call)",AY15)))</formula>
    </cfRule>
    <cfRule type="containsText" dxfId="1031" priority="1077" operator="containsText" text="9ab">
      <formula>NOT(ISERROR(SEARCH("9ab",AY15)))</formula>
    </cfRule>
    <cfRule type="cellIs" dxfId="1030" priority="1078" stopIfTrue="1" operator="equal">
      <formula>"leave"</formula>
    </cfRule>
    <cfRule type="containsText" dxfId="1029" priority="1079" operator="containsText" text="ds">
      <formula>NOT(ISERROR(SEARCH("ds",AY15)))</formula>
    </cfRule>
    <cfRule type="containsText" dxfId="1028" priority="1080" operator="containsText" text="subobs">
      <formula>NOT(ISERROR(SEARCH("subobs",AY15)))</formula>
    </cfRule>
    <cfRule type="containsText" dxfId="1027" priority="1081" operator="containsText" text="Call">
      <formula>NOT(ISERROR(SEARCH("Call",AY15)))</formula>
    </cfRule>
  </conditionalFormatting>
  <conditionalFormatting sqref="BE15:BK21">
    <cfRule type="cellIs" dxfId="1025" priority="1051" operator="equal">
      <formula>0</formula>
    </cfRule>
  </conditionalFormatting>
  <conditionalFormatting sqref="BF15:BF20">
    <cfRule type="containsText" dxfId="1024" priority="1033" operator="containsText" text="9ab">
      <formula>NOT(ISERROR(SEARCH("9ab",BF15)))</formula>
    </cfRule>
    <cfRule type="cellIs" dxfId="1023" priority="1034" stopIfTrue="1" operator="equal">
      <formula>"leave"</formula>
    </cfRule>
    <cfRule type="containsText" dxfId="1022" priority="1035" operator="containsText" text="ds">
      <formula>NOT(ISERROR(SEARCH("ds",BF15)))</formula>
    </cfRule>
    <cfRule type="containsText" dxfId="1021" priority="1036" operator="containsText" text="subobs">
      <formula>NOT(ISERROR(SEARCH("subobs",BF15)))</formula>
    </cfRule>
    <cfRule type="containsText" dxfId="1020" priority="1037" operator="containsText" text="Call">
      <formula>NOT(ISERROR(SEARCH("Call",BF15)))</formula>
    </cfRule>
    <cfRule type="containsText" dxfId="1018" priority="1045" operator="containsText" text="9ab">
      <formula>NOT(ISERROR(SEARCH("9ab",BF15)))</formula>
    </cfRule>
    <cfRule type="cellIs" dxfId="1017" priority="1046" stopIfTrue="1" operator="equal">
      <formula>"leave"</formula>
    </cfRule>
    <cfRule type="containsText" dxfId="1016" priority="1047" operator="containsText" text="ds">
      <formula>NOT(ISERROR(SEARCH("ds",BF15)))</formula>
    </cfRule>
    <cfRule type="containsText" dxfId="1015" priority="1048" operator="containsText" text="subobs">
      <formula>NOT(ISERROR(SEARCH("subobs",BF15)))</formula>
    </cfRule>
    <cfRule type="containsText" dxfId="1014" priority="1049" operator="containsText" text="Call">
      <formula>NOT(ISERROR(SEARCH("Call",BF15)))</formula>
    </cfRule>
  </conditionalFormatting>
  <conditionalFormatting sqref="BF15:BF21">
    <cfRule type="containsText" dxfId="1012" priority="1039" operator="containsText" text="9ab">
      <formula>NOT(ISERROR(SEARCH("9ab",BF15)))</formula>
    </cfRule>
    <cfRule type="cellIs" dxfId="1011" priority="1040" stopIfTrue="1" operator="equal">
      <formula>"leave"</formula>
    </cfRule>
    <cfRule type="containsText" dxfId="1010" priority="1041" operator="containsText" text="ds">
      <formula>NOT(ISERROR(SEARCH("ds",BF15)))</formula>
    </cfRule>
    <cfRule type="containsText" dxfId="1009" priority="1042" operator="containsText" text="subobs">
      <formula>NOT(ISERROR(SEARCH("subobs",BF15)))</formula>
    </cfRule>
    <cfRule type="containsText" dxfId="1008" priority="1043" stopIfTrue="1" operator="containsText" text="(Call)">
      <formula>NOT(ISERROR(SEARCH("(Call)",BF15)))</formula>
    </cfRule>
    <cfRule type="containsText" dxfId="1006" priority="1052" operator="containsText" text="9ab">
      <formula>NOT(ISERROR(SEARCH("9ab",BF15)))</formula>
    </cfRule>
    <cfRule type="cellIs" dxfId="1005" priority="1053" stopIfTrue="1" operator="equal">
      <formula>"leave"</formula>
    </cfRule>
    <cfRule type="containsText" dxfId="1004" priority="1054" operator="containsText" text="ds">
      <formula>NOT(ISERROR(SEARCH("ds",BF15)))</formula>
    </cfRule>
    <cfRule type="containsText" dxfId="1003" priority="1055" operator="containsText" text="subobs">
      <formula>NOT(ISERROR(SEARCH("subobs",BF15)))</formula>
    </cfRule>
    <cfRule type="containsText" dxfId="1002" priority="1056" operator="containsText" text="Call">
      <formula>NOT(ISERROR(SEARCH("Call",BF15)))</formula>
    </cfRule>
  </conditionalFormatting>
  <conditionalFormatting sqref="BL15:BR21">
    <cfRule type="cellIs" dxfId="1000" priority="1026" operator="equal">
      <formula>0</formula>
    </cfRule>
  </conditionalFormatting>
  <conditionalFormatting sqref="BM15:BM20">
    <cfRule type="containsText" dxfId="999" priority="1008" operator="containsText" text="9ab">
      <formula>NOT(ISERROR(SEARCH("9ab",BM15)))</formula>
    </cfRule>
    <cfRule type="cellIs" dxfId="998" priority="1009" stopIfTrue="1" operator="equal">
      <formula>"leave"</formula>
    </cfRule>
    <cfRule type="containsText" dxfId="997" priority="1010" operator="containsText" text="ds">
      <formula>NOT(ISERROR(SEARCH("ds",BM15)))</formula>
    </cfRule>
    <cfRule type="containsText" dxfId="996" priority="1011" operator="containsText" text="subobs">
      <formula>NOT(ISERROR(SEARCH("subobs",BM15)))</formula>
    </cfRule>
    <cfRule type="containsText" dxfId="995" priority="1012" operator="containsText" text="Call">
      <formula>NOT(ISERROR(SEARCH("Call",BM15)))</formula>
    </cfRule>
    <cfRule type="containsText" dxfId="993" priority="1020" operator="containsText" text="9ab">
      <formula>NOT(ISERROR(SEARCH("9ab",BM15)))</formula>
    </cfRule>
    <cfRule type="cellIs" dxfId="992" priority="1021" stopIfTrue="1" operator="equal">
      <formula>"leave"</formula>
    </cfRule>
    <cfRule type="containsText" dxfId="991" priority="1022" operator="containsText" text="ds">
      <formula>NOT(ISERROR(SEARCH("ds",BM15)))</formula>
    </cfRule>
    <cfRule type="containsText" dxfId="990" priority="1023" operator="containsText" text="subobs">
      <formula>NOT(ISERROR(SEARCH("subobs",BM15)))</formula>
    </cfRule>
    <cfRule type="containsText" dxfId="989" priority="1024" operator="containsText" text="Call">
      <formula>NOT(ISERROR(SEARCH("Call",BM15)))</formula>
    </cfRule>
  </conditionalFormatting>
  <conditionalFormatting sqref="BM15:BM21">
    <cfRule type="containsText" dxfId="987" priority="1014" operator="containsText" text="9ab">
      <formula>NOT(ISERROR(SEARCH("9ab",BM15)))</formula>
    </cfRule>
    <cfRule type="cellIs" dxfId="986" priority="1015" stopIfTrue="1" operator="equal">
      <formula>"leave"</formula>
    </cfRule>
    <cfRule type="containsText" dxfId="985" priority="1016" operator="containsText" text="ds">
      <formula>NOT(ISERROR(SEARCH("ds",BM15)))</formula>
    </cfRule>
    <cfRule type="containsText" dxfId="984" priority="1017" operator="containsText" text="subobs">
      <formula>NOT(ISERROR(SEARCH("subobs",BM15)))</formula>
    </cfRule>
    <cfRule type="containsText" dxfId="983" priority="1018" stopIfTrue="1" operator="containsText" text="(Call)">
      <formula>NOT(ISERROR(SEARCH("(Call)",BM15)))</formula>
    </cfRule>
    <cfRule type="containsText" dxfId="981" priority="1027" operator="containsText" text="9ab">
      <formula>NOT(ISERROR(SEARCH("9ab",BM15)))</formula>
    </cfRule>
    <cfRule type="cellIs" dxfId="980" priority="1028" stopIfTrue="1" operator="equal">
      <formula>"leave"</formula>
    </cfRule>
    <cfRule type="containsText" dxfId="979" priority="1029" operator="containsText" text="ds">
      <formula>NOT(ISERROR(SEARCH("ds",BM15)))</formula>
    </cfRule>
    <cfRule type="containsText" dxfId="978" priority="1030" operator="containsText" text="subobs">
      <formula>NOT(ISERROR(SEARCH("subobs",BM15)))</formula>
    </cfRule>
    <cfRule type="containsText" dxfId="977" priority="1031" operator="containsText" text="Call">
      <formula>NOT(ISERROR(SEARCH("Call",BM15)))</formula>
    </cfRule>
  </conditionalFormatting>
  <conditionalFormatting sqref="BQ2:BQ13">
    <cfRule type="containsText" dxfId="975" priority="1000" stopIfTrue="1" operator="containsText" text="b1">
      <formula>NOT(ISERROR(SEARCH("b1",BQ2)))</formula>
    </cfRule>
    <cfRule type="containsText" dxfId="974" priority="1001" operator="containsText" text="go">
      <formula>NOT(ISERROR(SEARCH("go",BQ2)))</formula>
    </cfRule>
    <cfRule type="cellIs" dxfId="973" priority="1002" operator="equal">
      <formula>"post_call_cover"</formula>
    </cfRule>
    <cfRule type="containsText" dxfId="972" priority="1003" operator="containsText" text="9ab">
      <formula>NOT(ISERROR(SEARCH("9ab",BQ2)))</formula>
    </cfRule>
    <cfRule type="cellIs" dxfId="971" priority="1004" stopIfTrue="1" operator="equal">
      <formula>"leave"</formula>
    </cfRule>
    <cfRule type="containsText" dxfId="970" priority="1005" operator="containsText" text="ds">
      <formula>NOT(ISERROR(SEARCH("ds",BQ2)))</formula>
    </cfRule>
    <cfRule type="containsText" dxfId="969" priority="1006" operator="containsText" text="subobs">
      <formula>NOT(ISERROR(SEARCH("subobs",BQ2)))</formula>
    </cfRule>
    <cfRule type="containsText" dxfId="968" priority="1007" operator="containsText" text="(Call)">
      <formula>NOT(ISERROR(SEARCH("(Call)",BQ2)))</formula>
    </cfRule>
  </conditionalFormatting>
  <conditionalFormatting sqref="A23:A30">
    <cfRule type="containsText" dxfId="967" priority="976" operator="containsText" text="9ab">
      <formula>NOT(ISERROR(SEARCH("9ab",A23)))</formula>
    </cfRule>
    <cfRule type="cellIs" dxfId="966" priority="977" stopIfTrue="1" operator="equal">
      <formula>"leave"</formula>
    </cfRule>
    <cfRule type="containsText" dxfId="965" priority="978" operator="containsText" text="ds">
      <formula>NOT(ISERROR(SEARCH("ds",A23)))</formula>
    </cfRule>
    <cfRule type="containsText" dxfId="964" priority="979" operator="containsText" text="subobs">
      <formula>NOT(ISERROR(SEARCH("subobs",A23)))</formula>
    </cfRule>
    <cfRule type="containsText" dxfId="963" priority="980" operator="containsText" text="Call">
      <formula>NOT(ISERROR(SEARCH("Call",A23)))</formula>
    </cfRule>
  </conditionalFormatting>
  <conditionalFormatting sqref="E23:E28">
    <cfRule type="containsText" dxfId="961" priority="963" operator="containsText" text="9ab">
      <formula>NOT(ISERROR(SEARCH("9ab",E23)))</formula>
    </cfRule>
    <cfRule type="cellIs" dxfId="960" priority="964" stopIfTrue="1" operator="equal">
      <formula>"leave"</formula>
    </cfRule>
    <cfRule type="containsText" dxfId="959" priority="965" operator="containsText" text="ds">
      <formula>NOT(ISERROR(SEARCH("ds",E23)))</formula>
    </cfRule>
    <cfRule type="containsText" dxfId="958" priority="966" operator="containsText" text="subobs">
      <formula>NOT(ISERROR(SEARCH("subobs",E23)))</formula>
    </cfRule>
    <cfRule type="containsText" dxfId="957" priority="967" operator="containsText" text="Call">
      <formula>NOT(ISERROR(SEARCH("Call",E23)))</formula>
    </cfRule>
  </conditionalFormatting>
  <conditionalFormatting sqref="E23:E30">
    <cfRule type="containsText" dxfId="955" priority="970" operator="containsText" text="9ab">
      <formula>NOT(ISERROR(SEARCH("9ab",E23)))</formula>
    </cfRule>
    <cfRule type="cellIs" dxfId="954" priority="971" stopIfTrue="1" operator="equal">
      <formula>"leave"</formula>
    </cfRule>
    <cfRule type="containsText" dxfId="953" priority="972" operator="containsText" text="ds">
      <formula>NOT(ISERROR(SEARCH("ds",E23)))</formula>
    </cfRule>
    <cfRule type="containsText" dxfId="952" priority="973" operator="containsText" text="subobs">
      <formula>NOT(ISERROR(SEARCH("subobs",E23)))</formula>
    </cfRule>
    <cfRule type="containsText" dxfId="951" priority="974" stopIfTrue="1" operator="containsText" text="(Call)">
      <formula>NOT(ISERROR(SEARCH("(Call)",E23)))</formula>
    </cfRule>
  </conditionalFormatting>
  <conditionalFormatting sqref="E23:AI30">
    <cfRule type="cellIs" dxfId="949" priority="969" operator="equal">
      <formula>0</formula>
    </cfRule>
  </conditionalFormatting>
  <conditionalFormatting sqref="I23:I28">
    <cfRule type="containsText" dxfId="948" priority="939" operator="containsText" text="9ab">
      <formula>NOT(ISERROR(SEARCH("9ab",I23)))</formula>
    </cfRule>
    <cfRule type="cellIs" dxfId="947" priority="940" stopIfTrue="1" operator="equal">
      <formula>"leave"</formula>
    </cfRule>
    <cfRule type="containsText" dxfId="946" priority="941" operator="containsText" text="ds">
      <formula>NOT(ISERROR(SEARCH("ds",I23)))</formula>
    </cfRule>
    <cfRule type="containsText" dxfId="945" priority="942" operator="containsText" text="subobs">
      <formula>NOT(ISERROR(SEARCH("subobs",I23)))</formula>
    </cfRule>
    <cfRule type="containsText" dxfId="944" priority="943" operator="containsText" text="Call">
      <formula>NOT(ISERROR(SEARCH("Call",I23)))</formula>
    </cfRule>
    <cfRule type="containsText" dxfId="942" priority="957" operator="containsText" text="9ab">
      <formula>NOT(ISERROR(SEARCH("9ab",I23)))</formula>
    </cfRule>
    <cfRule type="cellIs" dxfId="941" priority="958" stopIfTrue="1" operator="equal">
      <formula>"leave"</formula>
    </cfRule>
    <cfRule type="containsText" dxfId="940" priority="959" operator="containsText" text="ds">
      <formula>NOT(ISERROR(SEARCH("ds",I23)))</formula>
    </cfRule>
    <cfRule type="containsText" dxfId="939" priority="960" operator="containsText" text="subobs">
      <formula>NOT(ISERROR(SEARCH("subobs",I23)))</formula>
    </cfRule>
    <cfRule type="containsText" dxfId="938" priority="961" operator="containsText" text="Call">
      <formula>NOT(ISERROR(SEARCH("Call",I23)))</formula>
    </cfRule>
  </conditionalFormatting>
  <conditionalFormatting sqref="I23:I30">
    <cfRule type="containsText" dxfId="936" priority="945" operator="containsText" text="9ab">
      <formula>NOT(ISERROR(SEARCH("9ab",I23)))</formula>
    </cfRule>
    <cfRule type="cellIs" dxfId="935" priority="946" stopIfTrue="1" operator="equal">
      <formula>"leave"</formula>
    </cfRule>
    <cfRule type="containsText" dxfId="934" priority="947" operator="containsText" text="ds">
      <formula>NOT(ISERROR(SEARCH("ds",I23)))</formula>
    </cfRule>
    <cfRule type="containsText" dxfId="933" priority="948" operator="containsText" text="subobs">
      <formula>NOT(ISERROR(SEARCH("subobs",I23)))</formula>
    </cfRule>
    <cfRule type="containsText" dxfId="932" priority="949" stopIfTrue="1" operator="containsText" text="(Call)">
      <formula>NOT(ISERROR(SEARCH("(Call)",I23)))</formula>
    </cfRule>
  </conditionalFormatting>
  <conditionalFormatting sqref="P23:P28">
    <cfRule type="containsText" dxfId="930" priority="927" operator="containsText" text="9ab">
      <formula>NOT(ISERROR(SEARCH("9ab",P23)))</formula>
    </cfRule>
    <cfRule type="cellIs" dxfId="929" priority="928" stopIfTrue="1" operator="equal">
      <formula>"leave"</formula>
    </cfRule>
    <cfRule type="containsText" dxfId="928" priority="929" operator="containsText" text="ds">
      <formula>NOT(ISERROR(SEARCH("ds",P23)))</formula>
    </cfRule>
    <cfRule type="containsText" dxfId="927" priority="930" operator="containsText" text="subobs">
      <formula>NOT(ISERROR(SEARCH("subobs",P23)))</formula>
    </cfRule>
    <cfRule type="containsText" dxfId="926" priority="931" operator="containsText" text="Call">
      <formula>NOT(ISERROR(SEARCH("Call",P23)))</formula>
    </cfRule>
    <cfRule type="containsText" dxfId="924" priority="951" operator="containsText" text="9ab">
      <formula>NOT(ISERROR(SEARCH("9ab",P23)))</formula>
    </cfRule>
    <cfRule type="cellIs" dxfId="923" priority="952" stopIfTrue="1" operator="equal">
      <formula>"leave"</formula>
    </cfRule>
    <cfRule type="containsText" dxfId="922" priority="953" operator="containsText" text="ds">
      <formula>NOT(ISERROR(SEARCH("ds",P23)))</formula>
    </cfRule>
    <cfRule type="containsText" dxfId="921" priority="954" operator="containsText" text="subobs">
      <formula>NOT(ISERROR(SEARCH("subobs",P23)))</formula>
    </cfRule>
    <cfRule type="containsText" dxfId="920" priority="955" operator="containsText" text="Call">
      <formula>NOT(ISERROR(SEARCH("Call",P23)))</formula>
    </cfRule>
  </conditionalFormatting>
  <conditionalFormatting sqref="P23:P30">
    <cfRule type="containsText" dxfId="918" priority="933" operator="containsText" text="9ab">
      <formula>NOT(ISERROR(SEARCH("9ab",P23)))</formula>
    </cfRule>
    <cfRule type="cellIs" dxfId="917" priority="934" stopIfTrue="1" operator="equal">
      <formula>"leave"</formula>
    </cfRule>
    <cfRule type="containsText" dxfId="916" priority="935" operator="containsText" text="ds">
      <formula>NOT(ISERROR(SEARCH("ds",P23)))</formula>
    </cfRule>
    <cfRule type="containsText" dxfId="915" priority="936" operator="containsText" text="subobs">
      <formula>NOT(ISERROR(SEARCH("subobs",P23)))</formula>
    </cfRule>
    <cfRule type="containsText" dxfId="914" priority="937" stopIfTrue="1" operator="containsText" text="(Call)">
      <formula>NOT(ISERROR(SEARCH("(Call)",P23)))</formula>
    </cfRule>
    <cfRule type="containsText" dxfId="912" priority="994" operator="containsText" text="9ab">
      <formula>NOT(ISERROR(SEARCH("9ab",P23)))</formula>
    </cfRule>
    <cfRule type="cellIs" dxfId="911" priority="995" stopIfTrue="1" operator="equal">
      <formula>"leave"</formula>
    </cfRule>
    <cfRule type="containsText" dxfId="910" priority="996" operator="containsText" text="ds">
      <formula>NOT(ISERROR(SEARCH("ds",P23)))</formula>
    </cfRule>
    <cfRule type="containsText" dxfId="909" priority="997" operator="containsText" text="subobs">
      <formula>NOT(ISERROR(SEARCH("subobs",P23)))</formula>
    </cfRule>
    <cfRule type="containsText" dxfId="908" priority="998" operator="containsText" text="Call">
      <formula>NOT(ISERROR(SEARCH("Call",P23)))</formula>
    </cfRule>
  </conditionalFormatting>
  <conditionalFormatting sqref="W23:W28">
    <cfRule type="containsText" dxfId="906" priority="903" operator="containsText" text="9ab">
      <formula>NOT(ISERROR(SEARCH("9ab",W23)))</formula>
    </cfRule>
    <cfRule type="cellIs" dxfId="905" priority="904" stopIfTrue="1" operator="equal">
      <formula>"leave"</formula>
    </cfRule>
    <cfRule type="containsText" dxfId="904" priority="905" operator="containsText" text="ds">
      <formula>NOT(ISERROR(SEARCH("ds",W23)))</formula>
    </cfRule>
    <cfRule type="containsText" dxfId="903" priority="906" operator="containsText" text="subobs">
      <formula>NOT(ISERROR(SEARCH("subobs",W23)))</formula>
    </cfRule>
    <cfRule type="containsText" dxfId="902" priority="907" operator="containsText" text="Call">
      <formula>NOT(ISERROR(SEARCH("Call",W23)))</formula>
    </cfRule>
    <cfRule type="containsText" dxfId="900" priority="915" operator="containsText" text="9ab">
      <formula>NOT(ISERROR(SEARCH("9ab",W23)))</formula>
    </cfRule>
    <cfRule type="cellIs" dxfId="899" priority="916" stopIfTrue="1" operator="equal">
      <formula>"leave"</formula>
    </cfRule>
    <cfRule type="containsText" dxfId="898" priority="917" operator="containsText" text="ds">
      <formula>NOT(ISERROR(SEARCH("ds",W23)))</formula>
    </cfRule>
    <cfRule type="containsText" dxfId="897" priority="918" operator="containsText" text="subobs">
      <formula>NOT(ISERROR(SEARCH("subobs",W23)))</formula>
    </cfRule>
    <cfRule type="containsText" dxfId="896" priority="919" operator="containsText" text="Call">
      <formula>NOT(ISERROR(SEARCH("Call",W23)))</formula>
    </cfRule>
  </conditionalFormatting>
  <conditionalFormatting sqref="W23:W30">
    <cfRule type="containsText" dxfId="894" priority="909" operator="containsText" text="9ab">
      <formula>NOT(ISERROR(SEARCH("9ab",W23)))</formula>
    </cfRule>
    <cfRule type="cellIs" dxfId="893" priority="910" stopIfTrue="1" operator="equal">
      <formula>"leave"</formula>
    </cfRule>
    <cfRule type="containsText" dxfId="892" priority="911" operator="containsText" text="ds">
      <formula>NOT(ISERROR(SEARCH("ds",W23)))</formula>
    </cfRule>
    <cfRule type="containsText" dxfId="891" priority="912" operator="containsText" text="subobs">
      <formula>NOT(ISERROR(SEARCH("subobs",W23)))</formula>
    </cfRule>
    <cfRule type="containsText" dxfId="890" priority="913" stopIfTrue="1" operator="containsText" text="(Call)">
      <formula>NOT(ISERROR(SEARCH("(Call)",W23)))</formula>
    </cfRule>
    <cfRule type="containsText" dxfId="888" priority="921" operator="containsText" text="9ab">
      <formula>NOT(ISERROR(SEARCH("9ab",W23)))</formula>
    </cfRule>
    <cfRule type="cellIs" dxfId="887" priority="922" stopIfTrue="1" operator="equal">
      <formula>"leave"</formula>
    </cfRule>
    <cfRule type="containsText" dxfId="886" priority="923" operator="containsText" text="ds">
      <formula>NOT(ISERROR(SEARCH("ds",W23)))</formula>
    </cfRule>
    <cfRule type="containsText" dxfId="885" priority="924" operator="containsText" text="subobs">
      <formula>NOT(ISERROR(SEARCH("subobs",W23)))</formula>
    </cfRule>
    <cfRule type="containsText" dxfId="884" priority="925" operator="containsText" text="Call">
      <formula>NOT(ISERROR(SEARCH("Call",W23)))</formula>
    </cfRule>
    <cfRule type="containsText" dxfId="882" priority="988" operator="containsText" text="9ab">
      <formula>NOT(ISERROR(SEARCH("9ab",W23)))</formula>
    </cfRule>
    <cfRule type="cellIs" dxfId="881" priority="989" stopIfTrue="1" operator="equal">
      <formula>"leave"</formula>
    </cfRule>
    <cfRule type="containsText" dxfId="880" priority="990" operator="containsText" text="ds">
      <formula>NOT(ISERROR(SEARCH("ds",W23)))</formula>
    </cfRule>
    <cfRule type="containsText" dxfId="879" priority="991" operator="containsText" text="subobs">
      <formula>NOT(ISERROR(SEARCH("subobs",W23)))</formula>
    </cfRule>
    <cfRule type="containsText" dxfId="878" priority="992" operator="containsText" text="Call">
      <formula>NOT(ISERROR(SEARCH("Call",W23)))</formula>
    </cfRule>
  </conditionalFormatting>
  <conditionalFormatting sqref="AD23:AD28">
    <cfRule type="containsText" dxfId="876" priority="879" operator="containsText" text="9ab">
      <formula>NOT(ISERROR(SEARCH("9ab",AD23)))</formula>
    </cfRule>
    <cfRule type="cellIs" dxfId="875" priority="880" stopIfTrue="1" operator="equal">
      <formula>"leave"</formula>
    </cfRule>
    <cfRule type="containsText" dxfId="874" priority="881" operator="containsText" text="ds">
      <formula>NOT(ISERROR(SEARCH("ds",AD23)))</formula>
    </cfRule>
    <cfRule type="containsText" dxfId="873" priority="882" operator="containsText" text="subobs">
      <formula>NOT(ISERROR(SEARCH("subobs",AD23)))</formula>
    </cfRule>
    <cfRule type="containsText" dxfId="872" priority="883" operator="containsText" text="Call">
      <formula>NOT(ISERROR(SEARCH("Call",AD23)))</formula>
    </cfRule>
    <cfRule type="containsText" dxfId="870" priority="891" operator="containsText" text="9ab">
      <formula>NOT(ISERROR(SEARCH("9ab",AD23)))</formula>
    </cfRule>
    <cfRule type="cellIs" dxfId="869" priority="892" stopIfTrue="1" operator="equal">
      <formula>"leave"</formula>
    </cfRule>
    <cfRule type="containsText" dxfId="868" priority="893" operator="containsText" text="ds">
      <formula>NOT(ISERROR(SEARCH("ds",AD23)))</formula>
    </cfRule>
    <cfRule type="containsText" dxfId="867" priority="894" operator="containsText" text="subobs">
      <formula>NOT(ISERROR(SEARCH("subobs",AD23)))</formula>
    </cfRule>
    <cfRule type="containsText" dxfId="866" priority="895" operator="containsText" text="Call">
      <formula>NOT(ISERROR(SEARCH("Call",AD23)))</formula>
    </cfRule>
  </conditionalFormatting>
  <conditionalFormatting sqref="AD23:AD30">
    <cfRule type="containsText" dxfId="864" priority="885" operator="containsText" text="9ab">
      <formula>NOT(ISERROR(SEARCH("9ab",AD23)))</formula>
    </cfRule>
    <cfRule type="cellIs" dxfId="863" priority="886" stopIfTrue="1" operator="equal">
      <formula>"leave"</formula>
    </cfRule>
    <cfRule type="containsText" dxfId="862" priority="887" operator="containsText" text="ds">
      <formula>NOT(ISERROR(SEARCH("ds",AD23)))</formula>
    </cfRule>
    <cfRule type="containsText" dxfId="861" priority="888" operator="containsText" text="subobs">
      <formula>NOT(ISERROR(SEARCH("subobs",AD23)))</formula>
    </cfRule>
    <cfRule type="containsText" dxfId="860" priority="889" stopIfTrue="1" operator="containsText" text="(Call)">
      <formula>NOT(ISERROR(SEARCH("(Call)",AD23)))</formula>
    </cfRule>
    <cfRule type="containsText" dxfId="858" priority="897" operator="containsText" text="9ab">
      <formula>NOT(ISERROR(SEARCH("9ab",AD23)))</formula>
    </cfRule>
    <cfRule type="cellIs" dxfId="857" priority="898" stopIfTrue="1" operator="equal">
      <formula>"leave"</formula>
    </cfRule>
    <cfRule type="containsText" dxfId="856" priority="899" operator="containsText" text="ds">
      <formula>NOT(ISERROR(SEARCH("ds",AD23)))</formula>
    </cfRule>
    <cfRule type="containsText" dxfId="855" priority="900" operator="containsText" text="subobs">
      <formula>NOT(ISERROR(SEARCH("subobs",AD23)))</formula>
    </cfRule>
    <cfRule type="containsText" dxfId="854" priority="901" operator="containsText" text="Call">
      <formula>NOT(ISERROR(SEARCH("Call",AD23)))</formula>
    </cfRule>
    <cfRule type="containsText" dxfId="852" priority="982" operator="containsText" text="9ab">
      <formula>NOT(ISERROR(SEARCH("9ab",AD23)))</formula>
    </cfRule>
    <cfRule type="cellIs" dxfId="851" priority="983" stopIfTrue="1" operator="equal">
      <formula>"leave"</formula>
    </cfRule>
    <cfRule type="containsText" dxfId="850" priority="984" operator="containsText" text="ds">
      <formula>NOT(ISERROR(SEARCH("ds",AD23)))</formula>
    </cfRule>
    <cfRule type="containsText" dxfId="849" priority="985" operator="containsText" text="subobs">
      <formula>NOT(ISERROR(SEARCH("subobs",AD23)))</formula>
    </cfRule>
    <cfRule type="containsText" dxfId="848" priority="986" operator="containsText" text="Call">
      <formula>NOT(ISERROR(SEARCH("Call",AD23)))</formula>
    </cfRule>
  </conditionalFormatting>
  <conditionalFormatting sqref="AJ23:AP30">
    <cfRule type="cellIs" dxfId="846" priority="872" operator="equal">
      <formula>0</formula>
    </cfRule>
  </conditionalFormatting>
  <conditionalFormatting sqref="AK23:AK28">
    <cfRule type="containsText" dxfId="845" priority="854" operator="containsText" text="9ab">
      <formula>NOT(ISERROR(SEARCH("9ab",AK23)))</formula>
    </cfRule>
    <cfRule type="cellIs" dxfId="844" priority="855" stopIfTrue="1" operator="equal">
      <formula>"leave"</formula>
    </cfRule>
    <cfRule type="containsText" dxfId="843" priority="856" operator="containsText" text="ds">
      <formula>NOT(ISERROR(SEARCH("ds",AK23)))</formula>
    </cfRule>
    <cfRule type="containsText" dxfId="842" priority="857" operator="containsText" text="subobs">
      <formula>NOT(ISERROR(SEARCH("subobs",AK23)))</formula>
    </cfRule>
    <cfRule type="containsText" dxfId="841" priority="858" operator="containsText" text="Call">
      <formula>NOT(ISERROR(SEARCH("Call",AK23)))</formula>
    </cfRule>
    <cfRule type="containsText" dxfId="839" priority="866" operator="containsText" text="9ab">
      <formula>NOT(ISERROR(SEARCH("9ab",AK23)))</formula>
    </cfRule>
    <cfRule type="cellIs" dxfId="838" priority="867" stopIfTrue="1" operator="equal">
      <formula>"leave"</formula>
    </cfRule>
    <cfRule type="containsText" dxfId="837" priority="868" operator="containsText" text="ds">
      <formula>NOT(ISERROR(SEARCH("ds",AK23)))</formula>
    </cfRule>
    <cfRule type="containsText" dxfId="836" priority="869" operator="containsText" text="subobs">
      <formula>NOT(ISERROR(SEARCH("subobs",AK23)))</formula>
    </cfRule>
    <cfRule type="containsText" dxfId="835" priority="870" operator="containsText" text="Call">
      <formula>NOT(ISERROR(SEARCH("Call",AK23)))</formula>
    </cfRule>
  </conditionalFormatting>
  <conditionalFormatting sqref="AK23:AK30">
    <cfRule type="containsText" dxfId="833" priority="860" operator="containsText" text="9ab">
      <formula>NOT(ISERROR(SEARCH("9ab",AK23)))</formula>
    </cfRule>
    <cfRule type="cellIs" dxfId="832" priority="861" stopIfTrue="1" operator="equal">
      <formula>"leave"</formula>
    </cfRule>
    <cfRule type="containsText" dxfId="831" priority="862" operator="containsText" text="ds">
      <formula>NOT(ISERROR(SEARCH("ds",AK23)))</formula>
    </cfRule>
    <cfRule type="containsText" dxfId="830" priority="863" operator="containsText" text="subobs">
      <formula>NOT(ISERROR(SEARCH("subobs",AK23)))</formula>
    </cfRule>
    <cfRule type="containsText" dxfId="829" priority="864" stopIfTrue="1" operator="containsText" text="(Call)">
      <formula>NOT(ISERROR(SEARCH("(Call)",AK23)))</formula>
    </cfRule>
    <cfRule type="containsText" dxfId="827" priority="873" operator="containsText" text="9ab">
      <formula>NOT(ISERROR(SEARCH("9ab",AK23)))</formula>
    </cfRule>
    <cfRule type="cellIs" dxfId="826" priority="874" stopIfTrue="1" operator="equal">
      <formula>"leave"</formula>
    </cfRule>
    <cfRule type="containsText" dxfId="825" priority="875" operator="containsText" text="ds">
      <formula>NOT(ISERROR(SEARCH("ds",AK23)))</formula>
    </cfRule>
    <cfRule type="containsText" dxfId="824" priority="876" operator="containsText" text="subobs">
      <formula>NOT(ISERROR(SEARCH("subobs",AK23)))</formula>
    </cfRule>
    <cfRule type="containsText" dxfId="823" priority="877" operator="containsText" text="Call">
      <formula>NOT(ISERROR(SEARCH("Call",AK23)))</formula>
    </cfRule>
  </conditionalFormatting>
  <conditionalFormatting sqref="AQ23:AW30">
    <cfRule type="cellIs" dxfId="821" priority="847" operator="equal">
      <formula>0</formula>
    </cfRule>
  </conditionalFormatting>
  <conditionalFormatting sqref="AR23:AR28">
    <cfRule type="containsText" dxfId="820" priority="829" operator="containsText" text="9ab">
      <formula>NOT(ISERROR(SEARCH("9ab",AR23)))</formula>
    </cfRule>
    <cfRule type="cellIs" dxfId="819" priority="830" stopIfTrue="1" operator="equal">
      <formula>"leave"</formula>
    </cfRule>
    <cfRule type="containsText" dxfId="818" priority="831" operator="containsText" text="ds">
      <formula>NOT(ISERROR(SEARCH("ds",AR23)))</formula>
    </cfRule>
    <cfRule type="containsText" dxfId="817" priority="832" operator="containsText" text="subobs">
      <formula>NOT(ISERROR(SEARCH("subobs",AR23)))</formula>
    </cfRule>
    <cfRule type="containsText" dxfId="816" priority="833" operator="containsText" text="Call">
      <formula>NOT(ISERROR(SEARCH("Call",AR23)))</formula>
    </cfRule>
    <cfRule type="containsText" dxfId="814" priority="841" operator="containsText" text="9ab">
      <formula>NOT(ISERROR(SEARCH("9ab",AR23)))</formula>
    </cfRule>
    <cfRule type="cellIs" dxfId="813" priority="842" stopIfTrue="1" operator="equal">
      <formula>"leave"</formula>
    </cfRule>
    <cfRule type="containsText" dxfId="812" priority="843" operator="containsText" text="ds">
      <formula>NOT(ISERROR(SEARCH("ds",AR23)))</formula>
    </cfRule>
    <cfRule type="containsText" dxfId="811" priority="844" operator="containsText" text="subobs">
      <formula>NOT(ISERROR(SEARCH("subobs",AR23)))</formula>
    </cfRule>
    <cfRule type="containsText" dxfId="810" priority="845" operator="containsText" text="Call">
      <formula>NOT(ISERROR(SEARCH("Call",AR23)))</formula>
    </cfRule>
  </conditionalFormatting>
  <conditionalFormatting sqref="AR23:AR30">
    <cfRule type="containsText" dxfId="808" priority="835" operator="containsText" text="9ab">
      <formula>NOT(ISERROR(SEARCH("9ab",AR23)))</formula>
    </cfRule>
    <cfRule type="cellIs" dxfId="807" priority="836" stopIfTrue="1" operator="equal">
      <formula>"leave"</formula>
    </cfRule>
    <cfRule type="containsText" dxfId="806" priority="837" operator="containsText" text="ds">
      <formula>NOT(ISERROR(SEARCH("ds",AR23)))</formula>
    </cfRule>
    <cfRule type="containsText" dxfId="805" priority="838" operator="containsText" text="subobs">
      <formula>NOT(ISERROR(SEARCH("subobs",AR23)))</formula>
    </cfRule>
    <cfRule type="containsText" dxfId="804" priority="839" stopIfTrue="1" operator="containsText" text="(Call)">
      <formula>NOT(ISERROR(SEARCH("(Call)",AR23)))</formula>
    </cfRule>
    <cfRule type="containsText" dxfId="802" priority="848" operator="containsText" text="9ab">
      <formula>NOT(ISERROR(SEARCH("9ab",AR23)))</formula>
    </cfRule>
    <cfRule type="cellIs" dxfId="801" priority="849" stopIfTrue="1" operator="equal">
      <formula>"leave"</formula>
    </cfRule>
    <cfRule type="containsText" dxfId="800" priority="850" operator="containsText" text="ds">
      <formula>NOT(ISERROR(SEARCH("ds",AR23)))</formula>
    </cfRule>
    <cfRule type="containsText" dxfId="799" priority="851" operator="containsText" text="subobs">
      <formula>NOT(ISERROR(SEARCH("subobs",AR23)))</formula>
    </cfRule>
    <cfRule type="containsText" dxfId="798" priority="852" operator="containsText" text="Call">
      <formula>NOT(ISERROR(SEARCH("Call",AR23)))</formula>
    </cfRule>
  </conditionalFormatting>
  <conditionalFormatting sqref="AX23:BD30">
    <cfRule type="cellIs" dxfId="796" priority="822" operator="equal">
      <formula>0</formula>
    </cfRule>
  </conditionalFormatting>
  <conditionalFormatting sqref="AY23:AY28">
    <cfRule type="containsText" dxfId="795" priority="804" operator="containsText" text="9ab">
      <formula>NOT(ISERROR(SEARCH("9ab",AY23)))</formula>
    </cfRule>
    <cfRule type="cellIs" dxfId="794" priority="805" stopIfTrue="1" operator="equal">
      <formula>"leave"</formula>
    </cfRule>
    <cfRule type="containsText" dxfId="793" priority="806" operator="containsText" text="ds">
      <formula>NOT(ISERROR(SEARCH("ds",AY23)))</formula>
    </cfRule>
    <cfRule type="containsText" dxfId="792" priority="807" operator="containsText" text="subobs">
      <formula>NOT(ISERROR(SEARCH("subobs",AY23)))</formula>
    </cfRule>
    <cfRule type="containsText" dxfId="791" priority="808" operator="containsText" text="Call">
      <formula>NOT(ISERROR(SEARCH("Call",AY23)))</formula>
    </cfRule>
    <cfRule type="containsText" dxfId="789" priority="816" operator="containsText" text="9ab">
      <formula>NOT(ISERROR(SEARCH("9ab",AY23)))</formula>
    </cfRule>
    <cfRule type="cellIs" dxfId="788" priority="817" stopIfTrue="1" operator="equal">
      <formula>"leave"</formula>
    </cfRule>
    <cfRule type="containsText" dxfId="787" priority="818" operator="containsText" text="ds">
      <formula>NOT(ISERROR(SEARCH("ds",AY23)))</formula>
    </cfRule>
    <cfRule type="containsText" dxfId="786" priority="819" operator="containsText" text="subobs">
      <formula>NOT(ISERROR(SEARCH("subobs",AY23)))</formula>
    </cfRule>
    <cfRule type="containsText" dxfId="785" priority="820" operator="containsText" text="Call">
      <formula>NOT(ISERROR(SEARCH("Call",AY23)))</formula>
    </cfRule>
  </conditionalFormatting>
  <conditionalFormatting sqref="AY23:AY30">
    <cfRule type="containsText" dxfId="783" priority="810" operator="containsText" text="9ab">
      <formula>NOT(ISERROR(SEARCH("9ab",AY23)))</formula>
    </cfRule>
    <cfRule type="cellIs" dxfId="782" priority="811" stopIfTrue="1" operator="equal">
      <formula>"leave"</formula>
    </cfRule>
    <cfRule type="containsText" dxfId="781" priority="812" operator="containsText" text="ds">
      <formula>NOT(ISERROR(SEARCH("ds",AY23)))</formula>
    </cfRule>
    <cfRule type="containsText" dxfId="780" priority="813" operator="containsText" text="subobs">
      <formula>NOT(ISERROR(SEARCH("subobs",AY23)))</formula>
    </cfRule>
    <cfRule type="containsText" dxfId="779" priority="814" stopIfTrue="1" operator="containsText" text="(Call)">
      <formula>NOT(ISERROR(SEARCH("(Call)",AY23)))</formula>
    </cfRule>
    <cfRule type="containsText" dxfId="777" priority="823" operator="containsText" text="9ab">
      <formula>NOT(ISERROR(SEARCH("9ab",AY23)))</formula>
    </cfRule>
    <cfRule type="cellIs" dxfId="776" priority="824" stopIfTrue="1" operator="equal">
      <formula>"leave"</formula>
    </cfRule>
    <cfRule type="containsText" dxfId="775" priority="825" operator="containsText" text="ds">
      <formula>NOT(ISERROR(SEARCH("ds",AY23)))</formula>
    </cfRule>
    <cfRule type="containsText" dxfId="774" priority="826" operator="containsText" text="subobs">
      <formula>NOT(ISERROR(SEARCH("subobs",AY23)))</formula>
    </cfRule>
    <cfRule type="containsText" dxfId="773" priority="827" operator="containsText" text="Call">
      <formula>NOT(ISERROR(SEARCH("Call",AY23)))</formula>
    </cfRule>
  </conditionalFormatting>
  <conditionalFormatting sqref="BE23:BK30">
    <cfRule type="cellIs" dxfId="771" priority="797" operator="equal">
      <formula>0</formula>
    </cfRule>
  </conditionalFormatting>
  <conditionalFormatting sqref="BF23:BF28">
    <cfRule type="containsText" dxfId="770" priority="779" operator="containsText" text="9ab">
      <formula>NOT(ISERROR(SEARCH("9ab",BF23)))</formula>
    </cfRule>
    <cfRule type="cellIs" dxfId="769" priority="780" stopIfTrue="1" operator="equal">
      <formula>"leave"</formula>
    </cfRule>
    <cfRule type="containsText" dxfId="768" priority="781" operator="containsText" text="ds">
      <formula>NOT(ISERROR(SEARCH("ds",BF23)))</formula>
    </cfRule>
    <cfRule type="containsText" dxfId="767" priority="782" operator="containsText" text="subobs">
      <formula>NOT(ISERROR(SEARCH("subobs",BF23)))</formula>
    </cfRule>
    <cfRule type="containsText" dxfId="766" priority="783" operator="containsText" text="Call">
      <formula>NOT(ISERROR(SEARCH("Call",BF23)))</formula>
    </cfRule>
    <cfRule type="containsText" dxfId="764" priority="791" operator="containsText" text="9ab">
      <formula>NOT(ISERROR(SEARCH("9ab",BF23)))</formula>
    </cfRule>
    <cfRule type="cellIs" dxfId="763" priority="792" stopIfTrue="1" operator="equal">
      <formula>"leave"</formula>
    </cfRule>
    <cfRule type="containsText" dxfId="762" priority="793" operator="containsText" text="ds">
      <formula>NOT(ISERROR(SEARCH("ds",BF23)))</formula>
    </cfRule>
    <cfRule type="containsText" dxfId="761" priority="794" operator="containsText" text="subobs">
      <formula>NOT(ISERROR(SEARCH("subobs",BF23)))</formula>
    </cfRule>
    <cfRule type="containsText" dxfId="760" priority="795" operator="containsText" text="Call">
      <formula>NOT(ISERROR(SEARCH("Call",BF23)))</formula>
    </cfRule>
  </conditionalFormatting>
  <conditionalFormatting sqref="BF23:BF30">
    <cfRule type="containsText" dxfId="758" priority="785" operator="containsText" text="9ab">
      <formula>NOT(ISERROR(SEARCH("9ab",BF23)))</formula>
    </cfRule>
    <cfRule type="cellIs" dxfId="757" priority="786" stopIfTrue="1" operator="equal">
      <formula>"leave"</formula>
    </cfRule>
    <cfRule type="containsText" dxfId="756" priority="787" operator="containsText" text="ds">
      <formula>NOT(ISERROR(SEARCH("ds",BF23)))</formula>
    </cfRule>
    <cfRule type="containsText" dxfId="755" priority="788" operator="containsText" text="subobs">
      <formula>NOT(ISERROR(SEARCH("subobs",BF23)))</formula>
    </cfRule>
    <cfRule type="containsText" dxfId="754" priority="789" stopIfTrue="1" operator="containsText" text="(Call)">
      <formula>NOT(ISERROR(SEARCH("(Call)",BF23)))</formula>
    </cfRule>
    <cfRule type="containsText" dxfId="752" priority="798" operator="containsText" text="9ab">
      <formula>NOT(ISERROR(SEARCH("9ab",BF23)))</formula>
    </cfRule>
    <cfRule type="cellIs" dxfId="751" priority="799" stopIfTrue="1" operator="equal">
      <formula>"leave"</formula>
    </cfRule>
    <cfRule type="containsText" dxfId="750" priority="800" operator="containsText" text="ds">
      <formula>NOT(ISERROR(SEARCH("ds",BF23)))</formula>
    </cfRule>
    <cfRule type="containsText" dxfId="749" priority="801" operator="containsText" text="subobs">
      <formula>NOT(ISERROR(SEARCH("subobs",BF23)))</formula>
    </cfRule>
    <cfRule type="containsText" dxfId="748" priority="802" operator="containsText" text="Call">
      <formula>NOT(ISERROR(SEARCH("Call",BF23)))</formula>
    </cfRule>
  </conditionalFormatting>
  <conditionalFormatting sqref="BL23:BR30">
    <cfRule type="cellIs" dxfId="746" priority="772" operator="equal">
      <formula>0</formula>
    </cfRule>
  </conditionalFormatting>
  <conditionalFormatting sqref="BM23:BM28">
    <cfRule type="containsText" dxfId="745" priority="754" operator="containsText" text="9ab">
      <formula>NOT(ISERROR(SEARCH("9ab",BM23)))</formula>
    </cfRule>
    <cfRule type="cellIs" dxfId="744" priority="755" stopIfTrue="1" operator="equal">
      <formula>"leave"</formula>
    </cfRule>
    <cfRule type="containsText" dxfId="743" priority="756" operator="containsText" text="ds">
      <formula>NOT(ISERROR(SEARCH("ds",BM23)))</formula>
    </cfRule>
    <cfRule type="containsText" dxfId="742" priority="757" operator="containsText" text="subobs">
      <formula>NOT(ISERROR(SEARCH("subobs",BM23)))</formula>
    </cfRule>
    <cfRule type="containsText" dxfId="741" priority="758" operator="containsText" text="Call">
      <formula>NOT(ISERROR(SEARCH("Call",BM23)))</formula>
    </cfRule>
    <cfRule type="containsText" dxfId="739" priority="766" operator="containsText" text="9ab">
      <formula>NOT(ISERROR(SEARCH("9ab",BM23)))</formula>
    </cfRule>
    <cfRule type="cellIs" dxfId="738" priority="767" stopIfTrue="1" operator="equal">
      <formula>"leave"</formula>
    </cfRule>
    <cfRule type="containsText" dxfId="737" priority="768" operator="containsText" text="ds">
      <formula>NOT(ISERROR(SEARCH("ds",BM23)))</formula>
    </cfRule>
    <cfRule type="containsText" dxfId="736" priority="769" operator="containsText" text="subobs">
      <formula>NOT(ISERROR(SEARCH("subobs",BM23)))</formula>
    </cfRule>
    <cfRule type="containsText" dxfId="735" priority="770" operator="containsText" text="Call">
      <formula>NOT(ISERROR(SEARCH("Call",BM23)))</formula>
    </cfRule>
  </conditionalFormatting>
  <conditionalFormatting sqref="BM23:BM30">
    <cfRule type="containsText" dxfId="733" priority="760" operator="containsText" text="9ab">
      <formula>NOT(ISERROR(SEARCH("9ab",BM23)))</formula>
    </cfRule>
    <cfRule type="cellIs" dxfId="732" priority="761" stopIfTrue="1" operator="equal">
      <formula>"leave"</formula>
    </cfRule>
    <cfRule type="containsText" dxfId="731" priority="762" operator="containsText" text="ds">
      <formula>NOT(ISERROR(SEARCH("ds",BM23)))</formula>
    </cfRule>
    <cfRule type="containsText" dxfId="730" priority="763" operator="containsText" text="subobs">
      <formula>NOT(ISERROR(SEARCH("subobs",BM23)))</formula>
    </cfRule>
    <cfRule type="containsText" dxfId="729" priority="764" stopIfTrue="1" operator="containsText" text="(Call)">
      <formula>NOT(ISERROR(SEARCH("(Call)",BM23)))</formula>
    </cfRule>
    <cfRule type="containsText" dxfId="727" priority="773" operator="containsText" text="9ab">
      <formula>NOT(ISERROR(SEARCH("9ab",BM23)))</formula>
    </cfRule>
    <cfRule type="cellIs" dxfId="726" priority="774" stopIfTrue="1" operator="equal">
      <formula>"leave"</formula>
    </cfRule>
    <cfRule type="containsText" dxfId="725" priority="775" operator="containsText" text="ds">
      <formula>NOT(ISERROR(SEARCH("ds",BM23)))</formula>
    </cfRule>
    <cfRule type="containsText" dxfId="724" priority="776" operator="containsText" text="subobs">
      <formula>NOT(ISERROR(SEARCH("subobs",BM23)))</formula>
    </cfRule>
    <cfRule type="containsText" dxfId="723" priority="777" operator="containsText" text="Call">
      <formula>NOT(ISERROR(SEARCH("Call",BM23)))</formula>
    </cfRule>
  </conditionalFormatting>
  <conditionalFormatting sqref="AL15:AP20">
    <cfRule type="cellIs" dxfId="721" priority="753" operator="equal">
      <formula>0</formula>
    </cfRule>
  </conditionalFormatting>
  <conditionalFormatting sqref="AS15:AW20">
    <cfRule type="cellIs" dxfId="720" priority="752" operator="equal">
      <formula>0</formula>
    </cfRule>
  </conditionalFormatting>
  <conditionalFormatting sqref="AZ15:BD20">
    <cfRule type="cellIs" dxfId="719" priority="751" operator="equal">
      <formula>0</formula>
    </cfRule>
  </conditionalFormatting>
  <conditionalFormatting sqref="BG15:BK20">
    <cfRule type="cellIs" dxfId="718" priority="750" operator="equal">
      <formula>0</formula>
    </cfRule>
  </conditionalFormatting>
  <conditionalFormatting sqref="BN15:BN20">
    <cfRule type="cellIs" dxfId="717" priority="749" operator="equal">
      <formula>0</formula>
    </cfRule>
  </conditionalFormatting>
  <conditionalFormatting sqref="BN15:BN20">
    <cfRule type="cellIs" dxfId="716" priority="748" operator="equal">
      <formula>0</formula>
    </cfRule>
  </conditionalFormatting>
  <conditionalFormatting sqref="BR23:BR30 BR15:BR21 A1:BQ30 A38:BQ141 A31:BR37">
    <cfRule type="cellIs" dxfId="1277" priority="1259" stopIfTrue="1" operator="equal">
      <formula>"leave"</formula>
    </cfRule>
  </conditionalFormatting>
  <conditionalFormatting sqref="E15:E20">
    <cfRule type="containsText" dxfId="715" priority="742" operator="containsText" text="9ab">
      <formula>NOT(ISERROR(SEARCH("9ab",E15)))</formula>
    </cfRule>
    <cfRule type="cellIs" dxfId="714" priority="743" stopIfTrue="1" operator="equal">
      <formula>"leave"</formula>
    </cfRule>
    <cfRule type="containsText" dxfId="713" priority="744" operator="containsText" text="ds">
      <formula>NOT(ISERROR(SEARCH("ds",E15)))</formula>
    </cfRule>
    <cfRule type="containsText" dxfId="712" priority="745" operator="containsText" text="subobs">
      <formula>NOT(ISERROR(SEARCH("subobs",E15)))</formula>
    </cfRule>
    <cfRule type="containsText" dxfId="711" priority="746" operator="containsText" text="Call">
      <formula>NOT(ISERROR(SEARCH("Call",E15)))</formula>
    </cfRule>
  </conditionalFormatting>
  <conditionalFormatting sqref="E15:E20">
    <cfRule type="containsText" dxfId="709" priority="688" operator="containsText" text="9ab">
      <formula>NOT(ISERROR(SEARCH("9ab",E15)))</formula>
    </cfRule>
    <cfRule type="cellIs" dxfId="708" priority="689" stopIfTrue="1" operator="equal">
      <formula>"leave"</formula>
    </cfRule>
    <cfRule type="containsText" dxfId="707" priority="690" operator="containsText" text="ds">
      <formula>NOT(ISERROR(SEARCH("ds",E15)))</formula>
    </cfRule>
    <cfRule type="containsText" dxfId="706" priority="691" operator="containsText" text="subobs">
      <formula>NOT(ISERROR(SEARCH("subobs",E15)))</formula>
    </cfRule>
    <cfRule type="containsText" dxfId="705" priority="692" operator="containsText" text="Call">
      <formula>NOT(ISERROR(SEARCH("Call",E15)))</formula>
    </cfRule>
    <cfRule type="containsText" dxfId="703" priority="700" operator="containsText" text="9ab">
      <formula>NOT(ISERROR(SEARCH("9ab",E15)))</formula>
    </cfRule>
    <cfRule type="cellIs" dxfId="702" priority="701" stopIfTrue="1" operator="equal">
      <formula>"leave"</formula>
    </cfRule>
    <cfRule type="containsText" dxfId="701" priority="702" operator="containsText" text="ds">
      <formula>NOT(ISERROR(SEARCH("ds",E15)))</formula>
    </cfRule>
    <cfRule type="containsText" dxfId="700" priority="703" operator="containsText" text="subobs">
      <formula>NOT(ISERROR(SEARCH("subobs",E15)))</formula>
    </cfRule>
    <cfRule type="containsText" dxfId="699" priority="704" operator="containsText" text="Call">
      <formula>NOT(ISERROR(SEARCH("Call",E15)))</formula>
    </cfRule>
  </conditionalFormatting>
  <conditionalFormatting sqref="E15:E20">
    <cfRule type="containsText" dxfId="697" priority="694" operator="containsText" text="9ab">
      <formula>NOT(ISERROR(SEARCH("9ab",E15)))</formula>
    </cfRule>
    <cfRule type="cellIs" dxfId="696" priority="695" stopIfTrue="1" operator="equal">
      <formula>"leave"</formula>
    </cfRule>
    <cfRule type="containsText" dxfId="695" priority="696" operator="containsText" text="ds">
      <formula>NOT(ISERROR(SEARCH("ds",E15)))</formula>
    </cfRule>
    <cfRule type="containsText" dxfId="694" priority="697" operator="containsText" text="subobs">
      <formula>NOT(ISERROR(SEARCH("subobs",E15)))</formula>
    </cfRule>
    <cfRule type="containsText" dxfId="693" priority="698" stopIfTrue="1" operator="containsText" text="(Call)">
      <formula>NOT(ISERROR(SEARCH("(Call)",E15)))</formula>
    </cfRule>
    <cfRule type="containsText" dxfId="691" priority="706" operator="containsText" text="9ab">
      <formula>NOT(ISERROR(SEARCH("9ab",E15)))</formula>
    </cfRule>
    <cfRule type="cellIs" dxfId="690" priority="707" stopIfTrue="1" operator="equal">
      <formula>"leave"</formula>
    </cfRule>
    <cfRule type="containsText" dxfId="689" priority="708" operator="containsText" text="ds">
      <formula>NOT(ISERROR(SEARCH("ds",E15)))</formula>
    </cfRule>
    <cfRule type="containsText" dxfId="688" priority="709" operator="containsText" text="subobs">
      <formula>NOT(ISERROR(SEARCH("subobs",E15)))</formula>
    </cfRule>
    <cfRule type="containsText" dxfId="687" priority="710" operator="containsText" text="Call">
      <formula>NOT(ISERROR(SEARCH("Call",E15)))</formula>
    </cfRule>
  </conditionalFormatting>
  <conditionalFormatting sqref="A15:A20">
    <cfRule type="cellIs" dxfId="685" priority="681" operator="equal">
      <formula>0</formula>
    </cfRule>
  </conditionalFormatting>
  <conditionalFormatting sqref="A15:A20">
    <cfRule type="containsText" dxfId="684" priority="663" operator="containsText" text="9ab">
      <formula>NOT(ISERROR(SEARCH("9ab",A15)))</formula>
    </cfRule>
    <cfRule type="cellIs" dxfId="683" priority="664" stopIfTrue="1" operator="equal">
      <formula>"leave"</formula>
    </cfRule>
    <cfRule type="containsText" dxfId="682" priority="665" operator="containsText" text="ds">
      <formula>NOT(ISERROR(SEARCH("ds",A15)))</formula>
    </cfRule>
    <cfRule type="containsText" dxfId="681" priority="666" operator="containsText" text="subobs">
      <formula>NOT(ISERROR(SEARCH("subobs",A15)))</formula>
    </cfRule>
    <cfRule type="containsText" dxfId="680" priority="667" operator="containsText" text="Call">
      <formula>NOT(ISERROR(SEARCH("Call",A15)))</formula>
    </cfRule>
    <cfRule type="containsText" dxfId="678" priority="675" operator="containsText" text="9ab">
      <formula>NOT(ISERROR(SEARCH("9ab",A15)))</formula>
    </cfRule>
    <cfRule type="cellIs" dxfId="677" priority="676" stopIfTrue="1" operator="equal">
      <formula>"leave"</formula>
    </cfRule>
    <cfRule type="containsText" dxfId="676" priority="677" operator="containsText" text="ds">
      <formula>NOT(ISERROR(SEARCH("ds",A15)))</formula>
    </cfRule>
    <cfRule type="containsText" dxfId="675" priority="678" operator="containsText" text="subobs">
      <formula>NOT(ISERROR(SEARCH("subobs",A15)))</formula>
    </cfRule>
    <cfRule type="containsText" dxfId="674" priority="679" operator="containsText" text="Call">
      <formula>NOT(ISERROR(SEARCH("Call",A15)))</formula>
    </cfRule>
  </conditionalFormatting>
  <conditionalFormatting sqref="A15:A20">
    <cfRule type="containsText" dxfId="672" priority="669" operator="containsText" text="9ab">
      <formula>NOT(ISERROR(SEARCH("9ab",A15)))</formula>
    </cfRule>
    <cfRule type="cellIs" dxfId="671" priority="670" stopIfTrue="1" operator="equal">
      <formula>"leave"</formula>
    </cfRule>
    <cfRule type="containsText" dxfId="670" priority="671" operator="containsText" text="ds">
      <formula>NOT(ISERROR(SEARCH("ds",A15)))</formula>
    </cfRule>
    <cfRule type="containsText" dxfId="669" priority="672" operator="containsText" text="subobs">
      <formula>NOT(ISERROR(SEARCH("subobs",A15)))</formula>
    </cfRule>
    <cfRule type="containsText" dxfId="668" priority="673" stopIfTrue="1" operator="containsText" text="(Call)">
      <formula>NOT(ISERROR(SEARCH("(Call)",A15)))</formula>
    </cfRule>
    <cfRule type="containsText" dxfId="666" priority="682" operator="containsText" text="9ab">
      <formula>NOT(ISERROR(SEARCH("9ab",A15)))</formula>
    </cfRule>
    <cfRule type="cellIs" dxfId="665" priority="683" stopIfTrue="1" operator="equal">
      <formula>"leave"</formula>
    </cfRule>
    <cfRule type="containsText" dxfId="664" priority="684" operator="containsText" text="ds">
      <formula>NOT(ISERROR(SEARCH("ds",A15)))</formula>
    </cfRule>
    <cfRule type="containsText" dxfId="663" priority="685" operator="containsText" text="subobs">
      <formula>NOT(ISERROR(SEARCH("subobs",A15)))</formula>
    </cfRule>
    <cfRule type="containsText" dxfId="662" priority="686" operator="containsText" text="Call">
      <formula>NOT(ISERROR(SEARCH("Call",A15)))</formula>
    </cfRule>
  </conditionalFormatting>
  <conditionalFormatting sqref="BN21">
    <cfRule type="cellIs" dxfId="660" priority="661" operator="equal">
      <formula>0</formula>
    </cfRule>
  </conditionalFormatting>
  <conditionalFormatting sqref="E31:F37">
    <cfRule type="containsText" dxfId="659" priority="611" operator="containsText" text="(Call)">
      <formula>NOT(ISERROR(SEARCH("(Call)",E31)))</formula>
    </cfRule>
    <cfRule type="containsText" dxfId="658" priority="650" stopIfTrue="1" operator="containsText" text="go">
      <formula>NOT(ISERROR(SEARCH("go",E31)))</formula>
    </cfRule>
    <cfRule type="containsText" dxfId="657" priority="659" stopIfTrue="1" operator="containsText" text="ds">
      <formula>NOT(ISERROR(SEARCH("ds",E31)))</formula>
    </cfRule>
    <cfRule type="containsText" dxfId="656" priority="660" stopIfTrue="1" operator="containsText" text="subobs">
      <formula>NOT(ISERROR(SEARCH("subobs",E31)))</formula>
    </cfRule>
  </conditionalFormatting>
  <conditionalFormatting sqref="E31:F37">
    <cfRule type="cellIs" dxfId="655" priority="657" operator="equal">
      <formula>"ps_cover"</formula>
    </cfRule>
    <cfRule type="containsText" dxfId="654" priority="658" stopIfTrue="1" operator="containsText" text="9ab">
      <formula>NOT(ISERROR(SEARCH("9ab",E31)))</formula>
    </cfRule>
  </conditionalFormatting>
  <conditionalFormatting sqref="E31:F37">
    <cfRule type="containsText" dxfId="653" priority="642" operator="containsText" text="b1">
      <formula>NOT(ISERROR(SEARCH("b1",E31)))</formula>
    </cfRule>
    <cfRule type="cellIs" dxfId="652" priority="643" operator="equal">
      <formula>0</formula>
    </cfRule>
  </conditionalFormatting>
  <conditionalFormatting sqref="E32:E37">
    <cfRule type="containsText" dxfId="651" priority="644" operator="containsText" text="9ab">
      <formula>NOT(ISERROR(SEARCH("9ab",E32)))</formula>
    </cfRule>
    <cfRule type="cellIs" dxfId="650" priority="645" stopIfTrue="1" operator="equal">
      <formula>"leave"</formula>
    </cfRule>
    <cfRule type="containsText" dxfId="649" priority="646" operator="containsText" text="ds">
      <formula>NOT(ISERROR(SEARCH("ds",E32)))</formula>
    </cfRule>
    <cfRule type="containsText" dxfId="648" priority="647" operator="containsText" text="subobs">
      <formula>NOT(ISERROR(SEARCH("subobs",E32)))</formula>
    </cfRule>
    <cfRule type="containsText" dxfId="647" priority="648" operator="containsText" text="Call">
      <formula>NOT(ISERROR(SEARCH("Call",E32)))</formula>
    </cfRule>
  </conditionalFormatting>
  <conditionalFormatting sqref="E32:E37">
    <cfRule type="containsText" dxfId="645" priority="651" operator="containsText" text="9ab">
      <formula>NOT(ISERROR(SEARCH("9ab",E32)))</formula>
    </cfRule>
    <cfRule type="cellIs" dxfId="644" priority="652" stopIfTrue="1" operator="equal">
      <formula>"leave"</formula>
    </cfRule>
    <cfRule type="containsText" dxfId="643" priority="653" operator="containsText" text="ds">
      <formula>NOT(ISERROR(SEARCH("ds",E32)))</formula>
    </cfRule>
    <cfRule type="containsText" dxfId="642" priority="654" operator="containsText" text="subobs">
      <formula>NOT(ISERROR(SEARCH("subobs",E32)))</formula>
    </cfRule>
    <cfRule type="containsText" dxfId="641" priority="655" stopIfTrue="1" operator="containsText" text="(Call)">
      <formula>NOT(ISERROR(SEARCH("(Call)",E32)))</formula>
    </cfRule>
  </conditionalFormatting>
  <conditionalFormatting sqref="E32:E37">
    <cfRule type="containsText" dxfId="639" priority="636" operator="containsText" text="9ab">
      <formula>NOT(ISERROR(SEARCH("9ab",E32)))</formula>
    </cfRule>
    <cfRule type="cellIs" dxfId="638" priority="637" stopIfTrue="1" operator="equal">
      <formula>"leave"</formula>
    </cfRule>
    <cfRule type="containsText" dxfId="637" priority="638" operator="containsText" text="ds">
      <formula>NOT(ISERROR(SEARCH("ds",E32)))</formula>
    </cfRule>
    <cfRule type="containsText" dxfId="636" priority="639" operator="containsText" text="subobs">
      <formula>NOT(ISERROR(SEARCH("subobs",E32)))</formula>
    </cfRule>
    <cfRule type="containsText" dxfId="635" priority="640" operator="containsText" text="Call">
      <formula>NOT(ISERROR(SEARCH("Call",E32)))</formula>
    </cfRule>
  </conditionalFormatting>
  <conditionalFormatting sqref="E32:E37">
    <cfRule type="containsText" dxfId="633" priority="612" operator="containsText" text="9ab">
      <formula>NOT(ISERROR(SEARCH("9ab",E32)))</formula>
    </cfRule>
    <cfRule type="cellIs" dxfId="632" priority="613" stopIfTrue="1" operator="equal">
      <formula>"leave"</formula>
    </cfRule>
    <cfRule type="containsText" dxfId="631" priority="614" operator="containsText" text="ds">
      <formula>NOT(ISERROR(SEARCH("ds",E32)))</formula>
    </cfRule>
    <cfRule type="containsText" dxfId="630" priority="615" operator="containsText" text="subobs">
      <formula>NOT(ISERROR(SEARCH("subobs",E32)))</formula>
    </cfRule>
    <cfRule type="containsText" dxfId="629" priority="616" operator="containsText" text="Call">
      <formula>NOT(ISERROR(SEARCH("Call",E32)))</formula>
    </cfRule>
    <cfRule type="containsText" dxfId="627" priority="624" operator="containsText" text="9ab">
      <formula>NOT(ISERROR(SEARCH("9ab",E32)))</formula>
    </cfRule>
    <cfRule type="cellIs" dxfId="626" priority="625" stopIfTrue="1" operator="equal">
      <formula>"leave"</formula>
    </cfRule>
    <cfRule type="containsText" dxfId="625" priority="626" operator="containsText" text="ds">
      <formula>NOT(ISERROR(SEARCH("ds",E32)))</formula>
    </cfRule>
    <cfRule type="containsText" dxfId="624" priority="627" operator="containsText" text="subobs">
      <formula>NOT(ISERROR(SEARCH("subobs",E32)))</formula>
    </cfRule>
    <cfRule type="containsText" dxfId="623" priority="628" operator="containsText" text="Call">
      <formula>NOT(ISERROR(SEARCH("Call",E32)))</formula>
    </cfRule>
  </conditionalFormatting>
  <conditionalFormatting sqref="E32:E37">
    <cfRule type="containsText" dxfId="621" priority="618" operator="containsText" text="9ab">
      <formula>NOT(ISERROR(SEARCH("9ab",E32)))</formula>
    </cfRule>
    <cfRule type="cellIs" dxfId="620" priority="619" stopIfTrue="1" operator="equal">
      <formula>"leave"</formula>
    </cfRule>
    <cfRule type="containsText" dxfId="619" priority="620" operator="containsText" text="ds">
      <formula>NOT(ISERROR(SEARCH("ds",E32)))</formula>
    </cfRule>
    <cfRule type="containsText" dxfId="618" priority="621" operator="containsText" text="subobs">
      <formula>NOT(ISERROR(SEARCH("subobs",E32)))</formula>
    </cfRule>
    <cfRule type="containsText" dxfId="617" priority="622" stopIfTrue="1" operator="containsText" text="(Call)">
      <formula>NOT(ISERROR(SEARCH("(Call)",E32)))</formula>
    </cfRule>
    <cfRule type="containsText" dxfId="615" priority="630" operator="containsText" text="9ab">
      <formula>NOT(ISERROR(SEARCH("9ab",E32)))</formula>
    </cfRule>
    <cfRule type="cellIs" dxfId="614" priority="631" stopIfTrue="1" operator="equal">
      <formula>"leave"</formula>
    </cfRule>
    <cfRule type="containsText" dxfId="613" priority="632" operator="containsText" text="ds">
      <formula>NOT(ISERROR(SEARCH("ds",E32)))</formula>
    </cfRule>
    <cfRule type="containsText" dxfId="612" priority="633" operator="containsText" text="subobs">
      <formula>NOT(ISERROR(SEARCH("subobs",E32)))</formula>
    </cfRule>
    <cfRule type="containsText" dxfId="611" priority="634" operator="containsText" text="Call">
      <formula>NOT(ISERROR(SEARCH("Call",E32)))</formula>
    </cfRule>
  </conditionalFormatting>
  <conditionalFormatting sqref="G31">
    <cfRule type="containsText" dxfId="609" priority="603" operator="containsText" text="(Call)">
      <formula>NOT(ISERROR(SEARCH("(Call)",G31)))</formula>
    </cfRule>
    <cfRule type="containsText" dxfId="608" priority="606" stopIfTrue="1" operator="containsText" text="go">
      <formula>NOT(ISERROR(SEARCH("go",G31)))</formula>
    </cfRule>
    <cfRule type="containsText" dxfId="607" priority="609" stopIfTrue="1" operator="containsText" text="ds">
      <formula>NOT(ISERROR(SEARCH("ds",G31)))</formula>
    </cfRule>
    <cfRule type="containsText" dxfId="606" priority="610" stopIfTrue="1" operator="containsText" text="subobs">
      <formula>NOT(ISERROR(SEARCH("subobs",G31)))</formula>
    </cfRule>
  </conditionalFormatting>
  <conditionalFormatting sqref="G31">
    <cfRule type="cellIs" dxfId="605" priority="607" operator="equal">
      <formula>"ps_cover"</formula>
    </cfRule>
    <cfRule type="containsText" dxfId="604" priority="608" stopIfTrue="1" operator="containsText" text="9ab">
      <formula>NOT(ISERROR(SEARCH("9ab",G31)))</formula>
    </cfRule>
  </conditionalFormatting>
  <conditionalFormatting sqref="G31">
    <cfRule type="containsText" dxfId="603" priority="604" operator="containsText" text="b1">
      <formula>NOT(ISERROR(SEARCH("b1",G31)))</formula>
    </cfRule>
    <cfRule type="cellIs" dxfId="602" priority="605" operator="equal">
      <formula>0</formula>
    </cfRule>
  </conditionalFormatting>
  <conditionalFormatting sqref="G32:G37">
    <cfRule type="containsText" dxfId="601" priority="595" operator="containsText" text="(Call)">
      <formula>NOT(ISERROR(SEARCH("(Call)",G32)))</formula>
    </cfRule>
    <cfRule type="containsText" dxfId="600" priority="598" stopIfTrue="1" operator="containsText" text="go">
      <formula>NOT(ISERROR(SEARCH("go",G32)))</formula>
    </cfRule>
    <cfRule type="containsText" dxfId="599" priority="601" stopIfTrue="1" operator="containsText" text="ds">
      <formula>NOT(ISERROR(SEARCH("ds",G32)))</formula>
    </cfRule>
    <cfRule type="containsText" dxfId="598" priority="602" stopIfTrue="1" operator="containsText" text="subobs">
      <formula>NOT(ISERROR(SEARCH("subobs",G32)))</formula>
    </cfRule>
  </conditionalFormatting>
  <conditionalFormatting sqref="G32:G37">
    <cfRule type="cellIs" dxfId="597" priority="599" operator="equal">
      <formula>"ps_cover"</formula>
    </cfRule>
    <cfRule type="containsText" dxfId="596" priority="600" stopIfTrue="1" operator="containsText" text="9ab">
      <formula>NOT(ISERROR(SEARCH("9ab",G32)))</formula>
    </cfRule>
  </conditionalFormatting>
  <conditionalFormatting sqref="G32:G37">
    <cfRule type="containsText" dxfId="595" priority="596" operator="containsText" text="b1">
      <formula>NOT(ISERROR(SEARCH("b1",G32)))</formula>
    </cfRule>
    <cfRule type="cellIs" dxfId="594" priority="597" operator="equal">
      <formula>0</formula>
    </cfRule>
  </conditionalFormatting>
  <conditionalFormatting sqref="I31:J37">
    <cfRule type="containsText" dxfId="593" priority="545" operator="containsText" text="(Call)">
      <formula>NOT(ISERROR(SEARCH("(Call)",I31)))</formula>
    </cfRule>
    <cfRule type="containsText" dxfId="592" priority="584" stopIfTrue="1" operator="containsText" text="go">
      <formula>NOT(ISERROR(SEARCH("go",I31)))</formula>
    </cfRule>
    <cfRule type="containsText" dxfId="591" priority="593" stopIfTrue="1" operator="containsText" text="ds">
      <formula>NOT(ISERROR(SEARCH("ds",I31)))</formula>
    </cfRule>
    <cfRule type="containsText" dxfId="590" priority="594" stopIfTrue="1" operator="containsText" text="subobs">
      <formula>NOT(ISERROR(SEARCH("subobs",I31)))</formula>
    </cfRule>
  </conditionalFormatting>
  <conditionalFormatting sqref="I31:J37">
    <cfRule type="cellIs" dxfId="589" priority="591" operator="equal">
      <formula>"ps_cover"</formula>
    </cfRule>
    <cfRule type="containsText" dxfId="588" priority="592" stopIfTrue="1" operator="containsText" text="9ab">
      <formula>NOT(ISERROR(SEARCH("9ab",I31)))</formula>
    </cfRule>
  </conditionalFormatting>
  <conditionalFormatting sqref="I31:J37">
    <cfRule type="containsText" dxfId="587" priority="576" operator="containsText" text="b1">
      <formula>NOT(ISERROR(SEARCH("b1",I31)))</formula>
    </cfRule>
    <cfRule type="cellIs" dxfId="586" priority="577" operator="equal">
      <formula>0</formula>
    </cfRule>
  </conditionalFormatting>
  <conditionalFormatting sqref="I32:I37">
    <cfRule type="containsText" dxfId="585" priority="578" operator="containsText" text="9ab">
      <formula>NOT(ISERROR(SEARCH("9ab",I32)))</formula>
    </cfRule>
    <cfRule type="cellIs" dxfId="584" priority="579" stopIfTrue="1" operator="equal">
      <formula>"leave"</formula>
    </cfRule>
    <cfRule type="containsText" dxfId="583" priority="580" operator="containsText" text="ds">
      <formula>NOT(ISERROR(SEARCH("ds",I32)))</formula>
    </cfRule>
    <cfRule type="containsText" dxfId="582" priority="581" operator="containsText" text="subobs">
      <formula>NOT(ISERROR(SEARCH("subobs",I32)))</formula>
    </cfRule>
    <cfRule type="containsText" dxfId="581" priority="582" operator="containsText" text="Call">
      <formula>NOT(ISERROR(SEARCH("Call",I32)))</formula>
    </cfRule>
  </conditionalFormatting>
  <conditionalFormatting sqref="I32:I37">
    <cfRule type="containsText" dxfId="579" priority="585" operator="containsText" text="9ab">
      <formula>NOT(ISERROR(SEARCH("9ab",I32)))</formula>
    </cfRule>
    <cfRule type="cellIs" dxfId="578" priority="586" stopIfTrue="1" operator="equal">
      <formula>"leave"</formula>
    </cfRule>
    <cfRule type="containsText" dxfId="577" priority="587" operator="containsText" text="ds">
      <formula>NOT(ISERROR(SEARCH("ds",I32)))</formula>
    </cfRule>
    <cfRule type="containsText" dxfId="576" priority="588" operator="containsText" text="subobs">
      <formula>NOT(ISERROR(SEARCH("subobs",I32)))</formula>
    </cfRule>
    <cfRule type="containsText" dxfId="575" priority="589" stopIfTrue="1" operator="containsText" text="(Call)">
      <formula>NOT(ISERROR(SEARCH("(Call)",I32)))</formula>
    </cfRule>
  </conditionalFormatting>
  <conditionalFormatting sqref="I32:I37">
    <cfRule type="containsText" dxfId="573" priority="570" operator="containsText" text="9ab">
      <formula>NOT(ISERROR(SEARCH("9ab",I32)))</formula>
    </cfRule>
    <cfRule type="cellIs" dxfId="572" priority="571" stopIfTrue="1" operator="equal">
      <formula>"leave"</formula>
    </cfRule>
    <cfRule type="containsText" dxfId="571" priority="572" operator="containsText" text="ds">
      <formula>NOT(ISERROR(SEARCH("ds",I32)))</formula>
    </cfRule>
    <cfRule type="containsText" dxfId="570" priority="573" operator="containsText" text="subobs">
      <formula>NOT(ISERROR(SEARCH("subobs",I32)))</formula>
    </cfRule>
    <cfRule type="containsText" dxfId="569" priority="574" operator="containsText" text="Call">
      <formula>NOT(ISERROR(SEARCH("Call",I32)))</formula>
    </cfRule>
  </conditionalFormatting>
  <conditionalFormatting sqref="I32:I37">
    <cfRule type="containsText" dxfId="567" priority="546" operator="containsText" text="9ab">
      <formula>NOT(ISERROR(SEARCH("9ab",I32)))</formula>
    </cfRule>
    <cfRule type="cellIs" dxfId="566" priority="547" stopIfTrue="1" operator="equal">
      <formula>"leave"</formula>
    </cfRule>
    <cfRule type="containsText" dxfId="565" priority="548" operator="containsText" text="ds">
      <formula>NOT(ISERROR(SEARCH("ds",I32)))</formula>
    </cfRule>
    <cfRule type="containsText" dxfId="564" priority="549" operator="containsText" text="subobs">
      <formula>NOT(ISERROR(SEARCH("subobs",I32)))</formula>
    </cfRule>
    <cfRule type="containsText" dxfId="563" priority="550" operator="containsText" text="Call">
      <formula>NOT(ISERROR(SEARCH("Call",I32)))</formula>
    </cfRule>
    <cfRule type="containsText" dxfId="561" priority="558" operator="containsText" text="9ab">
      <formula>NOT(ISERROR(SEARCH("9ab",I32)))</formula>
    </cfRule>
    <cfRule type="cellIs" dxfId="560" priority="559" stopIfTrue="1" operator="equal">
      <formula>"leave"</formula>
    </cfRule>
    <cfRule type="containsText" dxfId="559" priority="560" operator="containsText" text="ds">
      <formula>NOT(ISERROR(SEARCH("ds",I32)))</formula>
    </cfRule>
    <cfRule type="containsText" dxfId="558" priority="561" operator="containsText" text="subobs">
      <formula>NOT(ISERROR(SEARCH("subobs",I32)))</formula>
    </cfRule>
    <cfRule type="containsText" dxfId="557" priority="562" operator="containsText" text="Call">
      <formula>NOT(ISERROR(SEARCH("Call",I32)))</formula>
    </cfRule>
  </conditionalFormatting>
  <conditionalFormatting sqref="I32:I37">
    <cfRule type="containsText" dxfId="555" priority="552" operator="containsText" text="9ab">
      <formula>NOT(ISERROR(SEARCH("9ab",I32)))</formula>
    </cfRule>
    <cfRule type="cellIs" dxfId="554" priority="553" stopIfTrue="1" operator="equal">
      <formula>"leave"</formula>
    </cfRule>
    <cfRule type="containsText" dxfId="553" priority="554" operator="containsText" text="ds">
      <formula>NOT(ISERROR(SEARCH("ds",I32)))</formula>
    </cfRule>
    <cfRule type="containsText" dxfId="552" priority="555" operator="containsText" text="subobs">
      <formula>NOT(ISERROR(SEARCH("subobs",I32)))</formula>
    </cfRule>
    <cfRule type="containsText" dxfId="551" priority="556" stopIfTrue="1" operator="containsText" text="(Call)">
      <formula>NOT(ISERROR(SEARCH("(Call)",I32)))</formula>
    </cfRule>
    <cfRule type="containsText" dxfId="549" priority="564" operator="containsText" text="9ab">
      <formula>NOT(ISERROR(SEARCH("9ab",I32)))</formula>
    </cfRule>
    <cfRule type="cellIs" dxfId="548" priority="565" stopIfTrue="1" operator="equal">
      <formula>"leave"</formula>
    </cfRule>
    <cfRule type="containsText" dxfId="547" priority="566" operator="containsText" text="ds">
      <formula>NOT(ISERROR(SEARCH("ds",I32)))</formula>
    </cfRule>
    <cfRule type="containsText" dxfId="546" priority="567" operator="containsText" text="subobs">
      <formula>NOT(ISERROR(SEARCH("subobs",I32)))</formula>
    </cfRule>
    <cfRule type="containsText" dxfId="545" priority="568" operator="containsText" text="Call">
      <formula>NOT(ISERROR(SEARCH("Call",I32)))</formula>
    </cfRule>
  </conditionalFormatting>
  <conditionalFormatting sqref="K31:N31">
    <cfRule type="containsText" dxfId="543" priority="537" operator="containsText" text="(Call)">
      <formula>NOT(ISERROR(SEARCH("(Call)",K31)))</formula>
    </cfRule>
    <cfRule type="containsText" dxfId="542" priority="540" stopIfTrue="1" operator="containsText" text="go">
      <formula>NOT(ISERROR(SEARCH("go",K31)))</formula>
    </cfRule>
    <cfRule type="containsText" dxfId="541" priority="543" stopIfTrue="1" operator="containsText" text="ds">
      <formula>NOT(ISERROR(SEARCH("ds",K31)))</formula>
    </cfRule>
    <cfRule type="containsText" dxfId="540" priority="544" stopIfTrue="1" operator="containsText" text="subobs">
      <formula>NOT(ISERROR(SEARCH("subobs",K31)))</formula>
    </cfRule>
  </conditionalFormatting>
  <conditionalFormatting sqref="K31:N31">
    <cfRule type="cellIs" dxfId="539" priority="541" operator="equal">
      <formula>"ps_cover"</formula>
    </cfRule>
    <cfRule type="containsText" dxfId="538" priority="542" stopIfTrue="1" operator="containsText" text="9ab">
      <formula>NOT(ISERROR(SEARCH("9ab",K31)))</formula>
    </cfRule>
  </conditionalFormatting>
  <conditionalFormatting sqref="K31:N31">
    <cfRule type="containsText" dxfId="537" priority="538" operator="containsText" text="b1">
      <formula>NOT(ISERROR(SEARCH("b1",K31)))</formula>
    </cfRule>
    <cfRule type="cellIs" dxfId="536" priority="539" operator="equal">
      <formula>0</formula>
    </cfRule>
  </conditionalFormatting>
  <conditionalFormatting sqref="K32:N37">
    <cfRule type="containsText" dxfId="535" priority="529" operator="containsText" text="(Call)">
      <formula>NOT(ISERROR(SEARCH("(Call)",K32)))</formula>
    </cfRule>
    <cfRule type="containsText" dxfId="534" priority="532" stopIfTrue="1" operator="containsText" text="go">
      <formula>NOT(ISERROR(SEARCH("go",K32)))</formula>
    </cfRule>
    <cfRule type="containsText" dxfId="533" priority="535" stopIfTrue="1" operator="containsText" text="ds">
      <formula>NOT(ISERROR(SEARCH("ds",K32)))</formula>
    </cfRule>
    <cfRule type="containsText" dxfId="532" priority="536" stopIfTrue="1" operator="containsText" text="subobs">
      <formula>NOT(ISERROR(SEARCH("subobs",K32)))</formula>
    </cfRule>
  </conditionalFormatting>
  <conditionalFormatting sqref="K32:N37">
    <cfRule type="cellIs" dxfId="531" priority="533" operator="equal">
      <formula>"ps_cover"</formula>
    </cfRule>
    <cfRule type="containsText" dxfId="530" priority="534" stopIfTrue="1" operator="containsText" text="9ab">
      <formula>NOT(ISERROR(SEARCH("9ab",K32)))</formula>
    </cfRule>
  </conditionalFormatting>
  <conditionalFormatting sqref="K32:N37">
    <cfRule type="containsText" dxfId="529" priority="530" operator="containsText" text="b1">
      <formula>NOT(ISERROR(SEARCH("b1",K32)))</formula>
    </cfRule>
    <cfRule type="cellIs" dxfId="528" priority="531" operator="equal">
      <formula>0</formula>
    </cfRule>
  </conditionalFormatting>
  <conditionalFormatting sqref="P31:Q37">
    <cfRule type="containsText" dxfId="527" priority="479" operator="containsText" text="(Call)">
      <formula>NOT(ISERROR(SEARCH("(Call)",P31)))</formula>
    </cfRule>
    <cfRule type="containsText" dxfId="526" priority="518" stopIfTrue="1" operator="containsText" text="go">
      <formula>NOT(ISERROR(SEARCH("go",P31)))</formula>
    </cfRule>
    <cfRule type="containsText" dxfId="525" priority="527" stopIfTrue="1" operator="containsText" text="ds">
      <formula>NOT(ISERROR(SEARCH("ds",P31)))</formula>
    </cfRule>
    <cfRule type="containsText" dxfId="524" priority="528" stopIfTrue="1" operator="containsText" text="subobs">
      <formula>NOT(ISERROR(SEARCH("subobs",P31)))</formula>
    </cfRule>
  </conditionalFormatting>
  <conditionalFormatting sqref="P31:Q37">
    <cfRule type="cellIs" dxfId="523" priority="525" operator="equal">
      <formula>"ps_cover"</formula>
    </cfRule>
    <cfRule type="containsText" dxfId="522" priority="526" stopIfTrue="1" operator="containsText" text="9ab">
      <formula>NOT(ISERROR(SEARCH("9ab",P31)))</formula>
    </cfRule>
  </conditionalFormatting>
  <conditionalFormatting sqref="P31:Q37">
    <cfRule type="containsText" dxfId="521" priority="510" operator="containsText" text="b1">
      <formula>NOT(ISERROR(SEARCH("b1",P31)))</formula>
    </cfRule>
    <cfRule type="cellIs" dxfId="520" priority="511" operator="equal">
      <formula>0</formula>
    </cfRule>
  </conditionalFormatting>
  <conditionalFormatting sqref="P32:P37">
    <cfRule type="containsText" dxfId="519" priority="512" operator="containsText" text="9ab">
      <formula>NOT(ISERROR(SEARCH("9ab",P32)))</formula>
    </cfRule>
    <cfRule type="cellIs" dxfId="518" priority="513" stopIfTrue="1" operator="equal">
      <formula>"leave"</formula>
    </cfRule>
    <cfRule type="containsText" dxfId="517" priority="514" operator="containsText" text="ds">
      <formula>NOT(ISERROR(SEARCH("ds",P32)))</formula>
    </cfRule>
    <cfRule type="containsText" dxfId="516" priority="515" operator="containsText" text="subobs">
      <formula>NOT(ISERROR(SEARCH("subobs",P32)))</formula>
    </cfRule>
    <cfRule type="containsText" dxfId="515" priority="516" operator="containsText" text="Call">
      <formula>NOT(ISERROR(SEARCH("Call",P32)))</formula>
    </cfRule>
  </conditionalFormatting>
  <conditionalFormatting sqref="P32:P37">
    <cfRule type="containsText" dxfId="513" priority="519" operator="containsText" text="9ab">
      <formula>NOT(ISERROR(SEARCH("9ab",P32)))</formula>
    </cfRule>
    <cfRule type="cellIs" dxfId="512" priority="520" stopIfTrue="1" operator="equal">
      <formula>"leave"</formula>
    </cfRule>
    <cfRule type="containsText" dxfId="511" priority="521" operator="containsText" text="ds">
      <formula>NOT(ISERROR(SEARCH("ds",P32)))</formula>
    </cfRule>
    <cfRule type="containsText" dxfId="510" priority="522" operator="containsText" text="subobs">
      <formula>NOT(ISERROR(SEARCH("subobs",P32)))</formula>
    </cfRule>
    <cfRule type="containsText" dxfId="509" priority="523" stopIfTrue="1" operator="containsText" text="(Call)">
      <formula>NOT(ISERROR(SEARCH("(Call)",P32)))</formula>
    </cfRule>
  </conditionalFormatting>
  <conditionalFormatting sqref="P32:P37">
    <cfRule type="containsText" dxfId="507" priority="504" operator="containsText" text="9ab">
      <formula>NOT(ISERROR(SEARCH("9ab",P32)))</formula>
    </cfRule>
    <cfRule type="cellIs" dxfId="506" priority="505" stopIfTrue="1" operator="equal">
      <formula>"leave"</formula>
    </cfRule>
    <cfRule type="containsText" dxfId="505" priority="506" operator="containsText" text="ds">
      <formula>NOT(ISERROR(SEARCH("ds",P32)))</formula>
    </cfRule>
    <cfRule type="containsText" dxfId="504" priority="507" operator="containsText" text="subobs">
      <formula>NOT(ISERROR(SEARCH("subobs",P32)))</formula>
    </cfRule>
    <cfRule type="containsText" dxfId="503" priority="508" operator="containsText" text="Call">
      <formula>NOT(ISERROR(SEARCH("Call",P32)))</formula>
    </cfRule>
  </conditionalFormatting>
  <conditionalFormatting sqref="P32:P37">
    <cfRule type="containsText" dxfId="501" priority="480" operator="containsText" text="9ab">
      <formula>NOT(ISERROR(SEARCH("9ab",P32)))</formula>
    </cfRule>
    <cfRule type="cellIs" dxfId="500" priority="481" stopIfTrue="1" operator="equal">
      <formula>"leave"</formula>
    </cfRule>
    <cfRule type="containsText" dxfId="499" priority="482" operator="containsText" text="ds">
      <formula>NOT(ISERROR(SEARCH("ds",P32)))</formula>
    </cfRule>
    <cfRule type="containsText" dxfId="498" priority="483" operator="containsText" text="subobs">
      <formula>NOT(ISERROR(SEARCH("subobs",P32)))</formula>
    </cfRule>
    <cfRule type="containsText" dxfId="497" priority="484" operator="containsText" text="Call">
      <formula>NOT(ISERROR(SEARCH("Call",P32)))</formula>
    </cfRule>
    <cfRule type="containsText" dxfId="495" priority="492" operator="containsText" text="9ab">
      <formula>NOT(ISERROR(SEARCH("9ab",P32)))</formula>
    </cfRule>
    <cfRule type="cellIs" dxfId="494" priority="493" stopIfTrue="1" operator="equal">
      <formula>"leave"</formula>
    </cfRule>
    <cfRule type="containsText" dxfId="493" priority="494" operator="containsText" text="ds">
      <formula>NOT(ISERROR(SEARCH("ds",P32)))</formula>
    </cfRule>
    <cfRule type="containsText" dxfId="492" priority="495" operator="containsText" text="subobs">
      <formula>NOT(ISERROR(SEARCH("subobs",P32)))</formula>
    </cfRule>
    <cfRule type="containsText" dxfId="491" priority="496" operator="containsText" text="Call">
      <formula>NOT(ISERROR(SEARCH("Call",P32)))</formula>
    </cfRule>
  </conditionalFormatting>
  <conditionalFormatting sqref="P32:P37">
    <cfRule type="containsText" dxfId="489" priority="486" operator="containsText" text="9ab">
      <formula>NOT(ISERROR(SEARCH("9ab",P32)))</formula>
    </cfRule>
    <cfRule type="cellIs" dxfId="488" priority="487" stopIfTrue="1" operator="equal">
      <formula>"leave"</formula>
    </cfRule>
    <cfRule type="containsText" dxfId="487" priority="488" operator="containsText" text="ds">
      <formula>NOT(ISERROR(SEARCH("ds",P32)))</formula>
    </cfRule>
    <cfRule type="containsText" dxfId="486" priority="489" operator="containsText" text="subobs">
      <formula>NOT(ISERROR(SEARCH("subobs",P32)))</formula>
    </cfRule>
    <cfRule type="containsText" dxfId="485" priority="490" stopIfTrue="1" operator="containsText" text="(Call)">
      <formula>NOT(ISERROR(SEARCH("(Call)",P32)))</formula>
    </cfRule>
    <cfRule type="containsText" dxfId="483" priority="498" operator="containsText" text="9ab">
      <formula>NOT(ISERROR(SEARCH("9ab",P32)))</formula>
    </cfRule>
    <cfRule type="cellIs" dxfId="482" priority="499" stopIfTrue="1" operator="equal">
      <formula>"leave"</formula>
    </cfRule>
    <cfRule type="containsText" dxfId="481" priority="500" operator="containsText" text="ds">
      <formula>NOT(ISERROR(SEARCH("ds",P32)))</formula>
    </cfRule>
    <cfRule type="containsText" dxfId="480" priority="501" operator="containsText" text="subobs">
      <formula>NOT(ISERROR(SEARCH("subobs",P32)))</formula>
    </cfRule>
    <cfRule type="containsText" dxfId="479" priority="502" operator="containsText" text="Call">
      <formula>NOT(ISERROR(SEARCH("Call",P32)))</formula>
    </cfRule>
  </conditionalFormatting>
  <conditionalFormatting sqref="R31:U31">
    <cfRule type="containsText" dxfId="477" priority="471" operator="containsText" text="(Call)">
      <formula>NOT(ISERROR(SEARCH("(Call)",R31)))</formula>
    </cfRule>
    <cfRule type="containsText" dxfId="476" priority="474" stopIfTrue="1" operator="containsText" text="go">
      <formula>NOT(ISERROR(SEARCH("go",R31)))</formula>
    </cfRule>
    <cfRule type="containsText" dxfId="475" priority="477" stopIfTrue="1" operator="containsText" text="ds">
      <formula>NOT(ISERROR(SEARCH("ds",R31)))</formula>
    </cfRule>
    <cfRule type="containsText" dxfId="474" priority="478" stopIfTrue="1" operator="containsText" text="subobs">
      <formula>NOT(ISERROR(SEARCH("subobs",R31)))</formula>
    </cfRule>
  </conditionalFormatting>
  <conditionalFormatting sqref="R31:U31">
    <cfRule type="cellIs" dxfId="473" priority="475" operator="equal">
      <formula>"ps_cover"</formula>
    </cfRule>
    <cfRule type="containsText" dxfId="472" priority="476" stopIfTrue="1" operator="containsText" text="9ab">
      <formula>NOT(ISERROR(SEARCH("9ab",R31)))</formula>
    </cfRule>
  </conditionalFormatting>
  <conditionalFormatting sqref="R31:U31">
    <cfRule type="containsText" dxfId="471" priority="472" operator="containsText" text="b1">
      <formula>NOT(ISERROR(SEARCH("b1",R31)))</formula>
    </cfRule>
    <cfRule type="cellIs" dxfId="470" priority="473" operator="equal">
      <formula>0</formula>
    </cfRule>
  </conditionalFormatting>
  <conditionalFormatting sqref="R32:U37">
    <cfRule type="containsText" dxfId="469" priority="463" operator="containsText" text="(Call)">
      <formula>NOT(ISERROR(SEARCH("(Call)",R32)))</formula>
    </cfRule>
    <cfRule type="containsText" dxfId="468" priority="466" stopIfTrue="1" operator="containsText" text="go">
      <formula>NOT(ISERROR(SEARCH("go",R32)))</formula>
    </cfRule>
    <cfRule type="containsText" dxfId="467" priority="469" stopIfTrue="1" operator="containsText" text="ds">
      <formula>NOT(ISERROR(SEARCH("ds",R32)))</formula>
    </cfRule>
    <cfRule type="containsText" dxfId="466" priority="470" stopIfTrue="1" operator="containsText" text="subobs">
      <formula>NOT(ISERROR(SEARCH("subobs",R32)))</formula>
    </cfRule>
  </conditionalFormatting>
  <conditionalFormatting sqref="R32:U37">
    <cfRule type="cellIs" dxfId="465" priority="467" operator="equal">
      <formula>"ps_cover"</formula>
    </cfRule>
    <cfRule type="containsText" dxfId="464" priority="468" stopIfTrue="1" operator="containsText" text="9ab">
      <formula>NOT(ISERROR(SEARCH("9ab",R32)))</formula>
    </cfRule>
  </conditionalFormatting>
  <conditionalFormatting sqref="R32:U37">
    <cfRule type="containsText" dxfId="463" priority="464" operator="containsText" text="b1">
      <formula>NOT(ISERROR(SEARCH("b1",R32)))</formula>
    </cfRule>
    <cfRule type="cellIs" dxfId="462" priority="465" operator="equal">
      <formula>0</formula>
    </cfRule>
  </conditionalFormatting>
  <conditionalFormatting sqref="W31:X37">
    <cfRule type="containsText" dxfId="461" priority="413" operator="containsText" text="(Call)">
      <formula>NOT(ISERROR(SEARCH("(Call)",W31)))</formula>
    </cfRule>
    <cfRule type="containsText" dxfId="460" priority="452" stopIfTrue="1" operator="containsText" text="go">
      <formula>NOT(ISERROR(SEARCH("go",W31)))</formula>
    </cfRule>
    <cfRule type="containsText" dxfId="459" priority="461" stopIfTrue="1" operator="containsText" text="ds">
      <formula>NOT(ISERROR(SEARCH("ds",W31)))</formula>
    </cfRule>
    <cfRule type="containsText" dxfId="458" priority="462" stopIfTrue="1" operator="containsText" text="subobs">
      <formula>NOT(ISERROR(SEARCH("subobs",W31)))</formula>
    </cfRule>
  </conditionalFormatting>
  <conditionalFormatting sqref="W31:X37">
    <cfRule type="cellIs" dxfId="457" priority="459" operator="equal">
      <formula>"ps_cover"</formula>
    </cfRule>
    <cfRule type="containsText" dxfId="456" priority="460" stopIfTrue="1" operator="containsText" text="9ab">
      <formula>NOT(ISERROR(SEARCH("9ab",W31)))</formula>
    </cfRule>
  </conditionalFormatting>
  <conditionalFormatting sqref="W31:X37">
    <cfRule type="containsText" dxfId="455" priority="444" operator="containsText" text="b1">
      <formula>NOT(ISERROR(SEARCH("b1",W31)))</formula>
    </cfRule>
    <cfRule type="cellIs" dxfId="454" priority="445" operator="equal">
      <formula>0</formula>
    </cfRule>
  </conditionalFormatting>
  <conditionalFormatting sqref="W32:W37">
    <cfRule type="containsText" dxfId="453" priority="446" operator="containsText" text="9ab">
      <formula>NOT(ISERROR(SEARCH("9ab",W32)))</formula>
    </cfRule>
    <cfRule type="cellIs" dxfId="452" priority="447" stopIfTrue="1" operator="equal">
      <formula>"leave"</formula>
    </cfRule>
    <cfRule type="containsText" dxfId="451" priority="448" operator="containsText" text="ds">
      <formula>NOT(ISERROR(SEARCH("ds",W32)))</formula>
    </cfRule>
    <cfRule type="containsText" dxfId="450" priority="449" operator="containsText" text="subobs">
      <formula>NOT(ISERROR(SEARCH("subobs",W32)))</formula>
    </cfRule>
    <cfRule type="containsText" dxfId="449" priority="450" operator="containsText" text="Call">
      <formula>NOT(ISERROR(SEARCH("Call",W32)))</formula>
    </cfRule>
  </conditionalFormatting>
  <conditionalFormatting sqref="W32:W37">
    <cfRule type="containsText" dxfId="447" priority="453" operator="containsText" text="9ab">
      <formula>NOT(ISERROR(SEARCH("9ab",W32)))</formula>
    </cfRule>
    <cfRule type="cellIs" dxfId="446" priority="454" stopIfTrue="1" operator="equal">
      <formula>"leave"</formula>
    </cfRule>
    <cfRule type="containsText" dxfId="445" priority="455" operator="containsText" text="ds">
      <formula>NOT(ISERROR(SEARCH("ds",W32)))</formula>
    </cfRule>
    <cfRule type="containsText" dxfId="444" priority="456" operator="containsText" text="subobs">
      <formula>NOT(ISERROR(SEARCH("subobs",W32)))</formula>
    </cfRule>
    <cfRule type="containsText" dxfId="443" priority="457" stopIfTrue="1" operator="containsText" text="(Call)">
      <formula>NOT(ISERROR(SEARCH("(Call)",W32)))</formula>
    </cfRule>
  </conditionalFormatting>
  <conditionalFormatting sqref="W32:W37">
    <cfRule type="containsText" dxfId="441" priority="438" operator="containsText" text="9ab">
      <formula>NOT(ISERROR(SEARCH("9ab",W32)))</formula>
    </cfRule>
    <cfRule type="cellIs" dxfId="440" priority="439" stopIfTrue="1" operator="equal">
      <formula>"leave"</formula>
    </cfRule>
    <cfRule type="containsText" dxfId="439" priority="440" operator="containsText" text="ds">
      <formula>NOT(ISERROR(SEARCH("ds",W32)))</formula>
    </cfRule>
    <cfRule type="containsText" dxfId="438" priority="441" operator="containsText" text="subobs">
      <formula>NOT(ISERROR(SEARCH("subobs",W32)))</formula>
    </cfRule>
    <cfRule type="containsText" dxfId="437" priority="442" operator="containsText" text="Call">
      <formula>NOT(ISERROR(SEARCH("Call",W32)))</formula>
    </cfRule>
  </conditionalFormatting>
  <conditionalFormatting sqref="W32:W37">
    <cfRule type="containsText" dxfId="435" priority="414" operator="containsText" text="9ab">
      <formula>NOT(ISERROR(SEARCH("9ab",W32)))</formula>
    </cfRule>
    <cfRule type="cellIs" dxfId="434" priority="415" stopIfTrue="1" operator="equal">
      <formula>"leave"</formula>
    </cfRule>
    <cfRule type="containsText" dxfId="433" priority="416" operator="containsText" text="ds">
      <formula>NOT(ISERROR(SEARCH("ds",W32)))</formula>
    </cfRule>
    <cfRule type="containsText" dxfId="432" priority="417" operator="containsText" text="subobs">
      <formula>NOT(ISERROR(SEARCH("subobs",W32)))</formula>
    </cfRule>
    <cfRule type="containsText" dxfId="431" priority="418" operator="containsText" text="Call">
      <formula>NOT(ISERROR(SEARCH("Call",W32)))</formula>
    </cfRule>
    <cfRule type="containsText" dxfId="429" priority="426" operator="containsText" text="9ab">
      <formula>NOT(ISERROR(SEARCH("9ab",W32)))</formula>
    </cfRule>
    <cfRule type="cellIs" dxfId="428" priority="427" stopIfTrue="1" operator="equal">
      <formula>"leave"</formula>
    </cfRule>
    <cfRule type="containsText" dxfId="427" priority="428" operator="containsText" text="ds">
      <formula>NOT(ISERROR(SEARCH("ds",W32)))</formula>
    </cfRule>
    <cfRule type="containsText" dxfId="426" priority="429" operator="containsText" text="subobs">
      <formula>NOT(ISERROR(SEARCH("subobs",W32)))</formula>
    </cfRule>
    <cfRule type="containsText" dxfId="425" priority="430" operator="containsText" text="Call">
      <formula>NOT(ISERROR(SEARCH("Call",W32)))</formula>
    </cfRule>
  </conditionalFormatting>
  <conditionalFormatting sqref="W32:W37">
    <cfRule type="containsText" dxfId="423" priority="420" operator="containsText" text="9ab">
      <formula>NOT(ISERROR(SEARCH("9ab",W32)))</formula>
    </cfRule>
    <cfRule type="cellIs" dxfId="422" priority="421" stopIfTrue="1" operator="equal">
      <formula>"leave"</formula>
    </cfRule>
    <cfRule type="containsText" dxfId="421" priority="422" operator="containsText" text="ds">
      <formula>NOT(ISERROR(SEARCH("ds",W32)))</formula>
    </cfRule>
    <cfRule type="containsText" dxfId="420" priority="423" operator="containsText" text="subobs">
      <formula>NOT(ISERROR(SEARCH("subobs",W32)))</formula>
    </cfRule>
    <cfRule type="containsText" dxfId="419" priority="424" stopIfTrue="1" operator="containsText" text="(Call)">
      <formula>NOT(ISERROR(SEARCH("(Call)",W32)))</formula>
    </cfRule>
    <cfRule type="containsText" dxfId="417" priority="432" operator="containsText" text="9ab">
      <formula>NOT(ISERROR(SEARCH("9ab",W32)))</formula>
    </cfRule>
    <cfRule type="cellIs" dxfId="416" priority="433" stopIfTrue="1" operator="equal">
      <formula>"leave"</formula>
    </cfRule>
    <cfRule type="containsText" dxfId="415" priority="434" operator="containsText" text="ds">
      <formula>NOT(ISERROR(SEARCH("ds",W32)))</formula>
    </cfRule>
    <cfRule type="containsText" dxfId="414" priority="435" operator="containsText" text="subobs">
      <formula>NOT(ISERROR(SEARCH("subobs",W32)))</formula>
    </cfRule>
    <cfRule type="containsText" dxfId="413" priority="436" operator="containsText" text="Call">
      <formula>NOT(ISERROR(SEARCH("Call",W32)))</formula>
    </cfRule>
  </conditionalFormatting>
  <conditionalFormatting sqref="Y31:AB31">
    <cfRule type="containsText" dxfId="411" priority="405" operator="containsText" text="(Call)">
      <formula>NOT(ISERROR(SEARCH("(Call)",Y31)))</formula>
    </cfRule>
    <cfRule type="containsText" dxfId="410" priority="408" stopIfTrue="1" operator="containsText" text="go">
      <formula>NOT(ISERROR(SEARCH("go",Y31)))</formula>
    </cfRule>
    <cfRule type="containsText" dxfId="409" priority="411" stopIfTrue="1" operator="containsText" text="ds">
      <formula>NOT(ISERROR(SEARCH("ds",Y31)))</formula>
    </cfRule>
    <cfRule type="containsText" dxfId="408" priority="412" stopIfTrue="1" operator="containsText" text="subobs">
      <formula>NOT(ISERROR(SEARCH("subobs",Y31)))</formula>
    </cfRule>
  </conditionalFormatting>
  <conditionalFormatting sqref="Y31:AB31">
    <cfRule type="cellIs" dxfId="407" priority="409" operator="equal">
      <formula>"ps_cover"</formula>
    </cfRule>
    <cfRule type="containsText" dxfId="406" priority="410" stopIfTrue="1" operator="containsText" text="9ab">
      <formula>NOT(ISERROR(SEARCH("9ab",Y31)))</formula>
    </cfRule>
  </conditionalFormatting>
  <conditionalFormatting sqref="Y31:AB31">
    <cfRule type="containsText" dxfId="405" priority="406" operator="containsText" text="b1">
      <formula>NOT(ISERROR(SEARCH("b1",Y31)))</formula>
    </cfRule>
    <cfRule type="cellIs" dxfId="404" priority="407" operator="equal">
      <formula>0</formula>
    </cfRule>
  </conditionalFormatting>
  <conditionalFormatting sqref="Y32:AB37">
    <cfRule type="containsText" dxfId="403" priority="397" operator="containsText" text="(Call)">
      <formula>NOT(ISERROR(SEARCH("(Call)",Y32)))</formula>
    </cfRule>
    <cfRule type="containsText" dxfId="402" priority="400" stopIfTrue="1" operator="containsText" text="go">
      <formula>NOT(ISERROR(SEARCH("go",Y32)))</formula>
    </cfRule>
    <cfRule type="containsText" dxfId="401" priority="403" stopIfTrue="1" operator="containsText" text="ds">
      <formula>NOT(ISERROR(SEARCH("ds",Y32)))</formula>
    </cfRule>
    <cfRule type="containsText" dxfId="400" priority="404" stopIfTrue="1" operator="containsText" text="subobs">
      <formula>NOT(ISERROR(SEARCH("subobs",Y32)))</formula>
    </cfRule>
  </conditionalFormatting>
  <conditionalFormatting sqref="Y32:AB37">
    <cfRule type="cellIs" dxfId="399" priority="401" operator="equal">
      <formula>"ps_cover"</formula>
    </cfRule>
    <cfRule type="containsText" dxfId="398" priority="402" stopIfTrue="1" operator="containsText" text="9ab">
      <formula>NOT(ISERROR(SEARCH("9ab",Y32)))</formula>
    </cfRule>
  </conditionalFormatting>
  <conditionalFormatting sqref="Y32:AB37">
    <cfRule type="containsText" dxfId="397" priority="398" operator="containsText" text="b1">
      <formula>NOT(ISERROR(SEARCH("b1",Y32)))</formula>
    </cfRule>
    <cfRule type="cellIs" dxfId="396" priority="399" operator="equal">
      <formula>0</formula>
    </cfRule>
  </conditionalFormatting>
  <conditionalFormatting sqref="AD31:AE37">
    <cfRule type="containsText" dxfId="395" priority="347" operator="containsText" text="(Call)">
      <formula>NOT(ISERROR(SEARCH("(Call)",AD31)))</formula>
    </cfRule>
    <cfRule type="containsText" dxfId="394" priority="386" stopIfTrue="1" operator="containsText" text="go">
      <formula>NOT(ISERROR(SEARCH("go",AD31)))</formula>
    </cfRule>
    <cfRule type="containsText" dxfId="393" priority="395" stopIfTrue="1" operator="containsText" text="ds">
      <formula>NOT(ISERROR(SEARCH("ds",AD31)))</formula>
    </cfRule>
    <cfRule type="containsText" dxfId="392" priority="396" stopIfTrue="1" operator="containsText" text="subobs">
      <formula>NOT(ISERROR(SEARCH("subobs",AD31)))</formula>
    </cfRule>
  </conditionalFormatting>
  <conditionalFormatting sqref="AD31:AE37">
    <cfRule type="cellIs" dxfId="391" priority="393" operator="equal">
      <formula>"ps_cover"</formula>
    </cfRule>
    <cfRule type="containsText" dxfId="390" priority="394" stopIfTrue="1" operator="containsText" text="9ab">
      <formula>NOT(ISERROR(SEARCH("9ab",AD31)))</formula>
    </cfRule>
  </conditionalFormatting>
  <conditionalFormatting sqref="AD31:AE37">
    <cfRule type="containsText" dxfId="389" priority="378" operator="containsText" text="b1">
      <formula>NOT(ISERROR(SEARCH("b1",AD31)))</formula>
    </cfRule>
    <cfRule type="cellIs" dxfId="388" priority="379" operator="equal">
      <formula>0</formula>
    </cfRule>
  </conditionalFormatting>
  <conditionalFormatting sqref="AD32:AD37">
    <cfRule type="containsText" dxfId="387" priority="380" operator="containsText" text="9ab">
      <formula>NOT(ISERROR(SEARCH("9ab",AD32)))</formula>
    </cfRule>
    <cfRule type="cellIs" dxfId="386" priority="381" stopIfTrue="1" operator="equal">
      <formula>"leave"</formula>
    </cfRule>
    <cfRule type="containsText" dxfId="385" priority="382" operator="containsText" text="ds">
      <formula>NOT(ISERROR(SEARCH("ds",AD32)))</formula>
    </cfRule>
    <cfRule type="containsText" dxfId="384" priority="383" operator="containsText" text="subobs">
      <formula>NOT(ISERROR(SEARCH("subobs",AD32)))</formula>
    </cfRule>
    <cfRule type="containsText" dxfId="383" priority="384" operator="containsText" text="Call">
      <formula>NOT(ISERROR(SEARCH("Call",AD32)))</formula>
    </cfRule>
  </conditionalFormatting>
  <conditionalFormatting sqref="AD32:AD37">
    <cfRule type="containsText" dxfId="381" priority="387" operator="containsText" text="9ab">
      <formula>NOT(ISERROR(SEARCH("9ab",AD32)))</formula>
    </cfRule>
    <cfRule type="cellIs" dxfId="380" priority="388" stopIfTrue="1" operator="equal">
      <formula>"leave"</formula>
    </cfRule>
    <cfRule type="containsText" dxfId="379" priority="389" operator="containsText" text="ds">
      <formula>NOT(ISERROR(SEARCH("ds",AD32)))</formula>
    </cfRule>
    <cfRule type="containsText" dxfId="378" priority="390" operator="containsText" text="subobs">
      <formula>NOT(ISERROR(SEARCH("subobs",AD32)))</formula>
    </cfRule>
    <cfRule type="containsText" dxfId="377" priority="391" stopIfTrue="1" operator="containsText" text="(Call)">
      <formula>NOT(ISERROR(SEARCH("(Call)",AD32)))</formula>
    </cfRule>
  </conditionalFormatting>
  <conditionalFormatting sqref="AD32:AD37">
    <cfRule type="containsText" dxfId="375" priority="372" operator="containsText" text="9ab">
      <formula>NOT(ISERROR(SEARCH("9ab",AD32)))</formula>
    </cfRule>
    <cfRule type="cellIs" dxfId="374" priority="373" stopIfTrue="1" operator="equal">
      <formula>"leave"</formula>
    </cfRule>
    <cfRule type="containsText" dxfId="373" priority="374" operator="containsText" text="ds">
      <formula>NOT(ISERROR(SEARCH("ds",AD32)))</formula>
    </cfRule>
    <cfRule type="containsText" dxfId="372" priority="375" operator="containsText" text="subobs">
      <formula>NOT(ISERROR(SEARCH("subobs",AD32)))</formula>
    </cfRule>
    <cfRule type="containsText" dxfId="371" priority="376" operator="containsText" text="Call">
      <formula>NOT(ISERROR(SEARCH("Call",AD32)))</formula>
    </cfRule>
  </conditionalFormatting>
  <conditionalFormatting sqref="AD32:AD37">
    <cfRule type="containsText" dxfId="369" priority="348" operator="containsText" text="9ab">
      <formula>NOT(ISERROR(SEARCH("9ab",AD32)))</formula>
    </cfRule>
    <cfRule type="cellIs" dxfId="368" priority="349" stopIfTrue="1" operator="equal">
      <formula>"leave"</formula>
    </cfRule>
    <cfRule type="containsText" dxfId="367" priority="350" operator="containsText" text="ds">
      <formula>NOT(ISERROR(SEARCH("ds",AD32)))</formula>
    </cfRule>
    <cfRule type="containsText" dxfId="366" priority="351" operator="containsText" text="subobs">
      <formula>NOT(ISERROR(SEARCH("subobs",AD32)))</formula>
    </cfRule>
    <cfRule type="containsText" dxfId="365" priority="352" operator="containsText" text="Call">
      <formula>NOT(ISERROR(SEARCH("Call",AD32)))</formula>
    </cfRule>
    <cfRule type="containsText" dxfId="363" priority="360" operator="containsText" text="9ab">
      <formula>NOT(ISERROR(SEARCH("9ab",AD32)))</formula>
    </cfRule>
    <cfRule type="cellIs" dxfId="362" priority="361" stopIfTrue="1" operator="equal">
      <formula>"leave"</formula>
    </cfRule>
    <cfRule type="containsText" dxfId="361" priority="362" operator="containsText" text="ds">
      <formula>NOT(ISERROR(SEARCH("ds",AD32)))</formula>
    </cfRule>
    <cfRule type="containsText" dxfId="360" priority="363" operator="containsText" text="subobs">
      <formula>NOT(ISERROR(SEARCH("subobs",AD32)))</formula>
    </cfRule>
    <cfRule type="containsText" dxfId="359" priority="364" operator="containsText" text="Call">
      <formula>NOT(ISERROR(SEARCH("Call",AD32)))</formula>
    </cfRule>
  </conditionalFormatting>
  <conditionalFormatting sqref="AD32:AD37">
    <cfRule type="containsText" dxfId="357" priority="354" operator="containsText" text="9ab">
      <formula>NOT(ISERROR(SEARCH("9ab",AD32)))</formula>
    </cfRule>
    <cfRule type="cellIs" dxfId="356" priority="355" stopIfTrue="1" operator="equal">
      <formula>"leave"</formula>
    </cfRule>
    <cfRule type="containsText" dxfId="355" priority="356" operator="containsText" text="ds">
      <formula>NOT(ISERROR(SEARCH("ds",AD32)))</formula>
    </cfRule>
    <cfRule type="containsText" dxfId="354" priority="357" operator="containsText" text="subobs">
      <formula>NOT(ISERROR(SEARCH("subobs",AD32)))</formula>
    </cfRule>
    <cfRule type="containsText" dxfId="353" priority="358" stopIfTrue="1" operator="containsText" text="(Call)">
      <formula>NOT(ISERROR(SEARCH("(Call)",AD32)))</formula>
    </cfRule>
    <cfRule type="containsText" dxfId="351" priority="366" operator="containsText" text="9ab">
      <formula>NOT(ISERROR(SEARCH("9ab",AD32)))</formula>
    </cfRule>
    <cfRule type="cellIs" dxfId="350" priority="367" stopIfTrue="1" operator="equal">
      <formula>"leave"</formula>
    </cfRule>
    <cfRule type="containsText" dxfId="349" priority="368" operator="containsText" text="ds">
      <formula>NOT(ISERROR(SEARCH("ds",AD32)))</formula>
    </cfRule>
    <cfRule type="containsText" dxfId="348" priority="369" operator="containsText" text="subobs">
      <formula>NOT(ISERROR(SEARCH("subobs",AD32)))</formula>
    </cfRule>
    <cfRule type="containsText" dxfId="347" priority="370" operator="containsText" text="Call">
      <formula>NOT(ISERROR(SEARCH("Call",AD32)))</formula>
    </cfRule>
  </conditionalFormatting>
  <conditionalFormatting sqref="AF31:AI31">
    <cfRule type="containsText" dxfId="345" priority="339" operator="containsText" text="(Call)">
      <formula>NOT(ISERROR(SEARCH("(Call)",AF31)))</formula>
    </cfRule>
    <cfRule type="containsText" dxfId="344" priority="342" stopIfTrue="1" operator="containsText" text="go">
      <formula>NOT(ISERROR(SEARCH("go",AF31)))</formula>
    </cfRule>
    <cfRule type="containsText" dxfId="343" priority="345" stopIfTrue="1" operator="containsText" text="ds">
      <formula>NOT(ISERROR(SEARCH("ds",AF31)))</formula>
    </cfRule>
    <cfRule type="containsText" dxfId="342" priority="346" stopIfTrue="1" operator="containsText" text="subobs">
      <formula>NOT(ISERROR(SEARCH("subobs",AF31)))</formula>
    </cfRule>
  </conditionalFormatting>
  <conditionalFormatting sqref="AF31:AI31">
    <cfRule type="cellIs" dxfId="341" priority="343" operator="equal">
      <formula>"ps_cover"</formula>
    </cfRule>
    <cfRule type="containsText" dxfId="340" priority="344" stopIfTrue="1" operator="containsText" text="9ab">
      <formula>NOT(ISERROR(SEARCH("9ab",AF31)))</formula>
    </cfRule>
  </conditionalFormatting>
  <conditionalFormatting sqref="AF31:AI31">
    <cfRule type="containsText" dxfId="339" priority="340" operator="containsText" text="b1">
      <formula>NOT(ISERROR(SEARCH("b1",AF31)))</formula>
    </cfRule>
    <cfRule type="cellIs" dxfId="338" priority="341" operator="equal">
      <formula>0</formula>
    </cfRule>
  </conditionalFormatting>
  <conditionalFormatting sqref="AF32:AI37">
    <cfRule type="containsText" dxfId="337" priority="331" operator="containsText" text="(Call)">
      <formula>NOT(ISERROR(SEARCH("(Call)",AF32)))</formula>
    </cfRule>
    <cfRule type="containsText" dxfId="336" priority="334" stopIfTrue="1" operator="containsText" text="go">
      <formula>NOT(ISERROR(SEARCH("go",AF32)))</formula>
    </cfRule>
    <cfRule type="containsText" dxfId="335" priority="337" stopIfTrue="1" operator="containsText" text="ds">
      <formula>NOT(ISERROR(SEARCH("ds",AF32)))</formula>
    </cfRule>
    <cfRule type="containsText" dxfId="334" priority="338" stopIfTrue="1" operator="containsText" text="subobs">
      <formula>NOT(ISERROR(SEARCH("subobs",AF32)))</formula>
    </cfRule>
  </conditionalFormatting>
  <conditionalFormatting sqref="AF32:AI37">
    <cfRule type="cellIs" dxfId="333" priority="335" operator="equal">
      <formula>"ps_cover"</formula>
    </cfRule>
    <cfRule type="containsText" dxfId="332" priority="336" stopIfTrue="1" operator="containsText" text="9ab">
      <formula>NOT(ISERROR(SEARCH("9ab",AF32)))</formula>
    </cfRule>
  </conditionalFormatting>
  <conditionalFormatting sqref="AF32:AI37">
    <cfRule type="containsText" dxfId="331" priority="332" operator="containsText" text="b1">
      <formula>NOT(ISERROR(SEARCH("b1",AF32)))</formula>
    </cfRule>
    <cfRule type="cellIs" dxfId="330" priority="333" operator="equal">
      <formula>0</formula>
    </cfRule>
  </conditionalFormatting>
  <conditionalFormatting sqref="AK31:AL37">
    <cfRule type="containsText" dxfId="329" priority="281" operator="containsText" text="(Call)">
      <formula>NOT(ISERROR(SEARCH("(Call)",AK31)))</formula>
    </cfRule>
    <cfRule type="containsText" dxfId="328" priority="320" stopIfTrue="1" operator="containsText" text="go">
      <formula>NOT(ISERROR(SEARCH("go",AK31)))</formula>
    </cfRule>
    <cfRule type="containsText" dxfId="327" priority="329" stopIfTrue="1" operator="containsText" text="ds">
      <formula>NOT(ISERROR(SEARCH("ds",AK31)))</formula>
    </cfRule>
    <cfRule type="containsText" dxfId="326" priority="330" stopIfTrue="1" operator="containsText" text="subobs">
      <formula>NOT(ISERROR(SEARCH("subobs",AK31)))</formula>
    </cfRule>
  </conditionalFormatting>
  <conditionalFormatting sqref="AK31:AL37">
    <cfRule type="cellIs" dxfId="325" priority="327" operator="equal">
      <formula>"ps_cover"</formula>
    </cfRule>
    <cfRule type="containsText" dxfId="324" priority="328" stopIfTrue="1" operator="containsText" text="9ab">
      <formula>NOT(ISERROR(SEARCH("9ab",AK31)))</formula>
    </cfRule>
  </conditionalFormatting>
  <conditionalFormatting sqref="AK31:AL37">
    <cfRule type="containsText" dxfId="323" priority="312" operator="containsText" text="b1">
      <formula>NOT(ISERROR(SEARCH("b1",AK31)))</formula>
    </cfRule>
    <cfRule type="cellIs" dxfId="322" priority="313" operator="equal">
      <formula>0</formula>
    </cfRule>
  </conditionalFormatting>
  <conditionalFormatting sqref="AK32:AK37">
    <cfRule type="containsText" dxfId="321" priority="314" operator="containsText" text="9ab">
      <formula>NOT(ISERROR(SEARCH("9ab",AK32)))</formula>
    </cfRule>
    <cfRule type="cellIs" dxfId="320" priority="315" stopIfTrue="1" operator="equal">
      <formula>"leave"</formula>
    </cfRule>
    <cfRule type="containsText" dxfId="319" priority="316" operator="containsText" text="ds">
      <formula>NOT(ISERROR(SEARCH("ds",AK32)))</formula>
    </cfRule>
    <cfRule type="containsText" dxfId="318" priority="317" operator="containsText" text="subobs">
      <formula>NOT(ISERROR(SEARCH("subobs",AK32)))</formula>
    </cfRule>
    <cfRule type="containsText" dxfId="317" priority="318" operator="containsText" text="Call">
      <formula>NOT(ISERROR(SEARCH("Call",AK32)))</formula>
    </cfRule>
  </conditionalFormatting>
  <conditionalFormatting sqref="AK32:AK37">
    <cfRule type="containsText" dxfId="315" priority="321" operator="containsText" text="9ab">
      <formula>NOT(ISERROR(SEARCH("9ab",AK32)))</formula>
    </cfRule>
    <cfRule type="cellIs" dxfId="314" priority="322" stopIfTrue="1" operator="equal">
      <formula>"leave"</formula>
    </cfRule>
    <cfRule type="containsText" dxfId="313" priority="323" operator="containsText" text="ds">
      <formula>NOT(ISERROR(SEARCH("ds",AK32)))</formula>
    </cfRule>
    <cfRule type="containsText" dxfId="312" priority="324" operator="containsText" text="subobs">
      <formula>NOT(ISERROR(SEARCH("subobs",AK32)))</formula>
    </cfRule>
    <cfRule type="containsText" dxfId="311" priority="325" stopIfTrue="1" operator="containsText" text="(Call)">
      <formula>NOT(ISERROR(SEARCH("(Call)",AK32)))</formula>
    </cfRule>
  </conditionalFormatting>
  <conditionalFormatting sqref="AK32:AK37">
    <cfRule type="containsText" dxfId="309" priority="306" operator="containsText" text="9ab">
      <formula>NOT(ISERROR(SEARCH("9ab",AK32)))</formula>
    </cfRule>
    <cfRule type="cellIs" dxfId="308" priority="307" stopIfTrue="1" operator="equal">
      <formula>"leave"</formula>
    </cfRule>
    <cfRule type="containsText" dxfId="307" priority="308" operator="containsText" text="ds">
      <formula>NOT(ISERROR(SEARCH("ds",AK32)))</formula>
    </cfRule>
    <cfRule type="containsText" dxfId="306" priority="309" operator="containsText" text="subobs">
      <formula>NOT(ISERROR(SEARCH("subobs",AK32)))</formula>
    </cfRule>
    <cfRule type="containsText" dxfId="305" priority="310" operator="containsText" text="Call">
      <formula>NOT(ISERROR(SEARCH("Call",AK32)))</formula>
    </cfRule>
  </conditionalFormatting>
  <conditionalFormatting sqref="AK32:AK37">
    <cfRule type="containsText" dxfId="303" priority="282" operator="containsText" text="9ab">
      <formula>NOT(ISERROR(SEARCH("9ab",AK32)))</formula>
    </cfRule>
    <cfRule type="cellIs" dxfId="302" priority="283" stopIfTrue="1" operator="equal">
      <formula>"leave"</formula>
    </cfRule>
    <cfRule type="containsText" dxfId="301" priority="284" operator="containsText" text="ds">
      <formula>NOT(ISERROR(SEARCH("ds",AK32)))</formula>
    </cfRule>
    <cfRule type="containsText" dxfId="300" priority="285" operator="containsText" text="subobs">
      <formula>NOT(ISERROR(SEARCH("subobs",AK32)))</formula>
    </cfRule>
    <cfRule type="containsText" dxfId="299" priority="286" operator="containsText" text="Call">
      <formula>NOT(ISERROR(SEARCH("Call",AK32)))</formula>
    </cfRule>
    <cfRule type="containsText" dxfId="297" priority="294" operator="containsText" text="9ab">
      <formula>NOT(ISERROR(SEARCH("9ab",AK32)))</formula>
    </cfRule>
    <cfRule type="cellIs" dxfId="296" priority="295" stopIfTrue="1" operator="equal">
      <formula>"leave"</formula>
    </cfRule>
    <cfRule type="containsText" dxfId="295" priority="296" operator="containsText" text="ds">
      <formula>NOT(ISERROR(SEARCH("ds",AK32)))</formula>
    </cfRule>
    <cfRule type="containsText" dxfId="294" priority="297" operator="containsText" text="subobs">
      <formula>NOT(ISERROR(SEARCH("subobs",AK32)))</formula>
    </cfRule>
    <cfRule type="containsText" dxfId="293" priority="298" operator="containsText" text="Call">
      <formula>NOT(ISERROR(SEARCH("Call",AK32)))</formula>
    </cfRule>
  </conditionalFormatting>
  <conditionalFormatting sqref="AK32:AK37">
    <cfRule type="containsText" dxfId="291" priority="288" operator="containsText" text="9ab">
      <formula>NOT(ISERROR(SEARCH("9ab",AK32)))</formula>
    </cfRule>
    <cfRule type="cellIs" dxfId="290" priority="289" stopIfTrue="1" operator="equal">
      <formula>"leave"</formula>
    </cfRule>
    <cfRule type="containsText" dxfId="289" priority="290" operator="containsText" text="ds">
      <formula>NOT(ISERROR(SEARCH("ds",AK32)))</formula>
    </cfRule>
    <cfRule type="containsText" dxfId="288" priority="291" operator="containsText" text="subobs">
      <formula>NOT(ISERROR(SEARCH("subobs",AK32)))</formula>
    </cfRule>
    <cfRule type="containsText" dxfId="287" priority="292" stopIfTrue="1" operator="containsText" text="(Call)">
      <formula>NOT(ISERROR(SEARCH("(Call)",AK32)))</formula>
    </cfRule>
    <cfRule type="containsText" dxfId="285" priority="300" operator="containsText" text="9ab">
      <formula>NOT(ISERROR(SEARCH("9ab",AK32)))</formula>
    </cfRule>
    <cfRule type="cellIs" dxfId="284" priority="301" stopIfTrue="1" operator="equal">
      <formula>"leave"</formula>
    </cfRule>
    <cfRule type="containsText" dxfId="283" priority="302" operator="containsText" text="ds">
      <formula>NOT(ISERROR(SEARCH("ds",AK32)))</formula>
    </cfRule>
    <cfRule type="containsText" dxfId="282" priority="303" operator="containsText" text="subobs">
      <formula>NOT(ISERROR(SEARCH("subobs",AK32)))</formula>
    </cfRule>
    <cfRule type="containsText" dxfId="281" priority="304" operator="containsText" text="Call">
      <formula>NOT(ISERROR(SEARCH("Call",AK32)))</formula>
    </cfRule>
  </conditionalFormatting>
  <conditionalFormatting sqref="AM31:AP31">
    <cfRule type="containsText" dxfId="279" priority="273" operator="containsText" text="(Call)">
      <formula>NOT(ISERROR(SEARCH("(Call)",AM31)))</formula>
    </cfRule>
    <cfRule type="containsText" dxfId="278" priority="276" stopIfTrue="1" operator="containsText" text="go">
      <formula>NOT(ISERROR(SEARCH("go",AM31)))</formula>
    </cfRule>
    <cfRule type="containsText" dxfId="277" priority="279" stopIfTrue="1" operator="containsText" text="ds">
      <formula>NOT(ISERROR(SEARCH("ds",AM31)))</formula>
    </cfRule>
    <cfRule type="containsText" dxfId="276" priority="280" stopIfTrue="1" operator="containsText" text="subobs">
      <formula>NOT(ISERROR(SEARCH("subobs",AM31)))</formula>
    </cfRule>
  </conditionalFormatting>
  <conditionalFormatting sqref="AM31:AP31">
    <cfRule type="cellIs" dxfId="275" priority="277" operator="equal">
      <formula>"ps_cover"</formula>
    </cfRule>
    <cfRule type="containsText" dxfId="274" priority="278" stopIfTrue="1" operator="containsText" text="9ab">
      <formula>NOT(ISERROR(SEARCH("9ab",AM31)))</formula>
    </cfRule>
  </conditionalFormatting>
  <conditionalFormatting sqref="AM31:AP31">
    <cfRule type="containsText" dxfId="273" priority="274" operator="containsText" text="b1">
      <formula>NOT(ISERROR(SEARCH("b1",AM31)))</formula>
    </cfRule>
    <cfRule type="cellIs" dxfId="272" priority="275" operator="equal">
      <formula>0</formula>
    </cfRule>
  </conditionalFormatting>
  <conditionalFormatting sqref="AM32:AP37">
    <cfRule type="containsText" dxfId="271" priority="265" operator="containsText" text="(Call)">
      <formula>NOT(ISERROR(SEARCH("(Call)",AM32)))</formula>
    </cfRule>
    <cfRule type="containsText" dxfId="270" priority="268" stopIfTrue="1" operator="containsText" text="go">
      <formula>NOT(ISERROR(SEARCH("go",AM32)))</formula>
    </cfRule>
    <cfRule type="containsText" dxfId="269" priority="271" stopIfTrue="1" operator="containsText" text="ds">
      <formula>NOT(ISERROR(SEARCH("ds",AM32)))</formula>
    </cfRule>
    <cfRule type="containsText" dxfId="268" priority="272" stopIfTrue="1" operator="containsText" text="subobs">
      <formula>NOT(ISERROR(SEARCH("subobs",AM32)))</formula>
    </cfRule>
  </conditionalFormatting>
  <conditionalFormatting sqref="AM32:AP37">
    <cfRule type="cellIs" dxfId="267" priority="269" operator="equal">
      <formula>"ps_cover"</formula>
    </cfRule>
    <cfRule type="containsText" dxfId="266" priority="270" stopIfTrue="1" operator="containsText" text="9ab">
      <formula>NOT(ISERROR(SEARCH("9ab",AM32)))</formula>
    </cfRule>
  </conditionalFormatting>
  <conditionalFormatting sqref="AM32:AP37">
    <cfRule type="containsText" dxfId="265" priority="266" operator="containsText" text="b1">
      <formula>NOT(ISERROR(SEARCH("b1",AM32)))</formula>
    </cfRule>
    <cfRule type="cellIs" dxfId="264" priority="267" operator="equal">
      <formula>0</formula>
    </cfRule>
  </conditionalFormatting>
  <conditionalFormatting sqref="AR31:AS37">
    <cfRule type="containsText" dxfId="263" priority="215" operator="containsText" text="(Call)">
      <formula>NOT(ISERROR(SEARCH("(Call)",AR31)))</formula>
    </cfRule>
    <cfRule type="containsText" dxfId="262" priority="254" stopIfTrue="1" operator="containsText" text="go">
      <formula>NOT(ISERROR(SEARCH("go",AR31)))</formula>
    </cfRule>
    <cfRule type="containsText" dxfId="261" priority="263" stopIfTrue="1" operator="containsText" text="ds">
      <formula>NOT(ISERROR(SEARCH("ds",AR31)))</formula>
    </cfRule>
    <cfRule type="containsText" dxfId="260" priority="264" stopIfTrue="1" operator="containsText" text="subobs">
      <formula>NOT(ISERROR(SEARCH("subobs",AR31)))</formula>
    </cfRule>
  </conditionalFormatting>
  <conditionalFormatting sqref="AR31:AS37">
    <cfRule type="cellIs" dxfId="259" priority="261" operator="equal">
      <formula>"ps_cover"</formula>
    </cfRule>
    <cfRule type="containsText" dxfId="258" priority="262" stopIfTrue="1" operator="containsText" text="9ab">
      <formula>NOT(ISERROR(SEARCH("9ab",AR31)))</formula>
    </cfRule>
  </conditionalFormatting>
  <conditionalFormatting sqref="AR31:AS37">
    <cfRule type="containsText" dxfId="257" priority="246" operator="containsText" text="b1">
      <formula>NOT(ISERROR(SEARCH("b1",AR31)))</formula>
    </cfRule>
    <cfRule type="cellIs" dxfId="256" priority="247" operator="equal">
      <formula>0</formula>
    </cfRule>
  </conditionalFormatting>
  <conditionalFormatting sqref="AR32:AR37">
    <cfRule type="containsText" dxfId="255" priority="248" operator="containsText" text="9ab">
      <formula>NOT(ISERROR(SEARCH("9ab",AR32)))</formula>
    </cfRule>
    <cfRule type="cellIs" dxfId="254" priority="249" stopIfTrue="1" operator="equal">
      <formula>"leave"</formula>
    </cfRule>
    <cfRule type="containsText" dxfId="253" priority="250" operator="containsText" text="ds">
      <formula>NOT(ISERROR(SEARCH("ds",AR32)))</formula>
    </cfRule>
    <cfRule type="containsText" dxfId="252" priority="251" operator="containsText" text="subobs">
      <formula>NOT(ISERROR(SEARCH("subobs",AR32)))</formula>
    </cfRule>
    <cfRule type="containsText" dxfId="251" priority="252" operator="containsText" text="Call">
      <formula>NOT(ISERROR(SEARCH("Call",AR32)))</formula>
    </cfRule>
  </conditionalFormatting>
  <conditionalFormatting sqref="AR32:AR37">
    <cfRule type="containsText" dxfId="249" priority="255" operator="containsText" text="9ab">
      <formula>NOT(ISERROR(SEARCH("9ab",AR32)))</formula>
    </cfRule>
    <cfRule type="cellIs" dxfId="248" priority="256" stopIfTrue="1" operator="equal">
      <formula>"leave"</formula>
    </cfRule>
    <cfRule type="containsText" dxfId="247" priority="257" operator="containsText" text="ds">
      <formula>NOT(ISERROR(SEARCH("ds",AR32)))</formula>
    </cfRule>
    <cfRule type="containsText" dxfId="246" priority="258" operator="containsText" text="subobs">
      <formula>NOT(ISERROR(SEARCH("subobs",AR32)))</formula>
    </cfRule>
    <cfRule type="containsText" dxfId="245" priority="259" stopIfTrue="1" operator="containsText" text="(Call)">
      <formula>NOT(ISERROR(SEARCH("(Call)",AR32)))</formula>
    </cfRule>
  </conditionalFormatting>
  <conditionalFormatting sqref="AR32:AR37">
    <cfRule type="containsText" dxfId="243" priority="240" operator="containsText" text="9ab">
      <formula>NOT(ISERROR(SEARCH("9ab",AR32)))</formula>
    </cfRule>
    <cfRule type="cellIs" dxfId="242" priority="241" stopIfTrue="1" operator="equal">
      <formula>"leave"</formula>
    </cfRule>
    <cfRule type="containsText" dxfId="241" priority="242" operator="containsText" text="ds">
      <formula>NOT(ISERROR(SEARCH("ds",AR32)))</formula>
    </cfRule>
    <cfRule type="containsText" dxfId="240" priority="243" operator="containsText" text="subobs">
      <formula>NOT(ISERROR(SEARCH("subobs",AR32)))</formula>
    </cfRule>
    <cfRule type="containsText" dxfId="239" priority="244" operator="containsText" text="Call">
      <formula>NOT(ISERROR(SEARCH("Call",AR32)))</formula>
    </cfRule>
  </conditionalFormatting>
  <conditionalFormatting sqref="AR32:AR37">
    <cfRule type="containsText" dxfId="237" priority="216" operator="containsText" text="9ab">
      <formula>NOT(ISERROR(SEARCH("9ab",AR32)))</formula>
    </cfRule>
    <cfRule type="cellIs" dxfId="236" priority="217" stopIfTrue="1" operator="equal">
      <formula>"leave"</formula>
    </cfRule>
    <cfRule type="containsText" dxfId="235" priority="218" operator="containsText" text="ds">
      <formula>NOT(ISERROR(SEARCH("ds",AR32)))</formula>
    </cfRule>
    <cfRule type="containsText" dxfId="234" priority="219" operator="containsText" text="subobs">
      <formula>NOT(ISERROR(SEARCH("subobs",AR32)))</formula>
    </cfRule>
    <cfRule type="containsText" dxfId="233" priority="220" operator="containsText" text="Call">
      <formula>NOT(ISERROR(SEARCH("Call",AR32)))</formula>
    </cfRule>
    <cfRule type="containsText" dxfId="231" priority="228" operator="containsText" text="9ab">
      <formula>NOT(ISERROR(SEARCH("9ab",AR32)))</formula>
    </cfRule>
    <cfRule type="cellIs" dxfId="230" priority="229" stopIfTrue="1" operator="equal">
      <formula>"leave"</formula>
    </cfRule>
    <cfRule type="containsText" dxfId="229" priority="230" operator="containsText" text="ds">
      <formula>NOT(ISERROR(SEARCH("ds",AR32)))</formula>
    </cfRule>
    <cfRule type="containsText" dxfId="228" priority="231" operator="containsText" text="subobs">
      <formula>NOT(ISERROR(SEARCH("subobs",AR32)))</formula>
    </cfRule>
    <cfRule type="containsText" dxfId="227" priority="232" operator="containsText" text="Call">
      <formula>NOT(ISERROR(SEARCH("Call",AR32)))</formula>
    </cfRule>
  </conditionalFormatting>
  <conditionalFormatting sqref="AR32:AR37">
    <cfRule type="containsText" dxfId="225" priority="222" operator="containsText" text="9ab">
      <formula>NOT(ISERROR(SEARCH("9ab",AR32)))</formula>
    </cfRule>
    <cfRule type="cellIs" dxfId="224" priority="223" stopIfTrue="1" operator="equal">
      <formula>"leave"</formula>
    </cfRule>
    <cfRule type="containsText" dxfId="223" priority="224" operator="containsText" text="ds">
      <formula>NOT(ISERROR(SEARCH("ds",AR32)))</formula>
    </cfRule>
    <cfRule type="containsText" dxfId="222" priority="225" operator="containsText" text="subobs">
      <formula>NOT(ISERROR(SEARCH("subobs",AR32)))</formula>
    </cfRule>
    <cfRule type="containsText" dxfId="221" priority="226" stopIfTrue="1" operator="containsText" text="(Call)">
      <formula>NOT(ISERROR(SEARCH("(Call)",AR32)))</formula>
    </cfRule>
    <cfRule type="containsText" dxfId="219" priority="234" operator="containsText" text="9ab">
      <formula>NOT(ISERROR(SEARCH("9ab",AR32)))</formula>
    </cfRule>
    <cfRule type="cellIs" dxfId="218" priority="235" stopIfTrue="1" operator="equal">
      <formula>"leave"</formula>
    </cfRule>
    <cfRule type="containsText" dxfId="217" priority="236" operator="containsText" text="ds">
      <formula>NOT(ISERROR(SEARCH("ds",AR32)))</formula>
    </cfRule>
    <cfRule type="containsText" dxfId="216" priority="237" operator="containsText" text="subobs">
      <formula>NOT(ISERROR(SEARCH("subobs",AR32)))</formula>
    </cfRule>
    <cfRule type="containsText" dxfId="215" priority="238" operator="containsText" text="Call">
      <formula>NOT(ISERROR(SEARCH("Call",AR32)))</formula>
    </cfRule>
  </conditionalFormatting>
  <conditionalFormatting sqref="AT31:AW31">
    <cfRule type="containsText" dxfId="213" priority="207" operator="containsText" text="(Call)">
      <formula>NOT(ISERROR(SEARCH("(Call)",AT31)))</formula>
    </cfRule>
    <cfRule type="containsText" dxfId="212" priority="210" stopIfTrue="1" operator="containsText" text="go">
      <formula>NOT(ISERROR(SEARCH("go",AT31)))</formula>
    </cfRule>
    <cfRule type="containsText" dxfId="211" priority="213" stopIfTrue="1" operator="containsText" text="ds">
      <formula>NOT(ISERROR(SEARCH("ds",AT31)))</formula>
    </cfRule>
    <cfRule type="containsText" dxfId="210" priority="214" stopIfTrue="1" operator="containsText" text="subobs">
      <formula>NOT(ISERROR(SEARCH("subobs",AT31)))</formula>
    </cfRule>
  </conditionalFormatting>
  <conditionalFormatting sqref="AT31:AW31">
    <cfRule type="cellIs" dxfId="209" priority="211" operator="equal">
      <formula>"ps_cover"</formula>
    </cfRule>
    <cfRule type="containsText" dxfId="208" priority="212" stopIfTrue="1" operator="containsText" text="9ab">
      <formula>NOT(ISERROR(SEARCH("9ab",AT31)))</formula>
    </cfRule>
  </conditionalFormatting>
  <conditionalFormatting sqref="AT31:AW31">
    <cfRule type="containsText" dxfId="207" priority="208" operator="containsText" text="b1">
      <formula>NOT(ISERROR(SEARCH("b1",AT31)))</formula>
    </cfRule>
    <cfRule type="cellIs" dxfId="206" priority="209" operator="equal">
      <formula>0</formula>
    </cfRule>
  </conditionalFormatting>
  <conditionalFormatting sqref="AT32:AW37">
    <cfRule type="containsText" dxfId="205" priority="199" operator="containsText" text="(Call)">
      <formula>NOT(ISERROR(SEARCH("(Call)",AT32)))</formula>
    </cfRule>
    <cfRule type="containsText" dxfId="204" priority="202" stopIfTrue="1" operator="containsText" text="go">
      <formula>NOT(ISERROR(SEARCH("go",AT32)))</formula>
    </cfRule>
    <cfRule type="containsText" dxfId="203" priority="205" stopIfTrue="1" operator="containsText" text="ds">
      <formula>NOT(ISERROR(SEARCH("ds",AT32)))</formula>
    </cfRule>
    <cfRule type="containsText" dxfId="202" priority="206" stopIfTrue="1" operator="containsText" text="subobs">
      <formula>NOT(ISERROR(SEARCH("subobs",AT32)))</formula>
    </cfRule>
  </conditionalFormatting>
  <conditionalFormatting sqref="AT32:AW37">
    <cfRule type="cellIs" dxfId="201" priority="203" operator="equal">
      <formula>"ps_cover"</formula>
    </cfRule>
    <cfRule type="containsText" dxfId="200" priority="204" stopIfTrue="1" operator="containsText" text="9ab">
      <formula>NOT(ISERROR(SEARCH("9ab",AT32)))</formula>
    </cfRule>
  </conditionalFormatting>
  <conditionalFormatting sqref="AT32:AW37">
    <cfRule type="containsText" dxfId="199" priority="200" operator="containsText" text="b1">
      <formula>NOT(ISERROR(SEARCH("b1",AT32)))</formula>
    </cfRule>
    <cfRule type="cellIs" dxfId="198" priority="201" operator="equal">
      <formula>0</formula>
    </cfRule>
  </conditionalFormatting>
  <conditionalFormatting sqref="AY31:AZ37">
    <cfRule type="containsText" dxfId="197" priority="149" operator="containsText" text="(Call)">
      <formula>NOT(ISERROR(SEARCH("(Call)",AY31)))</formula>
    </cfRule>
    <cfRule type="containsText" dxfId="196" priority="188" stopIfTrue="1" operator="containsText" text="go">
      <formula>NOT(ISERROR(SEARCH("go",AY31)))</formula>
    </cfRule>
    <cfRule type="containsText" dxfId="195" priority="197" stopIfTrue="1" operator="containsText" text="ds">
      <formula>NOT(ISERROR(SEARCH("ds",AY31)))</formula>
    </cfRule>
    <cfRule type="containsText" dxfId="194" priority="198" stopIfTrue="1" operator="containsText" text="subobs">
      <formula>NOT(ISERROR(SEARCH("subobs",AY31)))</formula>
    </cfRule>
  </conditionalFormatting>
  <conditionalFormatting sqref="AY31:AZ37">
    <cfRule type="cellIs" dxfId="193" priority="195" operator="equal">
      <formula>"ps_cover"</formula>
    </cfRule>
    <cfRule type="containsText" dxfId="192" priority="196" stopIfTrue="1" operator="containsText" text="9ab">
      <formula>NOT(ISERROR(SEARCH("9ab",AY31)))</formula>
    </cfRule>
  </conditionalFormatting>
  <conditionalFormatting sqref="AY31:AZ37">
    <cfRule type="containsText" dxfId="191" priority="180" operator="containsText" text="b1">
      <formula>NOT(ISERROR(SEARCH("b1",AY31)))</formula>
    </cfRule>
    <cfRule type="cellIs" dxfId="190" priority="181" operator="equal">
      <formula>0</formula>
    </cfRule>
  </conditionalFormatting>
  <conditionalFormatting sqref="AY32:AY37">
    <cfRule type="containsText" dxfId="189" priority="182" operator="containsText" text="9ab">
      <formula>NOT(ISERROR(SEARCH("9ab",AY32)))</formula>
    </cfRule>
    <cfRule type="cellIs" dxfId="188" priority="183" stopIfTrue="1" operator="equal">
      <formula>"leave"</formula>
    </cfRule>
    <cfRule type="containsText" dxfId="187" priority="184" operator="containsText" text="ds">
      <formula>NOT(ISERROR(SEARCH("ds",AY32)))</formula>
    </cfRule>
    <cfRule type="containsText" dxfId="186" priority="185" operator="containsText" text="subobs">
      <formula>NOT(ISERROR(SEARCH("subobs",AY32)))</formula>
    </cfRule>
    <cfRule type="containsText" dxfId="185" priority="186" operator="containsText" text="Call">
      <formula>NOT(ISERROR(SEARCH("Call",AY32)))</formula>
    </cfRule>
  </conditionalFormatting>
  <conditionalFormatting sqref="AY32:AY37">
    <cfRule type="containsText" dxfId="183" priority="189" operator="containsText" text="9ab">
      <formula>NOT(ISERROR(SEARCH("9ab",AY32)))</formula>
    </cfRule>
    <cfRule type="cellIs" dxfId="182" priority="190" stopIfTrue="1" operator="equal">
      <formula>"leave"</formula>
    </cfRule>
    <cfRule type="containsText" dxfId="181" priority="191" operator="containsText" text="ds">
      <formula>NOT(ISERROR(SEARCH("ds",AY32)))</formula>
    </cfRule>
    <cfRule type="containsText" dxfId="180" priority="192" operator="containsText" text="subobs">
      <formula>NOT(ISERROR(SEARCH("subobs",AY32)))</formula>
    </cfRule>
    <cfRule type="containsText" dxfId="179" priority="193" stopIfTrue="1" operator="containsText" text="(Call)">
      <formula>NOT(ISERROR(SEARCH("(Call)",AY32)))</formula>
    </cfRule>
  </conditionalFormatting>
  <conditionalFormatting sqref="AY32:AY37">
    <cfRule type="containsText" dxfId="177" priority="174" operator="containsText" text="9ab">
      <formula>NOT(ISERROR(SEARCH("9ab",AY32)))</formula>
    </cfRule>
    <cfRule type="cellIs" dxfId="176" priority="175" stopIfTrue="1" operator="equal">
      <formula>"leave"</formula>
    </cfRule>
    <cfRule type="containsText" dxfId="175" priority="176" operator="containsText" text="ds">
      <formula>NOT(ISERROR(SEARCH("ds",AY32)))</formula>
    </cfRule>
    <cfRule type="containsText" dxfId="174" priority="177" operator="containsText" text="subobs">
      <formula>NOT(ISERROR(SEARCH("subobs",AY32)))</formula>
    </cfRule>
    <cfRule type="containsText" dxfId="173" priority="178" operator="containsText" text="Call">
      <formula>NOT(ISERROR(SEARCH("Call",AY32)))</formula>
    </cfRule>
  </conditionalFormatting>
  <conditionalFormatting sqref="AY32:AY37">
    <cfRule type="containsText" dxfId="171" priority="150" operator="containsText" text="9ab">
      <formula>NOT(ISERROR(SEARCH("9ab",AY32)))</formula>
    </cfRule>
    <cfRule type="cellIs" dxfId="170" priority="151" stopIfTrue="1" operator="equal">
      <formula>"leave"</formula>
    </cfRule>
    <cfRule type="containsText" dxfId="169" priority="152" operator="containsText" text="ds">
      <formula>NOT(ISERROR(SEARCH("ds",AY32)))</formula>
    </cfRule>
    <cfRule type="containsText" dxfId="168" priority="153" operator="containsText" text="subobs">
      <formula>NOT(ISERROR(SEARCH("subobs",AY32)))</formula>
    </cfRule>
    <cfRule type="containsText" dxfId="167" priority="154" operator="containsText" text="Call">
      <formula>NOT(ISERROR(SEARCH("Call",AY32)))</formula>
    </cfRule>
    <cfRule type="containsText" dxfId="165" priority="162" operator="containsText" text="9ab">
      <formula>NOT(ISERROR(SEARCH("9ab",AY32)))</formula>
    </cfRule>
    <cfRule type="cellIs" dxfId="164" priority="163" stopIfTrue="1" operator="equal">
      <formula>"leave"</formula>
    </cfRule>
    <cfRule type="containsText" dxfId="163" priority="164" operator="containsText" text="ds">
      <formula>NOT(ISERROR(SEARCH("ds",AY32)))</formula>
    </cfRule>
    <cfRule type="containsText" dxfId="162" priority="165" operator="containsText" text="subobs">
      <formula>NOT(ISERROR(SEARCH("subobs",AY32)))</formula>
    </cfRule>
    <cfRule type="containsText" dxfId="161" priority="166" operator="containsText" text="Call">
      <formula>NOT(ISERROR(SEARCH("Call",AY32)))</formula>
    </cfRule>
  </conditionalFormatting>
  <conditionalFormatting sqref="AY32:AY37">
    <cfRule type="containsText" dxfId="159" priority="156" operator="containsText" text="9ab">
      <formula>NOT(ISERROR(SEARCH("9ab",AY32)))</formula>
    </cfRule>
    <cfRule type="cellIs" dxfId="158" priority="157" stopIfTrue="1" operator="equal">
      <formula>"leave"</formula>
    </cfRule>
    <cfRule type="containsText" dxfId="157" priority="158" operator="containsText" text="ds">
      <formula>NOT(ISERROR(SEARCH("ds",AY32)))</formula>
    </cfRule>
    <cfRule type="containsText" dxfId="156" priority="159" operator="containsText" text="subobs">
      <formula>NOT(ISERROR(SEARCH("subobs",AY32)))</formula>
    </cfRule>
    <cfRule type="containsText" dxfId="155" priority="160" stopIfTrue="1" operator="containsText" text="(Call)">
      <formula>NOT(ISERROR(SEARCH("(Call)",AY32)))</formula>
    </cfRule>
    <cfRule type="containsText" dxfId="153" priority="168" operator="containsText" text="9ab">
      <formula>NOT(ISERROR(SEARCH("9ab",AY32)))</formula>
    </cfRule>
    <cfRule type="cellIs" dxfId="152" priority="169" stopIfTrue="1" operator="equal">
      <formula>"leave"</formula>
    </cfRule>
    <cfRule type="containsText" dxfId="151" priority="170" operator="containsText" text="ds">
      <formula>NOT(ISERROR(SEARCH("ds",AY32)))</formula>
    </cfRule>
    <cfRule type="containsText" dxfId="150" priority="171" operator="containsText" text="subobs">
      <formula>NOT(ISERROR(SEARCH("subobs",AY32)))</formula>
    </cfRule>
    <cfRule type="containsText" dxfId="149" priority="172" operator="containsText" text="Call">
      <formula>NOT(ISERROR(SEARCH("Call",AY32)))</formula>
    </cfRule>
  </conditionalFormatting>
  <conditionalFormatting sqref="BA31:BD31">
    <cfRule type="containsText" dxfId="147" priority="141" operator="containsText" text="(Call)">
      <formula>NOT(ISERROR(SEARCH("(Call)",BA31)))</formula>
    </cfRule>
    <cfRule type="containsText" dxfId="146" priority="144" stopIfTrue="1" operator="containsText" text="go">
      <formula>NOT(ISERROR(SEARCH("go",BA31)))</formula>
    </cfRule>
    <cfRule type="containsText" dxfId="145" priority="147" stopIfTrue="1" operator="containsText" text="ds">
      <formula>NOT(ISERROR(SEARCH("ds",BA31)))</formula>
    </cfRule>
    <cfRule type="containsText" dxfId="144" priority="148" stopIfTrue="1" operator="containsText" text="subobs">
      <formula>NOT(ISERROR(SEARCH("subobs",BA31)))</formula>
    </cfRule>
  </conditionalFormatting>
  <conditionalFormatting sqref="BA31:BD31">
    <cfRule type="cellIs" dxfId="143" priority="145" operator="equal">
      <formula>"ps_cover"</formula>
    </cfRule>
    <cfRule type="containsText" dxfId="142" priority="146" stopIfTrue="1" operator="containsText" text="9ab">
      <formula>NOT(ISERROR(SEARCH("9ab",BA31)))</formula>
    </cfRule>
  </conditionalFormatting>
  <conditionalFormatting sqref="BA31:BD31">
    <cfRule type="containsText" dxfId="141" priority="142" operator="containsText" text="b1">
      <formula>NOT(ISERROR(SEARCH("b1",BA31)))</formula>
    </cfRule>
    <cfRule type="cellIs" dxfId="140" priority="143" operator="equal">
      <formula>0</formula>
    </cfRule>
  </conditionalFormatting>
  <conditionalFormatting sqref="BA32:BD37">
    <cfRule type="containsText" dxfId="139" priority="133" operator="containsText" text="(Call)">
      <formula>NOT(ISERROR(SEARCH("(Call)",BA32)))</formula>
    </cfRule>
    <cfRule type="containsText" dxfId="138" priority="136" stopIfTrue="1" operator="containsText" text="go">
      <formula>NOT(ISERROR(SEARCH("go",BA32)))</formula>
    </cfRule>
    <cfRule type="containsText" dxfId="137" priority="139" stopIfTrue="1" operator="containsText" text="ds">
      <formula>NOT(ISERROR(SEARCH("ds",BA32)))</formula>
    </cfRule>
    <cfRule type="containsText" dxfId="136" priority="140" stopIfTrue="1" operator="containsText" text="subobs">
      <formula>NOT(ISERROR(SEARCH("subobs",BA32)))</formula>
    </cfRule>
  </conditionalFormatting>
  <conditionalFormatting sqref="BA32:BD37">
    <cfRule type="cellIs" dxfId="135" priority="137" operator="equal">
      <formula>"ps_cover"</formula>
    </cfRule>
    <cfRule type="containsText" dxfId="134" priority="138" stopIfTrue="1" operator="containsText" text="9ab">
      <formula>NOT(ISERROR(SEARCH("9ab",BA32)))</formula>
    </cfRule>
  </conditionalFormatting>
  <conditionalFormatting sqref="BA32:BD37">
    <cfRule type="containsText" dxfId="133" priority="134" operator="containsText" text="b1">
      <formula>NOT(ISERROR(SEARCH("b1",BA32)))</formula>
    </cfRule>
    <cfRule type="cellIs" dxfId="132" priority="135" operator="equal">
      <formula>0</formula>
    </cfRule>
  </conditionalFormatting>
  <conditionalFormatting sqref="BF31:BG37">
    <cfRule type="containsText" dxfId="131" priority="83" operator="containsText" text="(Call)">
      <formula>NOT(ISERROR(SEARCH("(Call)",BF31)))</formula>
    </cfRule>
    <cfRule type="containsText" dxfId="130" priority="122" stopIfTrue="1" operator="containsText" text="go">
      <formula>NOT(ISERROR(SEARCH("go",BF31)))</formula>
    </cfRule>
    <cfRule type="containsText" dxfId="129" priority="131" stopIfTrue="1" operator="containsText" text="ds">
      <formula>NOT(ISERROR(SEARCH("ds",BF31)))</formula>
    </cfRule>
    <cfRule type="containsText" dxfId="128" priority="132" stopIfTrue="1" operator="containsText" text="subobs">
      <formula>NOT(ISERROR(SEARCH("subobs",BF31)))</formula>
    </cfRule>
  </conditionalFormatting>
  <conditionalFormatting sqref="BF31:BG37">
    <cfRule type="cellIs" dxfId="127" priority="129" operator="equal">
      <formula>"ps_cover"</formula>
    </cfRule>
    <cfRule type="containsText" dxfId="126" priority="130" stopIfTrue="1" operator="containsText" text="9ab">
      <formula>NOT(ISERROR(SEARCH("9ab",BF31)))</formula>
    </cfRule>
  </conditionalFormatting>
  <conditionalFormatting sqref="BF31:BG37">
    <cfRule type="containsText" dxfId="125" priority="114" operator="containsText" text="b1">
      <formula>NOT(ISERROR(SEARCH("b1",BF31)))</formula>
    </cfRule>
    <cfRule type="cellIs" dxfId="124" priority="115" operator="equal">
      <formula>0</formula>
    </cfRule>
  </conditionalFormatting>
  <conditionalFormatting sqref="BF32:BF37">
    <cfRule type="containsText" dxfId="123" priority="116" operator="containsText" text="9ab">
      <formula>NOT(ISERROR(SEARCH("9ab",BF32)))</formula>
    </cfRule>
    <cfRule type="cellIs" dxfId="122" priority="117" stopIfTrue="1" operator="equal">
      <formula>"leave"</formula>
    </cfRule>
    <cfRule type="containsText" dxfId="121" priority="118" operator="containsText" text="ds">
      <formula>NOT(ISERROR(SEARCH("ds",BF32)))</formula>
    </cfRule>
    <cfRule type="containsText" dxfId="120" priority="119" operator="containsText" text="subobs">
      <formula>NOT(ISERROR(SEARCH("subobs",BF32)))</formula>
    </cfRule>
    <cfRule type="containsText" dxfId="119" priority="120" operator="containsText" text="Call">
      <formula>NOT(ISERROR(SEARCH("Call",BF32)))</formula>
    </cfRule>
  </conditionalFormatting>
  <conditionalFormatting sqref="BF32:BF37">
    <cfRule type="containsText" dxfId="117" priority="123" operator="containsText" text="9ab">
      <formula>NOT(ISERROR(SEARCH("9ab",BF32)))</formula>
    </cfRule>
    <cfRule type="cellIs" dxfId="116" priority="124" stopIfTrue="1" operator="equal">
      <formula>"leave"</formula>
    </cfRule>
    <cfRule type="containsText" dxfId="115" priority="125" operator="containsText" text="ds">
      <formula>NOT(ISERROR(SEARCH("ds",BF32)))</formula>
    </cfRule>
    <cfRule type="containsText" dxfId="114" priority="126" operator="containsText" text="subobs">
      <formula>NOT(ISERROR(SEARCH("subobs",BF32)))</formula>
    </cfRule>
    <cfRule type="containsText" dxfId="113" priority="127" stopIfTrue="1" operator="containsText" text="(Call)">
      <formula>NOT(ISERROR(SEARCH("(Call)",BF32)))</formula>
    </cfRule>
  </conditionalFormatting>
  <conditionalFormatting sqref="BF32:BF37">
    <cfRule type="containsText" dxfId="111" priority="108" operator="containsText" text="9ab">
      <formula>NOT(ISERROR(SEARCH("9ab",BF32)))</formula>
    </cfRule>
    <cfRule type="cellIs" dxfId="110" priority="109" stopIfTrue="1" operator="equal">
      <formula>"leave"</formula>
    </cfRule>
    <cfRule type="containsText" dxfId="109" priority="110" operator="containsText" text="ds">
      <formula>NOT(ISERROR(SEARCH("ds",BF32)))</formula>
    </cfRule>
    <cfRule type="containsText" dxfId="108" priority="111" operator="containsText" text="subobs">
      <formula>NOT(ISERROR(SEARCH("subobs",BF32)))</formula>
    </cfRule>
    <cfRule type="containsText" dxfId="107" priority="112" operator="containsText" text="Call">
      <formula>NOT(ISERROR(SEARCH("Call",BF32)))</formula>
    </cfRule>
  </conditionalFormatting>
  <conditionalFormatting sqref="BF32:BF37">
    <cfRule type="containsText" dxfId="105" priority="84" operator="containsText" text="9ab">
      <formula>NOT(ISERROR(SEARCH("9ab",BF32)))</formula>
    </cfRule>
    <cfRule type="cellIs" dxfId="104" priority="85" stopIfTrue="1" operator="equal">
      <formula>"leave"</formula>
    </cfRule>
    <cfRule type="containsText" dxfId="103" priority="86" operator="containsText" text="ds">
      <formula>NOT(ISERROR(SEARCH("ds",BF32)))</formula>
    </cfRule>
    <cfRule type="containsText" dxfId="102" priority="87" operator="containsText" text="subobs">
      <formula>NOT(ISERROR(SEARCH("subobs",BF32)))</formula>
    </cfRule>
    <cfRule type="containsText" dxfId="101" priority="88" operator="containsText" text="Call">
      <formula>NOT(ISERROR(SEARCH("Call",BF32)))</formula>
    </cfRule>
    <cfRule type="containsText" dxfId="99" priority="96" operator="containsText" text="9ab">
      <formula>NOT(ISERROR(SEARCH("9ab",BF32)))</formula>
    </cfRule>
    <cfRule type="cellIs" dxfId="98" priority="97" stopIfTrue="1" operator="equal">
      <formula>"leave"</formula>
    </cfRule>
    <cfRule type="containsText" dxfId="97" priority="98" operator="containsText" text="ds">
      <formula>NOT(ISERROR(SEARCH("ds",BF32)))</formula>
    </cfRule>
    <cfRule type="containsText" dxfId="96" priority="99" operator="containsText" text="subobs">
      <formula>NOT(ISERROR(SEARCH("subobs",BF32)))</formula>
    </cfRule>
    <cfRule type="containsText" dxfId="95" priority="100" operator="containsText" text="Call">
      <formula>NOT(ISERROR(SEARCH("Call",BF32)))</formula>
    </cfRule>
  </conditionalFormatting>
  <conditionalFormatting sqref="BF32:BF37">
    <cfRule type="containsText" dxfId="93" priority="90" operator="containsText" text="9ab">
      <formula>NOT(ISERROR(SEARCH("9ab",BF32)))</formula>
    </cfRule>
    <cfRule type="cellIs" dxfId="92" priority="91" stopIfTrue="1" operator="equal">
      <formula>"leave"</formula>
    </cfRule>
    <cfRule type="containsText" dxfId="91" priority="92" operator="containsText" text="ds">
      <formula>NOT(ISERROR(SEARCH("ds",BF32)))</formula>
    </cfRule>
    <cfRule type="containsText" dxfId="90" priority="93" operator="containsText" text="subobs">
      <formula>NOT(ISERROR(SEARCH("subobs",BF32)))</formula>
    </cfRule>
    <cfRule type="containsText" dxfId="89" priority="94" stopIfTrue="1" operator="containsText" text="(Call)">
      <formula>NOT(ISERROR(SEARCH("(Call)",BF32)))</formula>
    </cfRule>
    <cfRule type="containsText" dxfId="87" priority="102" operator="containsText" text="9ab">
      <formula>NOT(ISERROR(SEARCH("9ab",BF32)))</formula>
    </cfRule>
    <cfRule type="cellIs" dxfId="86" priority="103" stopIfTrue="1" operator="equal">
      <formula>"leave"</formula>
    </cfRule>
    <cfRule type="containsText" dxfId="85" priority="104" operator="containsText" text="ds">
      <formula>NOT(ISERROR(SEARCH("ds",BF32)))</formula>
    </cfRule>
    <cfRule type="containsText" dxfId="84" priority="105" operator="containsText" text="subobs">
      <formula>NOT(ISERROR(SEARCH("subobs",BF32)))</formula>
    </cfRule>
    <cfRule type="containsText" dxfId="83" priority="106" operator="containsText" text="Call">
      <formula>NOT(ISERROR(SEARCH("Call",BF32)))</formula>
    </cfRule>
  </conditionalFormatting>
  <conditionalFormatting sqref="BH31:BK31">
    <cfRule type="containsText" dxfId="81" priority="75" operator="containsText" text="(Call)">
      <formula>NOT(ISERROR(SEARCH("(Call)",BH31)))</formula>
    </cfRule>
    <cfRule type="containsText" dxfId="80" priority="78" stopIfTrue="1" operator="containsText" text="go">
      <formula>NOT(ISERROR(SEARCH("go",BH31)))</formula>
    </cfRule>
    <cfRule type="containsText" dxfId="79" priority="81" stopIfTrue="1" operator="containsText" text="ds">
      <formula>NOT(ISERROR(SEARCH("ds",BH31)))</formula>
    </cfRule>
    <cfRule type="containsText" dxfId="78" priority="82" stopIfTrue="1" operator="containsText" text="subobs">
      <formula>NOT(ISERROR(SEARCH("subobs",BH31)))</formula>
    </cfRule>
  </conditionalFormatting>
  <conditionalFormatting sqref="BH31:BK31">
    <cfRule type="cellIs" dxfId="77" priority="79" operator="equal">
      <formula>"ps_cover"</formula>
    </cfRule>
    <cfRule type="containsText" dxfId="76" priority="80" stopIfTrue="1" operator="containsText" text="9ab">
      <formula>NOT(ISERROR(SEARCH("9ab",BH31)))</formula>
    </cfRule>
  </conditionalFormatting>
  <conditionalFormatting sqref="BH31:BK31">
    <cfRule type="containsText" dxfId="75" priority="76" operator="containsText" text="b1">
      <formula>NOT(ISERROR(SEARCH("b1",BH31)))</formula>
    </cfRule>
    <cfRule type="cellIs" dxfId="74" priority="77" operator="equal">
      <formula>0</formula>
    </cfRule>
  </conditionalFormatting>
  <conditionalFormatting sqref="BH32:BK37">
    <cfRule type="containsText" dxfId="73" priority="67" operator="containsText" text="(Call)">
      <formula>NOT(ISERROR(SEARCH("(Call)",BH32)))</formula>
    </cfRule>
    <cfRule type="containsText" dxfId="72" priority="70" stopIfTrue="1" operator="containsText" text="go">
      <formula>NOT(ISERROR(SEARCH("go",BH32)))</formula>
    </cfRule>
    <cfRule type="containsText" dxfId="71" priority="73" stopIfTrue="1" operator="containsText" text="ds">
      <formula>NOT(ISERROR(SEARCH("ds",BH32)))</formula>
    </cfRule>
    <cfRule type="containsText" dxfId="70" priority="74" stopIfTrue="1" operator="containsText" text="subobs">
      <formula>NOT(ISERROR(SEARCH("subobs",BH32)))</formula>
    </cfRule>
  </conditionalFormatting>
  <conditionalFormatting sqref="BH32:BK37">
    <cfRule type="cellIs" dxfId="69" priority="71" operator="equal">
      <formula>"ps_cover"</formula>
    </cfRule>
    <cfRule type="containsText" dxfId="68" priority="72" stopIfTrue="1" operator="containsText" text="9ab">
      <formula>NOT(ISERROR(SEARCH("9ab",BH32)))</formula>
    </cfRule>
  </conditionalFormatting>
  <conditionalFormatting sqref="BH32:BK37">
    <cfRule type="containsText" dxfId="67" priority="68" operator="containsText" text="b1">
      <formula>NOT(ISERROR(SEARCH("b1",BH32)))</formula>
    </cfRule>
    <cfRule type="cellIs" dxfId="66" priority="69" operator="equal">
      <formula>0</formula>
    </cfRule>
  </conditionalFormatting>
  <conditionalFormatting sqref="BM31:BN37">
    <cfRule type="containsText" dxfId="65" priority="17" operator="containsText" text="(Call)">
      <formula>NOT(ISERROR(SEARCH("(Call)",BM31)))</formula>
    </cfRule>
    <cfRule type="containsText" dxfId="64" priority="56" stopIfTrue="1" operator="containsText" text="go">
      <formula>NOT(ISERROR(SEARCH("go",BM31)))</formula>
    </cfRule>
    <cfRule type="containsText" dxfId="63" priority="65" stopIfTrue="1" operator="containsText" text="ds">
      <formula>NOT(ISERROR(SEARCH("ds",BM31)))</formula>
    </cfRule>
    <cfRule type="containsText" dxfId="62" priority="66" stopIfTrue="1" operator="containsText" text="subobs">
      <formula>NOT(ISERROR(SEARCH("subobs",BM31)))</formula>
    </cfRule>
  </conditionalFormatting>
  <conditionalFormatting sqref="BM31:BN37">
    <cfRule type="cellIs" dxfId="61" priority="63" operator="equal">
      <formula>"ps_cover"</formula>
    </cfRule>
    <cfRule type="containsText" dxfId="60" priority="64" stopIfTrue="1" operator="containsText" text="9ab">
      <formula>NOT(ISERROR(SEARCH("9ab",BM31)))</formula>
    </cfRule>
  </conditionalFormatting>
  <conditionalFormatting sqref="BM31:BN37">
    <cfRule type="containsText" dxfId="59" priority="48" operator="containsText" text="b1">
      <formula>NOT(ISERROR(SEARCH("b1",BM31)))</formula>
    </cfRule>
    <cfRule type="cellIs" dxfId="58" priority="49" operator="equal">
      <formula>0</formula>
    </cfRule>
  </conditionalFormatting>
  <conditionalFormatting sqref="BM32:BM37">
    <cfRule type="containsText" dxfId="57" priority="50" operator="containsText" text="9ab">
      <formula>NOT(ISERROR(SEARCH("9ab",BM32)))</formula>
    </cfRule>
    <cfRule type="cellIs" dxfId="56" priority="51" stopIfTrue="1" operator="equal">
      <formula>"leave"</formula>
    </cfRule>
    <cfRule type="containsText" dxfId="55" priority="52" operator="containsText" text="ds">
      <formula>NOT(ISERROR(SEARCH("ds",BM32)))</formula>
    </cfRule>
    <cfRule type="containsText" dxfId="54" priority="53" operator="containsText" text="subobs">
      <formula>NOT(ISERROR(SEARCH("subobs",BM32)))</formula>
    </cfRule>
    <cfRule type="containsText" dxfId="53" priority="54" operator="containsText" text="Call">
      <formula>NOT(ISERROR(SEARCH("Call",BM32)))</formula>
    </cfRule>
  </conditionalFormatting>
  <conditionalFormatting sqref="BM32:BM37">
    <cfRule type="containsText" dxfId="51" priority="57" operator="containsText" text="9ab">
      <formula>NOT(ISERROR(SEARCH("9ab",BM32)))</formula>
    </cfRule>
    <cfRule type="cellIs" dxfId="50" priority="58" stopIfTrue="1" operator="equal">
      <formula>"leave"</formula>
    </cfRule>
    <cfRule type="containsText" dxfId="49" priority="59" operator="containsText" text="ds">
      <formula>NOT(ISERROR(SEARCH("ds",BM32)))</formula>
    </cfRule>
    <cfRule type="containsText" dxfId="48" priority="60" operator="containsText" text="subobs">
      <formula>NOT(ISERROR(SEARCH("subobs",BM32)))</formula>
    </cfRule>
    <cfRule type="containsText" dxfId="47" priority="61" stopIfTrue="1" operator="containsText" text="(Call)">
      <formula>NOT(ISERROR(SEARCH("(Call)",BM32)))</formula>
    </cfRule>
  </conditionalFormatting>
  <conditionalFormatting sqref="BM32:BM37">
    <cfRule type="containsText" dxfId="45" priority="42" operator="containsText" text="9ab">
      <formula>NOT(ISERROR(SEARCH("9ab",BM32)))</formula>
    </cfRule>
    <cfRule type="cellIs" dxfId="44" priority="43" stopIfTrue="1" operator="equal">
      <formula>"leave"</formula>
    </cfRule>
    <cfRule type="containsText" dxfId="43" priority="44" operator="containsText" text="ds">
      <formula>NOT(ISERROR(SEARCH("ds",BM32)))</formula>
    </cfRule>
    <cfRule type="containsText" dxfId="42" priority="45" operator="containsText" text="subobs">
      <formula>NOT(ISERROR(SEARCH("subobs",BM32)))</formula>
    </cfRule>
    <cfRule type="containsText" dxfId="41" priority="46" operator="containsText" text="Call">
      <formula>NOT(ISERROR(SEARCH("Call",BM32)))</formula>
    </cfRule>
  </conditionalFormatting>
  <conditionalFormatting sqref="BM32:BM37">
    <cfRule type="containsText" dxfId="39" priority="18" operator="containsText" text="9ab">
      <formula>NOT(ISERROR(SEARCH("9ab",BM32)))</formula>
    </cfRule>
    <cfRule type="cellIs" dxfId="38" priority="19" stopIfTrue="1" operator="equal">
      <formula>"leave"</formula>
    </cfRule>
    <cfRule type="containsText" dxfId="37" priority="20" operator="containsText" text="ds">
      <formula>NOT(ISERROR(SEARCH("ds",BM32)))</formula>
    </cfRule>
    <cfRule type="containsText" dxfId="36" priority="21" operator="containsText" text="subobs">
      <formula>NOT(ISERROR(SEARCH("subobs",BM32)))</formula>
    </cfRule>
    <cfRule type="containsText" dxfId="35" priority="22" operator="containsText" text="Call">
      <formula>NOT(ISERROR(SEARCH("Call",BM32)))</formula>
    </cfRule>
    <cfRule type="containsText" dxfId="33" priority="30" operator="containsText" text="9ab">
      <formula>NOT(ISERROR(SEARCH("9ab",BM32)))</formula>
    </cfRule>
    <cfRule type="cellIs" dxfId="32" priority="31" stopIfTrue="1" operator="equal">
      <formula>"leave"</formula>
    </cfRule>
    <cfRule type="containsText" dxfId="31" priority="32" operator="containsText" text="ds">
      <formula>NOT(ISERROR(SEARCH("ds",BM32)))</formula>
    </cfRule>
    <cfRule type="containsText" dxfId="30" priority="33" operator="containsText" text="subobs">
      <formula>NOT(ISERROR(SEARCH("subobs",BM32)))</formula>
    </cfRule>
    <cfRule type="containsText" dxfId="29" priority="34" operator="containsText" text="Call">
      <formula>NOT(ISERROR(SEARCH("Call",BM32)))</formula>
    </cfRule>
  </conditionalFormatting>
  <conditionalFormatting sqref="BM32:BM37">
    <cfRule type="containsText" dxfId="27" priority="24" operator="containsText" text="9ab">
      <formula>NOT(ISERROR(SEARCH("9ab",BM32)))</formula>
    </cfRule>
    <cfRule type="cellIs" dxfId="26" priority="25" stopIfTrue="1" operator="equal">
      <formula>"leave"</formula>
    </cfRule>
    <cfRule type="containsText" dxfId="25" priority="26" operator="containsText" text="ds">
      <formula>NOT(ISERROR(SEARCH("ds",BM32)))</formula>
    </cfRule>
    <cfRule type="containsText" dxfId="24" priority="27" operator="containsText" text="subobs">
      <formula>NOT(ISERROR(SEARCH("subobs",BM32)))</formula>
    </cfRule>
    <cfRule type="containsText" dxfId="23" priority="28" stopIfTrue="1" operator="containsText" text="(Call)">
      <formula>NOT(ISERROR(SEARCH("(Call)",BM32)))</formula>
    </cfRule>
    <cfRule type="containsText" dxfId="21" priority="36" operator="containsText" text="9ab">
      <formula>NOT(ISERROR(SEARCH("9ab",BM32)))</formula>
    </cfRule>
    <cfRule type="cellIs" dxfId="20" priority="37" stopIfTrue="1" operator="equal">
      <formula>"leave"</formula>
    </cfRule>
    <cfRule type="containsText" dxfId="19" priority="38" operator="containsText" text="ds">
      <formula>NOT(ISERROR(SEARCH("ds",BM32)))</formula>
    </cfRule>
    <cfRule type="containsText" dxfId="18" priority="39" operator="containsText" text="subobs">
      <formula>NOT(ISERROR(SEARCH("subobs",BM32)))</formula>
    </cfRule>
    <cfRule type="containsText" dxfId="17" priority="40" operator="containsText" text="Call">
      <formula>NOT(ISERROR(SEARCH("Call",BM32)))</formula>
    </cfRule>
  </conditionalFormatting>
  <conditionalFormatting sqref="BO31:BR31">
    <cfRule type="containsText" dxfId="15" priority="9" operator="containsText" text="(Call)">
      <formula>NOT(ISERROR(SEARCH("(Call)",BO31)))</formula>
    </cfRule>
    <cfRule type="containsText" dxfId="14" priority="12" stopIfTrue="1" operator="containsText" text="go">
      <formula>NOT(ISERROR(SEARCH("go",BO31)))</formula>
    </cfRule>
    <cfRule type="containsText" dxfId="13" priority="15" stopIfTrue="1" operator="containsText" text="ds">
      <formula>NOT(ISERROR(SEARCH("ds",BO31)))</formula>
    </cfRule>
    <cfRule type="containsText" dxfId="12" priority="16" stopIfTrue="1" operator="containsText" text="subobs">
      <formula>NOT(ISERROR(SEARCH("subobs",BO31)))</formula>
    </cfRule>
  </conditionalFormatting>
  <conditionalFormatting sqref="BO31:BR31">
    <cfRule type="cellIs" dxfId="11" priority="13" operator="equal">
      <formula>"ps_cover"</formula>
    </cfRule>
    <cfRule type="containsText" dxfId="10" priority="14" stopIfTrue="1" operator="containsText" text="9ab">
      <formula>NOT(ISERROR(SEARCH("9ab",BO31)))</formula>
    </cfRule>
  </conditionalFormatting>
  <conditionalFormatting sqref="BO31:BR31">
    <cfRule type="containsText" dxfId="9" priority="10" operator="containsText" text="b1">
      <formula>NOT(ISERROR(SEARCH("b1",BO31)))</formula>
    </cfRule>
    <cfRule type="cellIs" dxfId="8" priority="11" operator="equal">
      <formula>0</formula>
    </cfRule>
  </conditionalFormatting>
  <conditionalFormatting sqref="BO32:BR37">
    <cfRule type="containsText" dxfId="7" priority="1" operator="containsText" text="(Call)">
      <formula>NOT(ISERROR(SEARCH("(Call)",BO32)))</formula>
    </cfRule>
    <cfRule type="containsText" dxfId="6" priority="4" stopIfTrue="1" operator="containsText" text="go">
      <formula>NOT(ISERROR(SEARCH("go",BO32)))</formula>
    </cfRule>
    <cfRule type="containsText" dxfId="5" priority="7" stopIfTrue="1" operator="containsText" text="ds">
      <formula>NOT(ISERROR(SEARCH("ds",BO32)))</formula>
    </cfRule>
    <cfRule type="containsText" dxfId="4" priority="8" stopIfTrue="1" operator="containsText" text="subobs">
      <formula>NOT(ISERROR(SEARCH("subobs",BO32)))</formula>
    </cfRule>
  </conditionalFormatting>
  <conditionalFormatting sqref="BO32:BR37">
    <cfRule type="cellIs" dxfId="3" priority="5" operator="equal">
      <formula>"ps_cover"</formula>
    </cfRule>
    <cfRule type="containsText" dxfId="2" priority="6" stopIfTrue="1" operator="containsText" text="9ab">
      <formula>NOT(ISERROR(SEARCH("9ab",BO32)))</formula>
    </cfRule>
  </conditionalFormatting>
  <conditionalFormatting sqref="BO32:BR37">
    <cfRule type="containsText" dxfId="1" priority="2" operator="containsText" text="b1">
      <formula>NOT(ISERROR(SEARCH("b1",BO32)))</formula>
    </cfRule>
    <cfRule type="cellIs" dxfId="0" priority="3" operator="equal">
      <formula>0</formula>
    </cfRule>
  </conditionalFormatting>
  <pageMargins left="0.75" right="0.75" top="1" bottom="1" header="0.5" footer="0.5"/>
  <pageSetup paperSize="9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38" operator="containsText" id="{0775F9B2-A437-B245-97E3-2156654ACCB3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A15:A21</xm:sqref>
        </x14:conditionalFormatting>
        <x14:conditionalFormatting xmlns:xm="http://schemas.microsoft.com/office/excel/2006/main">
          <x14:cfRule type="containsText" priority="1224" operator="containsText" id="{D5C45268-0965-D747-9D96-2194D389C870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E15:E20</xm:sqref>
        </x14:conditionalFormatting>
        <x14:conditionalFormatting xmlns:xm="http://schemas.microsoft.com/office/excel/2006/main">
          <x14:cfRule type="containsText" priority="1232" operator="containsText" id="{A73D48C6-522B-2246-9A90-F728B3349F92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E15:E21</xm:sqref>
        </x14:conditionalFormatting>
        <x14:conditionalFormatting xmlns:xm="http://schemas.microsoft.com/office/excel/2006/main">
          <x14:cfRule type="containsText" priority="1186" operator="containsText" id="{915D4C87-272A-3045-B1E0-B1A79E344015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12" operator="containsText" id="{F5C39F70-415F-6E4B-9C64-288DC5357AC4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P15:P20</xm:sqref>
        </x14:conditionalFormatting>
        <x14:conditionalFormatting xmlns:xm="http://schemas.microsoft.com/office/excel/2006/main">
          <x14:cfRule type="containsText" priority="1192" operator="containsText" id="{FA8BF08D-3798-5B44-BDB3-4F70092A182A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56" operator="containsText" id="{55FB8553-7950-FC4E-A007-E11CD5F118F8}">
            <xm:f>NOT(ISERROR(SEARCH("-",P15)))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P15:P21</xm:sqref>
        </x14:conditionalFormatting>
        <x14:conditionalFormatting xmlns:xm="http://schemas.microsoft.com/office/excel/2006/main">
          <x14:cfRule type="containsText" priority="1162" operator="containsText" id="{A2F405D8-EAB9-DD4D-95DD-443F5BB2A106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74" operator="containsText" id="{4342D060-2436-AC47-94D1-67B791D646E5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W15:W20</xm:sqref>
        </x14:conditionalFormatting>
        <x14:conditionalFormatting xmlns:xm="http://schemas.microsoft.com/office/excel/2006/main">
          <x14:cfRule type="containsText" priority="1168" operator="containsText" id="{DCA2B006-9805-9742-8CD6-E3A2BEE43EE7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80" operator="containsText" id="{6AB2E20E-D400-9143-AC89-5B9F154BC0C9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50" operator="containsText" id="{D2AE39F8-32A4-784E-B0E0-B09912A7A2C9}">
            <xm:f>NOT(ISERROR(SEARCH("-",W15)))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W15:W21</xm:sqref>
        </x14:conditionalFormatting>
        <x14:conditionalFormatting xmlns:xm="http://schemas.microsoft.com/office/excel/2006/main">
          <x14:cfRule type="containsText" priority="1138" operator="containsText" id="{9D02D169-B382-2F42-8845-2BA8250BA25D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50" operator="containsText" id="{9138764B-475C-B948-85A5-E4D37ADC6AFC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AD15:AD20</xm:sqref>
        </x14:conditionalFormatting>
        <x14:conditionalFormatting xmlns:xm="http://schemas.microsoft.com/office/excel/2006/main">
          <x14:cfRule type="containsText" priority="1144" operator="containsText" id="{50B11688-837D-834B-8A2C-D8E917126B46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56" operator="containsText" id="{16781534-4BAA-B244-8F13-6CE5318CD26A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244" operator="containsText" id="{82B46465-28DD-304D-A3D0-CB20CAAA5229}">
            <xm:f>NOT(ISERROR(SEARCH("-",AD15)))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AD15:AD21</xm:sqref>
        </x14:conditionalFormatting>
        <x14:conditionalFormatting xmlns:xm="http://schemas.microsoft.com/office/excel/2006/main">
          <x14:cfRule type="containsText" priority="1113" operator="containsText" id="{64469900-0F9C-AD47-B36B-3A0841E0B538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25" operator="containsText" id="{EEC37EA6-9A9B-C547-99CB-98A3750AF729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AK15:AK20</xm:sqref>
        </x14:conditionalFormatting>
        <x14:conditionalFormatting xmlns:xm="http://schemas.microsoft.com/office/excel/2006/main">
          <x14:cfRule type="containsText" priority="1119" operator="containsText" id="{62478129-E638-7049-B6FA-F52625D5DD1F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32" operator="containsText" id="{EC55F808-6D64-194D-906A-262AF539476E}">
            <xm:f>NOT(ISERROR(SEARCH("-",AK15)))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AK15:AK21</xm:sqref>
        </x14:conditionalFormatting>
        <x14:conditionalFormatting xmlns:xm="http://schemas.microsoft.com/office/excel/2006/main">
          <x14:cfRule type="containsText" priority="1088" operator="containsText" id="{B8B3DB7D-B9F9-9D43-AEF8-E0A57F817296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00" operator="containsText" id="{74FE21C0-ED03-AC4F-ABAE-9200BCAB92BF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AR15:AR20</xm:sqref>
        </x14:conditionalFormatting>
        <x14:conditionalFormatting xmlns:xm="http://schemas.microsoft.com/office/excel/2006/main">
          <x14:cfRule type="containsText" priority="1094" operator="containsText" id="{10D08A9F-B7CE-A540-8E3D-E3C7924FC955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107" operator="containsText" id="{2B6DCB4A-A736-E640-ADBB-90542E34617D}">
            <xm:f>NOT(ISERROR(SEARCH("-",AR15)))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AR15:AR21</xm:sqref>
        </x14:conditionalFormatting>
        <x14:conditionalFormatting xmlns:xm="http://schemas.microsoft.com/office/excel/2006/main">
          <x14:cfRule type="containsText" priority="1063" operator="containsText" id="{21D94809-5AB1-5341-A23C-EB469EC4C2D6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75" operator="containsText" id="{A82800F8-81C3-B841-A645-D06B30D24791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AY15:AY20</xm:sqref>
        </x14:conditionalFormatting>
        <x14:conditionalFormatting xmlns:xm="http://schemas.microsoft.com/office/excel/2006/main">
          <x14:cfRule type="containsText" priority="1069" operator="containsText" id="{2060623D-5F5F-7145-BCA9-3490485E8932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82" operator="containsText" id="{B816C4AB-85A7-B74C-952D-60AEA71FC9C0}">
            <xm:f>NOT(ISERROR(SEARCH("-",AY15)))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AY15:AY21</xm:sqref>
        </x14:conditionalFormatting>
        <x14:conditionalFormatting xmlns:xm="http://schemas.microsoft.com/office/excel/2006/main">
          <x14:cfRule type="containsText" priority="1038" operator="containsText" id="{760314DA-A647-FC47-8F5A-8E1A12464923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50" operator="containsText" id="{406B011A-8001-0D44-9655-A12B1E8FA743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BF15:BF20</xm:sqref>
        </x14:conditionalFormatting>
        <x14:conditionalFormatting xmlns:xm="http://schemas.microsoft.com/office/excel/2006/main">
          <x14:cfRule type="containsText" priority="1044" operator="containsText" id="{8A578161-B1ED-BC4B-9BE1-E356BFE15B83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57" operator="containsText" id="{3B239A98-9B77-2B41-843F-609289CEAAE9}">
            <xm:f>NOT(ISERROR(SEARCH("-",BF15)))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BF15:BF21</xm:sqref>
        </x14:conditionalFormatting>
        <x14:conditionalFormatting xmlns:xm="http://schemas.microsoft.com/office/excel/2006/main">
          <x14:cfRule type="containsText" priority="1013" operator="containsText" id="{67568B86-80E3-DE4E-9284-834D69155CCB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25" operator="containsText" id="{DA9FD308-222C-0E42-82DD-5FFACCFE3324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BM15:BM20</xm:sqref>
        </x14:conditionalFormatting>
        <x14:conditionalFormatting xmlns:xm="http://schemas.microsoft.com/office/excel/2006/main">
          <x14:cfRule type="containsText" priority="1019" operator="containsText" id="{4D1A6149-5FBA-5649-AE67-CF02BBFE1FF0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32" operator="containsText" id="{17795F37-28CC-3840-9E2E-E5A538A670E8}">
            <xm:f>NOT(ISERROR(SEARCH("-",BM15)))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BM15:BM21</xm:sqref>
        </x14:conditionalFormatting>
        <x14:conditionalFormatting xmlns:xm="http://schemas.microsoft.com/office/excel/2006/main">
          <x14:cfRule type="containsText" priority="981" operator="containsText" id="{C15CE91B-EE28-C54D-B923-6C52B53301A4}">
            <xm:f>NOT(ISERROR(SEARCH("-",A23)))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A23:A30</xm:sqref>
        </x14:conditionalFormatting>
        <x14:conditionalFormatting xmlns:xm="http://schemas.microsoft.com/office/excel/2006/main">
          <x14:cfRule type="containsText" priority="968" operator="containsText" id="{3C07C0D4-8025-4342-888D-91970F767661}">
            <xm:f>NOT(ISERROR(SEARCH("-",E23)))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E23:E28</xm:sqref>
        </x14:conditionalFormatting>
        <x14:conditionalFormatting xmlns:xm="http://schemas.microsoft.com/office/excel/2006/main">
          <x14:cfRule type="containsText" priority="975" operator="containsText" id="{8A643763-D66F-C34E-B3AA-B43095E08E03}">
            <xm:f>NOT(ISERROR(SEARCH("-",E23)))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E23:E30</xm:sqref>
        </x14:conditionalFormatting>
        <x14:conditionalFormatting xmlns:xm="http://schemas.microsoft.com/office/excel/2006/main">
          <x14:cfRule type="containsText" priority="944" operator="containsText" id="{D55BFFED-A6EA-5B44-88A0-5689A5D2AFD9}">
            <xm:f>NOT(ISERROR(SEARCH("-",I23)))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62" operator="containsText" id="{5A0D6C7B-EFF0-A444-9612-456A15814DA6}">
            <xm:f>NOT(ISERROR(SEARCH("-",I23)))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I23:I28</xm:sqref>
        </x14:conditionalFormatting>
        <x14:conditionalFormatting xmlns:xm="http://schemas.microsoft.com/office/excel/2006/main">
          <x14:cfRule type="containsText" priority="950" operator="containsText" id="{C83D5EC7-92CD-F642-9DA9-133392F2F1E7}">
            <xm:f>NOT(ISERROR(SEARCH("-",I23)))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I23:I30</xm:sqref>
        </x14:conditionalFormatting>
        <x14:conditionalFormatting xmlns:xm="http://schemas.microsoft.com/office/excel/2006/main">
          <x14:cfRule type="containsText" priority="932" operator="containsText" id="{A165993B-95EF-6D48-959B-B5C4717D63AA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56" operator="containsText" id="{264DFDBB-1E81-1A47-9324-E54BB6B939B4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P23:P28</xm:sqref>
        </x14:conditionalFormatting>
        <x14:conditionalFormatting xmlns:xm="http://schemas.microsoft.com/office/excel/2006/main">
          <x14:cfRule type="containsText" priority="938" operator="containsText" id="{283F1970-A9EE-5D41-87FB-22B930C00A1B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99" operator="containsText" id="{BDAD443B-4F34-6B42-A864-CEF1E819F38E}">
            <xm:f>NOT(ISERROR(SEARCH("-",P23)))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P23:P30</xm:sqref>
        </x14:conditionalFormatting>
        <x14:conditionalFormatting xmlns:xm="http://schemas.microsoft.com/office/excel/2006/main">
          <x14:cfRule type="containsText" priority="908" operator="containsText" id="{E150C27B-1FEB-3E47-B599-FED1703BB4D2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20" operator="containsText" id="{D615B9E8-B6AE-EF41-9D0D-6EC121BE1CD0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W23:W28</xm:sqref>
        </x14:conditionalFormatting>
        <x14:conditionalFormatting xmlns:xm="http://schemas.microsoft.com/office/excel/2006/main">
          <x14:cfRule type="containsText" priority="914" operator="containsText" id="{88CE2624-AEB4-6C43-A266-FFBE9B81FE1C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26" operator="containsText" id="{3890ADFA-A0E4-2A49-9D85-A3131724AA0B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93" operator="containsText" id="{B0CF1C5C-83D6-A845-8AB6-FE7AFA154314}">
            <xm:f>NOT(ISERROR(SEARCH("-",W23)))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W23:W30</xm:sqref>
        </x14:conditionalFormatting>
        <x14:conditionalFormatting xmlns:xm="http://schemas.microsoft.com/office/excel/2006/main">
          <x14:cfRule type="containsText" priority="884" operator="containsText" id="{CE3E711F-6841-D546-B513-7FDC2F86BD5A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96" operator="containsText" id="{233F4898-5CD8-FB4E-9D6D-76568E294E50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AD23:AD28</xm:sqref>
        </x14:conditionalFormatting>
        <x14:conditionalFormatting xmlns:xm="http://schemas.microsoft.com/office/excel/2006/main">
          <x14:cfRule type="containsText" priority="890" operator="containsText" id="{09B2F151-412B-6C4D-8F10-7FB079CD9C06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02" operator="containsText" id="{980C8734-5557-E245-9D98-5E4ED71FD5C9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987" operator="containsText" id="{C8ACC9EE-1DA3-1E41-9986-34D87DAF0466}">
            <xm:f>NOT(ISERROR(SEARCH("-",AD23)))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AD23:AD30</xm:sqref>
        </x14:conditionalFormatting>
        <x14:conditionalFormatting xmlns:xm="http://schemas.microsoft.com/office/excel/2006/main">
          <x14:cfRule type="containsText" priority="859" operator="containsText" id="{C3AD1F7F-B062-8149-8649-84F41913173B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71" operator="containsText" id="{C52A404D-F252-5645-ADF4-2314AEFFDD64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AK23:AK28</xm:sqref>
        </x14:conditionalFormatting>
        <x14:conditionalFormatting xmlns:xm="http://schemas.microsoft.com/office/excel/2006/main">
          <x14:cfRule type="containsText" priority="865" operator="containsText" id="{5F2F5D06-BBA2-B249-AC0D-DC5084D3896F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78" operator="containsText" id="{C9AC5143-B66D-D240-A80B-5AFB3230E218}">
            <xm:f>NOT(ISERROR(SEARCH("-",AK23)))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AK23:AK30</xm:sqref>
        </x14:conditionalFormatting>
        <x14:conditionalFormatting xmlns:xm="http://schemas.microsoft.com/office/excel/2006/main">
          <x14:cfRule type="containsText" priority="834" operator="containsText" id="{F1F9C8E8-9B3C-8445-AB78-9FF675B70DC9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46" operator="containsText" id="{7EDDDFAD-A71D-8241-B136-7BF8F72F5B6B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AR23:AR28</xm:sqref>
        </x14:conditionalFormatting>
        <x14:conditionalFormatting xmlns:xm="http://schemas.microsoft.com/office/excel/2006/main">
          <x14:cfRule type="containsText" priority="840" operator="containsText" id="{E257BE3F-3DAC-B54D-AC60-0C7010DF67A4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53" operator="containsText" id="{E31C9E90-5198-E740-BCC8-5783F56079E5}">
            <xm:f>NOT(ISERROR(SEARCH("-",AR23)))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AR23:AR30</xm:sqref>
        </x14:conditionalFormatting>
        <x14:conditionalFormatting xmlns:xm="http://schemas.microsoft.com/office/excel/2006/main">
          <x14:cfRule type="containsText" priority="809" operator="containsText" id="{7958657E-A77B-D641-B71A-F84CC52EAC7A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21" operator="containsText" id="{E5E304A2-3681-8746-8B6C-AB564787526A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AY23:AY28</xm:sqref>
        </x14:conditionalFormatting>
        <x14:conditionalFormatting xmlns:xm="http://schemas.microsoft.com/office/excel/2006/main">
          <x14:cfRule type="containsText" priority="815" operator="containsText" id="{2F00F749-2037-5541-AAD5-050796566690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28" operator="containsText" id="{8BD17A97-9FAD-0149-9FAB-A6AE875C5376}">
            <xm:f>NOT(ISERROR(SEARCH("-",AY23)))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AY23:AY30</xm:sqref>
        </x14:conditionalFormatting>
        <x14:conditionalFormatting xmlns:xm="http://schemas.microsoft.com/office/excel/2006/main">
          <x14:cfRule type="containsText" priority="784" operator="containsText" id="{FA28BAE6-4DCF-2346-A452-455F8354BD19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96" operator="containsText" id="{A74AF64B-7BB5-1443-A68F-C19E74E619A8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BF23:BF28</xm:sqref>
        </x14:conditionalFormatting>
        <x14:conditionalFormatting xmlns:xm="http://schemas.microsoft.com/office/excel/2006/main">
          <x14:cfRule type="containsText" priority="790" operator="containsText" id="{913C9A6D-6F80-D84B-9328-4C5F621B16CE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803" operator="containsText" id="{CE1031F5-F267-8949-A810-D64D770A1F94}">
            <xm:f>NOT(ISERROR(SEARCH("-",BF23)))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BF23:BF30</xm:sqref>
        </x14:conditionalFormatting>
        <x14:conditionalFormatting xmlns:xm="http://schemas.microsoft.com/office/excel/2006/main">
          <x14:cfRule type="containsText" priority="759" operator="containsText" id="{C2D4B47C-E83C-9649-A3E8-CFC574F3353D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71" operator="containsText" id="{7DA79256-9F8D-CE49-AFBB-99BA3E4C9648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BM23:BM28</xm:sqref>
        </x14:conditionalFormatting>
        <x14:conditionalFormatting xmlns:xm="http://schemas.microsoft.com/office/excel/2006/main">
          <x14:cfRule type="containsText" priority="765" operator="containsText" id="{C43AA0A8-036C-B749-81E8-FB191C7EB59A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78" operator="containsText" id="{7658DE00-73E4-014C-B527-5F382B1D6146}">
            <xm:f>NOT(ISERROR(SEARCH("-",BM23)))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BM23:BM30</xm:sqref>
        </x14:conditionalFormatting>
        <x14:conditionalFormatting xmlns:xm="http://schemas.microsoft.com/office/excel/2006/main">
          <x14:cfRule type="containsText" priority="747" operator="containsText" id="{E8762403-C849-134C-BF81-519B8823B19A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E15:E20</xm:sqref>
        </x14:conditionalFormatting>
        <x14:conditionalFormatting xmlns:xm="http://schemas.microsoft.com/office/excel/2006/main">
          <x14:cfRule type="containsText" priority="693" operator="containsText" id="{1A1E36CB-928C-CE46-86C6-ABEFD6E32CCF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05" operator="containsText" id="{76DA0E8D-FB40-1A43-B59D-2F7B576BF98C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E15:E20</xm:sqref>
        </x14:conditionalFormatting>
        <x14:conditionalFormatting xmlns:xm="http://schemas.microsoft.com/office/excel/2006/main">
          <x14:cfRule type="containsText" priority="699" operator="containsText" id="{AD83ED7D-A90A-0340-8275-EFE0D1851388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711" operator="containsText" id="{D26A3D93-5394-3641-8BCB-48244D31F036}">
            <xm:f>NOT(ISERROR(SEARCH("-",E15)))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E15:E20</xm:sqref>
        </x14:conditionalFormatting>
        <x14:conditionalFormatting xmlns:xm="http://schemas.microsoft.com/office/excel/2006/main">
          <x14:cfRule type="containsText" priority="668" operator="containsText" id="{61957C04-71F7-094E-9665-2861E1C450F2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80" operator="containsText" id="{5A330C87-5F47-1C4E-A19C-57E4EDCA3D3C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A15:A20</xm:sqref>
        </x14:conditionalFormatting>
        <x14:conditionalFormatting xmlns:xm="http://schemas.microsoft.com/office/excel/2006/main">
          <x14:cfRule type="containsText" priority="674" operator="containsText" id="{2E6A716C-4374-D446-ADDC-722623748603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87" operator="containsText" id="{621C500F-866D-2F4C-9F97-58CD1631DEF6}">
            <xm:f>NOT(ISERROR(SEARCH("-",A15)))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A15:A20</xm:sqref>
        </x14:conditionalFormatting>
        <x14:conditionalFormatting xmlns:xm="http://schemas.microsoft.com/office/excel/2006/main">
          <x14:cfRule type="containsText" priority="649" operator="containsText" id="{9FFCCB64-F2B2-8A4E-B092-E414B501BB4D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E32:E37</xm:sqref>
        </x14:conditionalFormatting>
        <x14:conditionalFormatting xmlns:xm="http://schemas.microsoft.com/office/excel/2006/main">
          <x14:cfRule type="containsText" priority="656" operator="containsText" id="{4470AFB1-57CE-6447-BB05-26616BAEB711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E32:E37</xm:sqref>
        </x14:conditionalFormatting>
        <x14:conditionalFormatting xmlns:xm="http://schemas.microsoft.com/office/excel/2006/main">
          <x14:cfRule type="containsText" priority="641" operator="containsText" id="{A438070C-E119-374E-88D4-7C51D5B7C1B6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E32:E37</xm:sqref>
        </x14:conditionalFormatting>
        <x14:conditionalFormatting xmlns:xm="http://schemas.microsoft.com/office/excel/2006/main">
          <x14:cfRule type="containsText" priority="617" operator="containsText" id="{FF12CF8B-90CA-F84B-8E82-37667513EEED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29" operator="containsText" id="{5DB60CB3-91B8-E447-9106-2DCFF773CD4B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E32:E37</xm:sqref>
        </x14:conditionalFormatting>
        <x14:conditionalFormatting xmlns:xm="http://schemas.microsoft.com/office/excel/2006/main">
          <x14:cfRule type="containsText" priority="623" operator="containsText" id="{215A62DD-7F3C-7844-BCB7-AE3306A078A0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635" operator="containsText" id="{CDFFB657-1A20-D640-B356-2DD11A615DC5}">
            <xm:f>NOT(ISERROR(SEARCH("-",E32)))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E32:E37</xm:sqref>
        </x14:conditionalFormatting>
        <x14:conditionalFormatting xmlns:xm="http://schemas.microsoft.com/office/excel/2006/main">
          <x14:cfRule type="containsText" priority="583" operator="containsText" id="{2615D3C3-4C78-4141-AC7A-D54CA2DE9838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I32:I37</xm:sqref>
        </x14:conditionalFormatting>
        <x14:conditionalFormatting xmlns:xm="http://schemas.microsoft.com/office/excel/2006/main">
          <x14:cfRule type="containsText" priority="590" operator="containsText" id="{0F73BC4E-07AE-CB4F-B896-93ADDFA101EE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I32:I37</xm:sqref>
        </x14:conditionalFormatting>
        <x14:conditionalFormatting xmlns:xm="http://schemas.microsoft.com/office/excel/2006/main">
          <x14:cfRule type="containsText" priority="575" operator="containsText" id="{DF195CDE-66D7-EC43-A328-E8487B451BE6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I32:I37</xm:sqref>
        </x14:conditionalFormatting>
        <x14:conditionalFormatting xmlns:xm="http://schemas.microsoft.com/office/excel/2006/main">
          <x14:cfRule type="containsText" priority="551" operator="containsText" id="{D48CC43E-D99A-7240-BFC5-DA9641ECD0ED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63" operator="containsText" id="{1A806C54-9A5F-4648-89E1-02470D55BB8A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I32:I37</xm:sqref>
        </x14:conditionalFormatting>
        <x14:conditionalFormatting xmlns:xm="http://schemas.microsoft.com/office/excel/2006/main">
          <x14:cfRule type="containsText" priority="557" operator="containsText" id="{EE412BF6-A7BB-374C-8DD2-DC08DB659348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69" operator="containsText" id="{1C4871BF-ABCA-0146-B1A0-F703EA66FF00}">
            <xm:f>NOT(ISERROR(SEARCH("-",I32)))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I32:I37</xm:sqref>
        </x14:conditionalFormatting>
        <x14:conditionalFormatting xmlns:xm="http://schemas.microsoft.com/office/excel/2006/main">
          <x14:cfRule type="containsText" priority="517" operator="containsText" id="{AF11E378-3620-C14E-BB36-12C77A05F7D0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P32:P37</xm:sqref>
        </x14:conditionalFormatting>
        <x14:conditionalFormatting xmlns:xm="http://schemas.microsoft.com/office/excel/2006/main">
          <x14:cfRule type="containsText" priority="524" operator="containsText" id="{D432C26C-DE79-764A-B468-02DE503BAA2B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P32:P37</xm:sqref>
        </x14:conditionalFormatting>
        <x14:conditionalFormatting xmlns:xm="http://schemas.microsoft.com/office/excel/2006/main">
          <x14:cfRule type="containsText" priority="509" operator="containsText" id="{AD95657B-A108-1C43-AFB1-94A6A29D1829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P32:P37</xm:sqref>
        </x14:conditionalFormatting>
        <x14:conditionalFormatting xmlns:xm="http://schemas.microsoft.com/office/excel/2006/main">
          <x14:cfRule type="containsText" priority="485" operator="containsText" id="{E4802193-BB84-2D44-8BF1-96841C4A4F33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97" operator="containsText" id="{6442EA0A-4A59-604F-83DF-EB3EA1682658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P32:P37</xm:sqref>
        </x14:conditionalFormatting>
        <x14:conditionalFormatting xmlns:xm="http://schemas.microsoft.com/office/excel/2006/main">
          <x14:cfRule type="containsText" priority="491" operator="containsText" id="{F20D2922-F6CC-984C-BCEC-621D25A94132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503" operator="containsText" id="{7DCB52CE-9585-0644-AFA5-5475E2116FCF}">
            <xm:f>NOT(ISERROR(SEARCH("-",P32)))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P32:P37</xm:sqref>
        </x14:conditionalFormatting>
        <x14:conditionalFormatting xmlns:xm="http://schemas.microsoft.com/office/excel/2006/main">
          <x14:cfRule type="containsText" priority="451" operator="containsText" id="{59353037-1765-EC4B-AE44-FB22BD9A1BB2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W32:W37</xm:sqref>
        </x14:conditionalFormatting>
        <x14:conditionalFormatting xmlns:xm="http://schemas.microsoft.com/office/excel/2006/main">
          <x14:cfRule type="containsText" priority="458" operator="containsText" id="{8DC0A8F4-B4BF-4742-8ADA-13CF36423487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W32:W37</xm:sqref>
        </x14:conditionalFormatting>
        <x14:conditionalFormatting xmlns:xm="http://schemas.microsoft.com/office/excel/2006/main">
          <x14:cfRule type="containsText" priority="443" operator="containsText" id="{E903A386-4C64-8C48-9908-591EE29882C8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W32:W37</xm:sqref>
        </x14:conditionalFormatting>
        <x14:conditionalFormatting xmlns:xm="http://schemas.microsoft.com/office/excel/2006/main">
          <x14:cfRule type="containsText" priority="419" operator="containsText" id="{B26B4FA1-73C2-2449-95C3-7E0F3ADF074A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31" operator="containsText" id="{52E1D5B5-903C-7240-B92D-6EAFD6A2C3B8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W32:W37</xm:sqref>
        </x14:conditionalFormatting>
        <x14:conditionalFormatting xmlns:xm="http://schemas.microsoft.com/office/excel/2006/main">
          <x14:cfRule type="containsText" priority="425" operator="containsText" id="{FA3C4F53-087A-8F44-92E8-AED125E3B6AB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37" operator="containsText" id="{9EBFFA61-2A07-9F49-AD82-55823F73988E}">
            <xm:f>NOT(ISERROR(SEARCH("-",W32)))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W32:W37</xm:sqref>
        </x14:conditionalFormatting>
        <x14:conditionalFormatting xmlns:xm="http://schemas.microsoft.com/office/excel/2006/main">
          <x14:cfRule type="containsText" priority="385" operator="containsText" id="{0920051C-F3FC-E842-9935-D367D2D996BC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AD32:AD37</xm:sqref>
        </x14:conditionalFormatting>
        <x14:conditionalFormatting xmlns:xm="http://schemas.microsoft.com/office/excel/2006/main">
          <x14:cfRule type="containsText" priority="392" operator="containsText" id="{FF755D50-0BDA-7641-8345-5F14A193E77A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AD32:AD37</xm:sqref>
        </x14:conditionalFormatting>
        <x14:conditionalFormatting xmlns:xm="http://schemas.microsoft.com/office/excel/2006/main">
          <x14:cfRule type="containsText" priority="377" operator="containsText" id="{91FBCBFC-9599-C54C-BDCF-B307229BE72B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AD32:AD37</xm:sqref>
        </x14:conditionalFormatting>
        <x14:conditionalFormatting xmlns:xm="http://schemas.microsoft.com/office/excel/2006/main">
          <x14:cfRule type="containsText" priority="353" operator="containsText" id="{1351CFE2-8E4D-5648-9287-5A75AE22C276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65" operator="containsText" id="{D7424679-B26A-A74F-9DEF-B4C39F7FD654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AD32:AD37</xm:sqref>
        </x14:conditionalFormatting>
        <x14:conditionalFormatting xmlns:xm="http://schemas.microsoft.com/office/excel/2006/main">
          <x14:cfRule type="containsText" priority="359" operator="containsText" id="{02D492E4-DC51-E04B-ACB0-56B6308D4610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71" operator="containsText" id="{CC3B0D6D-57F6-334D-897A-2FAD23C6F9CB}">
            <xm:f>NOT(ISERROR(SEARCH("-",AD32)))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AD32:AD37</xm:sqref>
        </x14:conditionalFormatting>
        <x14:conditionalFormatting xmlns:xm="http://schemas.microsoft.com/office/excel/2006/main">
          <x14:cfRule type="containsText" priority="319" operator="containsText" id="{F1DC9278-2A7D-6043-93DB-B060F609B8F0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AK32:AK37</xm:sqref>
        </x14:conditionalFormatting>
        <x14:conditionalFormatting xmlns:xm="http://schemas.microsoft.com/office/excel/2006/main">
          <x14:cfRule type="containsText" priority="326" operator="containsText" id="{E999DBA1-AA14-B546-8609-5FEDC4EB7EE7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AK32:AK37</xm:sqref>
        </x14:conditionalFormatting>
        <x14:conditionalFormatting xmlns:xm="http://schemas.microsoft.com/office/excel/2006/main">
          <x14:cfRule type="containsText" priority="311" operator="containsText" id="{108A9C4D-BB41-9D4D-BF74-07362A7582D4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AK32:AK37</xm:sqref>
        </x14:conditionalFormatting>
        <x14:conditionalFormatting xmlns:xm="http://schemas.microsoft.com/office/excel/2006/main">
          <x14:cfRule type="containsText" priority="287" operator="containsText" id="{ECE15F49-7F19-A548-992D-4A4C7A204200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99" operator="containsText" id="{1B9076B6-DB8B-0D45-A44D-79B701F52828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AK32:AK37</xm:sqref>
        </x14:conditionalFormatting>
        <x14:conditionalFormatting xmlns:xm="http://schemas.microsoft.com/office/excel/2006/main">
          <x14:cfRule type="containsText" priority="293" operator="containsText" id="{F2FD0A83-C140-B745-9C0F-90D7441E1394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05" operator="containsText" id="{DCB61030-6E73-8143-997E-C35323726CBE}">
            <xm:f>NOT(ISERROR(SEARCH("-",AK32)))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AK32:AK37</xm:sqref>
        </x14:conditionalFormatting>
        <x14:conditionalFormatting xmlns:xm="http://schemas.microsoft.com/office/excel/2006/main">
          <x14:cfRule type="containsText" priority="253" operator="containsText" id="{ECE0796C-1129-8549-88EE-90348AB41EB7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AR32:AR37</xm:sqref>
        </x14:conditionalFormatting>
        <x14:conditionalFormatting xmlns:xm="http://schemas.microsoft.com/office/excel/2006/main">
          <x14:cfRule type="containsText" priority="260" operator="containsText" id="{368AF28D-176A-6244-A410-93453086C301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AR32:AR37</xm:sqref>
        </x14:conditionalFormatting>
        <x14:conditionalFormatting xmlns:xm="http://schemas.microsoft.com/office/excel/2006/main">
          <x14:cfRule type="containsText" priority="245" operator="containsText" id="{870BD74A-E13D-764E-B46B-8A630F364DB7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AR32:AR37</xm:sqref>
        </x14:conditionalFormatting>
        <x14:conditionalFormatting xmlns:xm="http://schemas.microsoft.com/office/excel/2006/main">
          <x14:cfRule type="containsText" priority="221" operator="containsText" id="{698A4CBC-972B-DD4F-845E-E39E53E13D67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33" operator="containsText" id="{1D711C5C-ED50-6F44-8D35-F0DC432203FB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AR32:AR37</xm:sqref>
        </x14:conditionalFormatting>
        <x14:conditionalFormatting xmlns:xm="http://schemas.microsoft.com/office/excel/2006/main">
          <x14:cfRule type="containsText" priority="227" operator="containsText" id="{0AC3087A-581E-BF4D-8086-D79B2D726EA0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239" operator="containsText" id="{2B63F29B-6491-9A4F-8C7B-6B2B171DBE69}">
            <xm:f>NOT(ISERROR(SEARCH("-",AR32)))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AR32:AR37</xm:sqref>
        </x14:conditionalFormatting>
        <x14:conditionalFormatting xmlns:xm="http://schemas.microsoft.com/office/excel/2006/main">
          <x14:cfRule type="containsText" priority="187" operator="containsText" id="{DDBD19FD-2BD3-1B46-BE85-0DD9DDD30DF4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AY32:AY37</xm:sqref>
        </x14:conditionalFormatting>
        <x14:conditionalFormatting xmlns:xm="http://schemas.microsoft.com/office/excel/2006/main">
          <x14:cfRule type="containsText" priority="194" operator="containsText" id="{29C284F7-B374-304B-9E5C-DBD1946B6E29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AY32:AY37</xm:sqref>
        </x14:conditionalFormatting>
        <x14:conditionalFormatting xmlns:xm="http://schemas.microsoft.com/office/excel/2006/main">
          <x14:cfRule type="containsText" priority="179" operator="containsText" id="{C9145498-8C8B-E042-9365-1D711A06991D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AY32:AY37</xm:sqref>
        </x14:conditionalFormatting>
        <x14:conditionalFormatting xmlns:xm="http://schemas.microsoft.com/office/excel/2006/main">
          <x14:cfRule type="containsText" priority="155" operator="containsText" id="{83F5107E-43E4-1447-9F05-F0E15E13910A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67" operator="containsText" id="{805774E1-D4B5-1D4C-B77F-B738B792A692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AY32:AY37</xm:sqref>
        </x14:conditionalFormatting>
        <x14:conditionalFormatting xmlns:xm="http://schemas.microsoft.com/office/excel/2006/main">
          <x14:cfRule type="containsText" priority="161" operator="containsText" id="{83452A41-AE04-A349-ABD5-8E9B2DC36919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73" operator="containsText" id="{A494E311-D5E4-9245-8D5E-95ACDA24E8B5}">
            <xm:f>NOT(ISERROR(SEARCH("-",AY32)))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AY32:AY37</xm:sqref>
        </x14:conditionalFormatting>
        <x14:conditionalFormatting xmlns:xm="http://schemas.microsoft.com/office/excel/2006/main">
          <x14:cfRule type="containsText" priority="121" operator="containsText" id="{22ABD372-E4CF-3F48-91C4-CEF96128F0A0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BF32:BF37</xm:sqref>
        </x14:conditionalFormatting>
        <x14:conditionalFormatting xmlns:xm="http://schemas.microsoft.com/office/excel/2006/main">
          <x14:cfRule type="containsText" priority="128" operator="containsText" id="{0CA5AE23-934E-584F-B282-3B240A323D5C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BF32:BF37</xm:sqref>
        </x14:conditionalFormatting>
        <x14:conditionalFormatting xmlns:xm="http://schemas.microsoft.com/office/excel/2006/main">
          <x14:cfRule type="containsText" priority="113" operator="containsText" id="{6CB6D13C-F335-B447-8EAB-DDA8C3374B54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BF32:BF37</xm:sqref>
        </x14:conditionalFormatting>
        <x14:conditionalFormatting xmlns:xm="http://schemas.microsoft.com/office/excel/2006/main">
          <x14:cfRule type="containsText" priority="89" operator="containsText" id="{882BD9F7-4F1F-BB45-B57A-135316D9D884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1" operator="containsText" id="{78ABBD37-7A1E-704B-8991-D5B0CB76355A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BF32:BF37</xm:sqref>
        </x14:conditionalFormatting>
        <x14:conditionalFormatting xmlns:xm="http://schemas.microsoft.com/office/excel/2006/main">
          <x14:cfRule type="containsText" priority="95" operator="containsText" id="{391F7257-E97A-BA4D-BDB6-2B6651671D30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107" operator="containsText" id="{7C9406CE-B013-7B44-8936-46C36D34A9A5}">
            <xm:f>NOT(ISERROR(SEARCH("-",BF32)))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BF32:BF37</xm:sqref>
        </x14:conditionalFormatting>
        <x14:conditionalFormatting xmlns:xm="http://schemas.microsoft.com/office/excel/2006/main">
          <x14:cfRule type="containsText" priority="55" operator="containsText" id="{39AA1D03-BAAB-EB49-910F-B68060691B5C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BM32:BM37</xm:sqref>
        </x14:conditionalFormatting>
        <x14:conditionalFormatting xmlns:xm="http://schemas.microsoft.com/office/excel/2006/main">
          <x14:cfRule type="containsText" priority="62" operator="containsText" id="{506D7AFB-46FD-0A43-8C67-55E21B63EE14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BM32:BM37</xm:sqref>
        </x14:conditionalFormatting>
        <x14:conditionalFormatting xmlns:xm="http://schemas.microsoft.com/office/excel/2006/main">
          <x14:cfRule type="containsText" priority="47" operator="containsText" id="{006D23E6-5A75-3143-9553-77EABB960B12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BM32:BM37</xm:sqref>
        </x14:conditionalFormatting>
        <x14:conditionalFormatting xmlns:xm="http://schemas.microsoft.com/office/excel/2006/main">
          <x14:cfRule type="containsText" priority="23" operator="containsText" id="{C44D2CAE-CEAB-AF47-ABA2-4A29B4811CF4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35" operator="containsText" id="{59ECB763-826E-6E42-B267-7132D864DD67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BM32:BM37</xm:sqref>
        </x14:conditionalFormatting>
        <x14:conditionalFormatting xmlns:xm="http://schemas.microsoft.com/office/excel/2006/main">
          <x14:cfRule type="containsText" priority="29" operator="containsText" id="{593FAB89-4E2B-4247-A72A-2F227C7E2E91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14:cfRule type="containsText" priority="41" operator="containsText" id="{B5518B81-C4C7-6D4D-AFE8-54E6911B1264}">
            <xm:f>NOT(ISERROR(SEARCH("-",BM32)))</xm:f>
            <xm:f>"-"</xm:f>
            <x14:dxf>
              <fill>
                <patternFill>
                  <bgColor theme="0" tint="-0.499984740745262"/>
                </patternFill>
              </fill>
            </x14:dxf>
          </x14:cfRule>
          <xm:sqref>BM32:BM37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Xuyuan Tang</dc:creator>
  <cp:lastModifiedBy>Xuyuan Tang</cp:lastModifiedBy>
  <cp:lastPrinted>2026-09-21T06:19:05Z</cp:lastPrinted>
  <dcterms:created xsi:type="dcterms:W3CDTF">2026-09-21T06:19:58Z</dcterms:created>
  <dcterms:modified xsi:type="dcterms:W3CDTF">2026-09-22T08:52:27Z</dcterms:modified>
</cp:coreProperties>
</file>