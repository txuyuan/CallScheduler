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xuyuan/Dev/pythonProjects/CallScheduler/"/>
    </mc:Choice>
  </mc:AlternateContent>
  <xr:revisionPtr revIDLastSave="0" documentId="8_{EF5D45C3-BD00-A546-8A9A-B7C0B8EAD288}" xr6:coauthVersionLast="47" xr6:coauthVersionMax="47" xr10:uidLastSave="{00000000-0000-0000-0000-000000000000}"/>
  <bookViews>
    <workbookView xWindow="-60" yWindow="600" windowWidth="28800" windowHeight="17400" activeTab="1" xr2:uid="{21295E27-03F2-7648-A894-650B76265762}"/>
  </bookViews>
  <sheets>
    <sheet name="old (2)" sheetId="13" r:id="rId1"/>
    <sheet name="roster" sheetId="1" r:id="rId2"/>
    <sheet name="input_leaves_blockouts" sheetId="5" r:id="rId3"/>
    <sheet name="input_teams" sheetId="11" r:id="rId4"/>
    <sheet name="input_calls" sheetId="12" r:id="rId5"/>
    <sheet name="input_team_requirements" sheetId="9" r:id="rId6"/>
    <sheet name="input_call_requirements" sheetId="10" r:id="rId7"/>
  </sheets>
  <definedNames>
    <definedName name="_xlnm._FilterDatabase" localSheetId="0" hidden="1">'old (2)'!$E$1:$BN$30</definedName>
    <definedName name="_xlnm._FilterDatabase" localSheetId="1" hidden="1">roster!$C$1:$BH$33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24" i="1" l="1"/>
  <c r="BH23" i="1"/>
  <c r="BH22" i="1"/>
  <c r="BH21" i="1"/>
  <c r="BH20" i="1"/>
  <c r="BH19" i="1"/>
  <c r="BH18" i="1"/>
  <c r="BH40" i="1"/>
  <c r="BH39" i="1"/>
  <c r="BH38" i="1"/>
  <c r="BH37" i="1"/>
  <c r="BH36" i="1"/>
  <c r="BH35" i="1"/>
  <c r="BE40" i="1"/>
  <c r="BD40" i="1"/>
  <c r="BC40" i="1"/>
  <c r="BB40" i="1"/>
  <c r="BA40" i="1"/>
  <c r="BE39" i="1"/>
  <c r="BD39" i="1"/>
  <c r="BC39" i="1"/>
  <c r="BB39" i="1"/>
  <c r="BA39" i="1"/>
  <c r="BE38" i="1"/>
  <c r="BD38" i="1"/>
  <c r="BC38" i="1"/>
  <c r="BB38" i="1"/>
  <c r="BA38" i="1"/>
  <c r="BE37" i="1"/>
  <c r="BD37" i="1"/>
  <c r="BC37" i="1"/>
  <c r="BB37" i="1"/>
  <c r="BA37" i="1"/>
  <c r="BE36" i="1"/>
  <c r="BD36" i="1"/>
  <c r="BC36" i="1"/>
  <c r="BB36" i="1"/>
  <c r="BA36" i="1"/>
  <c r="BE35" i="1"/>
  <c r="BD35" i="1"/>
  <c r="BC35" i="1"/>
  <c r="BB35" i="1"/>
  <c r="BA35" i="1"/>
  <c r="AX40" i="1"/>
  <c r="AW40" i="1"/>
  <c r="AV40" i="1"/>
  <c r="AU40" i="1"/>
  <c r="AT40" i="1"/>
  <c r="AX39" i="1"/>
  <c r="AW39" i="1"/>
  <c r="AV39" i="1"/>
  <c r="AU39" i="1"/>
  <c r="AT39" i="1"/>
  <c r="AX38" i="1"/>
  <c r="AW38" i="1"/>
  <c r="AV38" i="1"/>
  <c r="AU38" i="1"/>
  <c r="AT38" i="1"/>
  <c r="AX37" i="1"/>
  <c r="AW37" i="1"/>
  <c r="AV37" i="1"/>
  <c r="AU37" i="1"/>
  <c r="AT37" i="1"/>
  <c r="AX36" i="1"/>
  <c r="AW36" i="1"/>
  <c r="AV36" i="1"/>
  <c r="AU36" i="1"/>
  <c r="AT36" i="1"/>
  <c r="AX35" i="1"/>
  <c r="AW35" i="1"/>
  <c r="AV35" i="1"/>
  <c r="AU35" i="1"/>
  <c r="AT35" i="1"/>
  <c r="AQ40" i="1"/>
  <c r="AP40" i="1"/>
  <c r="AO40" i="1"/>
  <c r="AN40" i="1"/>
  <c r="AM40" i="1"/>
  <c r="AQ39" i="1"/>
  <c r="AP39" i="1"/>
  <c r="AO39" i="1"/>
  <c r="AN39" i="1"/>
  <c r="AM39" i="1"/>
  <c r="AQ38" i="1"/>
  <c r="AP38" i="1"/>
  <c r="AO38" i="1"/>
  <c r="AN38" i="1"/>
  <c r="AM38" i="1"/>
  <c r="AQ37" i="1"/>
  <c r="AP37" i="1"/>
  <c r="AO37" i="1"/>
  <c r="AN37" i="1"/>
  <c r="AM37" i="1"/>
  <c r="AQ36" i="1"/>
  <c r="AP36" i="1"/>
  <c r="AO36" i="1"/>
  <c r="AN36" i="1"/>
  <c r="AM36" i="1"/>
  <c r="AQ35" i="1"/>
  <c r="AP35" i="1"/>
  <c r="AO35" i="1"/>
  <c r="AN35" i="1"/>
  <c r="AM35" i="1"/>
  <c r="AJ40" i="1"/>
  <c r="AI40" i="1"/>
  <c r="AH40" i="1"/>
  <c r="AG40" i="1"/>
  <c r="AF40" i="1"/>
  <c r="AJ39" i="1"/>
  <c r="AI39" i="1"/>
  <c r="AH39" i="1"/>
  <c r="AG39" i="1"/>
  <c r="AF39" i="1"/>
  <c r="AJ38" i="1"/>
  <c r="AI38" i="1"/>
  <c r="AH38" i="1"/>
  <c r="AG38" i="1"/>
  <c r="AF38" i="1"/>
  <c r="AJ37" i="1"/>
  <c r="AI37" i="1"/>
  <c r="AH37" i="1"/>
  <c r="AG37" i="1"/>
  <c r="AF37" i="1"/>
  <c r="AJ36" i="1"/>
  <c r="AI36" i="1"/>
  <c r="AH36" i="1"/>
  <c r="AG36" i="1"/>
  <c r="AF36" i="1"/>
  <c r="AJ35" i="1"/>
  <c r="AI35" i="1"/>
  <c r="AH35" i="1"/>
  <c r="AG35" i="1"/>
  <c r="AF35" i="1"/>
  <c r="AC40" i="1"/>
  <c r="AB40" i="1"/>
  <c r="AA40" i="1"/>
  <c r="Z40" i="1"/>
  <c r="Y40" i="1"/>
  <c r="AC39" i="1"/>
  <c r="AB39" i="1"/>
  <c r="AA39" i="1"/>
  <c r="Z39" i="1"/>
  <c r="Y39" i="1"/>
  <c r="AC38" i="1"/>
  <c r="AB38" i="1"/>
  <c r="AA38" i="1"/>
  <c r="Z38" i="1"/>
  <c r="Y38" i="1"/>
  <c r="AC37" i="1"/>
  <c r="AB37" i="1"/>
  <c r="AA37" i="1"/>
  <c r="Z37" i="1"/>
  <c r="Y37" i="1"/>
  <c r="AC36" i="1"/>
  <c r="AB36" i="1"/>
  <c r="AA36" i="1"/>
  <c r="Z36" i="1"/>
  <c r="Y36" i="1"/>
  <c r="AC35" i="1"/>
  <c r="AB35" i="1"/>
  <c r="AA35" i="1"/>
  <c r="Z35" i="1"/>
  <c r="Y35" i="1"/>
  <c r="V40" i="1"/>
  <c r="U40" i="1"/>
  <c r="T40" i="1"/>
  <c r="S40" i="1"/>
  <c r="R40" i="1"/>
  <c r="V39" i="1"/>
  <c r="U39" i="1"/>
  <c r="T39" i="1"/>
  <c r="S39" i="1"/>
  <c r="R39" i="1"/>
  <c r="V38" i="1"/>
  <c r="U38" i="1"/>
  <c r="T38" i="1"/>
  <c r="S38" i="1"/>
  <c r="R38" i="1"/>
  <c r="V37" i="1"/>
  <c r="U37" i="1"/>
  <c r="T37" i="1"/>
  <c r="S37" i="1"/>
  <c r="R37" i="1"/>
  <c r="V36" i="1"/>
  <c r="U36" i="1"/>
  <c r="T36" i="1"/>
  <c r="S36" i="1"/>
  <c r="R36" i="1"/>
  <c r="V35" i="1"/>
  <c r="U35" i="1"/>
  <c r="T35" i="1"/>
  <c r="S35" i="1"/>
  <c r="R35" i="1"/>
  <c r="O40" i="1"/>
  <c r="N40" i="1"/>
  <c r="M40" i="1"/>
  <c r="L40" i="1"/>
  <c r="K40" i="1"/>
  <c r="O39" i="1"/>
  <c r="N39" i="1"/>
  <c r="M39" i="1"/>
  <c r="L39" i="1"/>
  <c r="K39" i="1"/>
  <c r="O38" i="1"/>
  <c r="N38" i="1"/>
  <c r="M38" i="1"/>
  <c r="L38" i="1"/>
  <c r="K38" i="1"/>
  <c r="O37" i="1"/>
  <c r="N37" i="1"/>
  <c r="M37" i="1"/>
  <c r="L37" i="1"/>
  <c r="K37" i="1"/>
  <c r="O36" i="1"/>
  <c r="N36" i="1"/>
  <c r="M36" i="1"/>
  <c r="L36" i="1"/>
  <c r="K36" i="1"/>
  <c r="O35" i="1"/>
  <c r="N35" i="1"/>
  <c r="M35" i="1"/>
  <c r="L35" i="1"/>
  <c r="K35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36" i="1"/>
  <c r="G36" i="1"/>
  <c r="F36" i="1"/>
  <c r="E36" i="1"/>
  <c r="D36" i="1"/>
  <c r="H35" i="1"/>
  <c r="G35" i="1"/>
  <c r="F35" i="1"/>
  <c r="E35" i="1"/>
  <c r="D35" i="1"/>
  <c r="BE24" i="1"/>
  <c r="BD24" i="1"/>
  <c r="BC24" i="1"/>
  <c r="BB24" i="1"/>
  <c r="BA24" i="1"/>
  <c r="BE23" i="1"/>
  <c r="BD23" i="1"/>
  <c r="BC23" i="1"/>
  <c r="BB23" i="1"/>
  <c r="BA23" i="1"/>
  <c r="BE22" i="1"/>
  <c r="BD22" i="1"/>
  <c r="BC22" i="1"/>
  <c r="BB22" i="1"/>
  <c r="BA22" i="1"/>
  <c r="BE21" i="1"/>
  <c r="BD21" i="1"/>
  <c r="BC21" i="1"/>
  <c r="BB21" i="1"/>
  <c r="BA21" i="1"/>
  <c r="BE20" i="1"/>
  <c r="BD20" i="1"/>
  <c r="BC20" i="1"/>
  <c r="BB20" i="1"/>
  <c r="BA20" i="1"/>
  <c r="BE19" i="1"/>
  <c r="BD19" i="1"/>
  <c r="BC19" i="1"/>
  <c r="BB19" i="1"/>
  <c r="BA19" i="1"/>
  <c r="BE18" i="1"/>
  <c r="BD18" i="1"/>
  <c r="BC18" i="1"/>
  <c r="BB18" i="1"/>
  <c r="BA18" i="1"/>
  <c r="AX24" i="1"/>
  <c r="AW24" i="1"/>
  <c r="AV24" i="1"/>
  <c r="AU24" i="1"/>
  <c r="AT24" i="1"/>
  <c r="AX23" i="1"/>
  <c r="AW23" i="1"/>
  <c r="AV23" i="1"/>
  <c r="AU23" i="1"/>
  <c r="AT23" i="1"/>
  <c r="AX22" i="1"/>
  <c r="AW22" i="1"/>
  <c r="AV22" i="1"/>
  <c r="AU22" i="1"/>
  <c r="AT22" i="1"/>
  <c r="AX21" i="1"/>
  <c r="AW21" i="1"/>
  <c r="AV21" i="1"/>
  <c r="AU21" i="1"/>
  <c r="AT21" i="1"/>
  <c r="AX20" i="1"/>
  <c r="AW20" i="1"/>
  <c r="AV20" i="1"/>
  <c r="AU20" i="1"/>
  <c r="AT20" i="1"/>
  <c r="AX19" i="1"/>
  <c r="AW19" i="1"/>
  <c r="AV19" i="1"/>
  <c r="AU19" i="1"/>
  <c r="AT19" i="1"/>
  <c r="AX18" i="1"/>
  <c r="AW18" i="1"/>
  <c r="AV18" i="1"/>
  <c r="AU18" i="1"/>
  <c r="AT18" i="1"/>
  <c r="AQ24" i="1"/>
  <c r="AP24" i="1"/>
  <c r="AO24" i="1"/>
  <c r="AN24" i="1"/>
  <c r="AM24" i="1"/>
  <c r="AQ23" i="1"/>
  <c r="AP23" i="1"/>
  <c r="AO23" i="1"/>
  <c r="AN23" i="1"/>
  <c r="AM23" i="1"/>
  <c r="AQ22" i="1"/>
  <c r="AP22" i="1"/>
  <c r="AO22" i="1"/>
  <c r="AN22" i="1"/>
  <c r="AM22" i="1"/>
  <c r="AQ21" i="1"/>
  <c r="AP21" i="1"/>
  <c r="AO21" i="1"/>
  <c r="AN21" i="1"/>
  <c r="AM21" i="1"/>
  <c r="AQ20" i="1"/>
  <c r="AP20" i="1"/>
  <c r="AO20" i="1"/>
  <c r="AN20" i="1"/>
  <c r="AM20" i="1"/>
  <c r="AQ19" i="1"/>
  <c r="AP19" i="1"/>
  <c r="AO19" i="1"/>
  <c r="AN19" i="1"/>
  <c r="AM19" i="1"/>
  <c r="AQ18" i="1"/>
  <c r="AP18" i="1"/>
  <c r="AO18" i="1"/>
  <c r="AN18" i="1"/>
  <c r="AM18" i="1"/>
  <c r="AJ24" i="1"/>
  <c r="AI24" i="1"/>
  <c r="AH24" i="1"/>
  <c r="AG24" i="1"/>
  <c r="AF24" i="1"/>
  <c r="AJ23" i="1"/>
  <c r="AI23" i="1"/>
  <c r="AH23" i="1"/>
  <c r="AG23" i="1"/>
  <c r="AF23" i="1"/>
  <c r="AJ22" i="1"/>
  <c r="AI22" i="1"/>
  <c r="AH22" i="1"/>
  <c r="AG22" i="1"/>
  <c r="AF22" i="1"/>
  <c r="AJ21" i="1"/>
  <c r="AI21" i="1"/>
  <c r="AH21" i="1"/>
  <c r="AG21" i="1"/>
  <c r="AF21" i="1"/>
  <c r="AJ20" i="1"/>
  <c r="AI20" i="1"/>
  <c r="AH20" i="1"/>
  <c r="AG20" i="1"/>
  <c r="AF20" i="1"/>
  <c r="AJ19" i="1"/>
  <c r="AI19" i="1"/>
  <c r="AH19" i="1"/>
  <c r="AG19" i="1"/>
  <c r="AF19" i="1"/>
  <c r="AJ18" i="1"/>
  <c r="AI18" i="1"/>
  <c r="AH18" i="1"/>
  <c r="AG18" i="1"/>
  <c r="AF18" i="1"/>
  <c r="AC24" i="1"/>
  <c r="AB24" i="1"/>
  <c r="AA24" i="1"/>
  <c r="Z24" i="1"/>
  <c r="Y24" i="1"/>
  <c r="AC23" i="1"/>
  <c r="AB23" i="1"/>
  <c r="AA23" i="1"/>
  <c r="Z23" i="1"/>
  <c r="Y23" i="1"/>
  <c r="AC22" i="1"/>
  <c r="AB22" i="1"/>
  <c r="AA22" i="1"/>
  <c r="Z22" i="1"/>
  <c r="Y22" i="1"/>
  <c r="AC21" i="1"/>
  <c r="AB21" i="1"/>
  <c r="AA21" i="1"/>
  <c r="Z21" i="1"/>
  <c r="Y21" i="1"/>
  <c r="AC20" i="1"/>
  <c r="AB20" i="1"/>
  <c r="AA20" i="1"/>
  <c r="Z20" i="1"/>
  <c r="Y20" i="1"/>
  <c r="AC19" i="1"/>
  <c r="AB19" i="1"/>
  <c r="AA19" i="1"/>
  <c r="Z19" i="1"/>
  <c r="Y19" i="1"/>
  <c r="AC18" i="1"/>
  <c r="AB18" i="1"/>
  <c r="AA18" i="1"/>
  <c r="Z18" i="1"/>
  <c r="Y18" i="1"/>
  <c r="V24" i="1"/>
  <c r="U24" i="1"/>
  <c r="T24" i="1"/>
  <c r="S24" i="1"/>
  <c r="R24" i="1"/>
  <c r="V23" i="1"/>
  <c r="U23" i="1"/>
  <c r="T23" i="1"/>
  <c r="S23" i="1"/>
  <c r="R23" i="1"/>
  <c r="V22" i="1"/>
  <c r="U22" i="1"/>
  <c r="T22" i="1"/>
  <c r="S22" i="1"/>
  <c r="R22" i="1"/>
  <c r="V21" i="1"/>
  <c r="U21" i="1"/>
  <c r="T21" i="1"/>
  <c r="S21" i="1"/>
  <c r="R21" i="1"/>
  <c r="V20" i="1"/>
  <c r="U20" i="1"/>
  <c r="T20" i="1"/>
  <c r="S20" i="1"/>
  <c r="R20" i="1"/>
  <c r="V19" i="1"/>
  <c r="U19" i="1"/>
  <c r="T19" i="1"/>
  <c r="S19" i="1"/>
  <c r="R19" i="1"/>
  <c r="V18" i="1"/>
  <c r="U18" i="1"/>
  <c r="T18" i="1"/>
  <c r="S18" i="1"/>
  <c r="R18" i="1"/>
  <c r="O24" i="1"/>
  <c r="N24" i="1"/>
  <c r="M24" i="1"/>
  <c r="L24" i="1"/>
  <c r="K24" i="1"/>
  <c r="O23" i="1"/>
  <c r="N23" i="1"/>
  <c r="M23" i="1"/>
  <c r="L23" i="1"/>
  <c r="K23" i="1"/>
  <c r="O22" i="1"/>
  <c r="N22" i="1"/>
  <c r="M22" i="1"/>
  <c r="L22" i="1"/>
  <c r="K22" i="1"/>
  <c r="O21" i="1"/>
  <c r="N21" i="1"/>
  <c r="M21" i="1"/>
  <c r="L21" i="1"/>
  <c r="K21" i="1"/>
  <c r="O20" i="1"/>
  <c r="N20" i="1"/>
  <c r="M20" i="1"/>
  <c r="L20" i="1"/>
  <c r="K20" i="1"/>
  <c r="O19" i="1"/>
  <c r="N19" i="1"/>
  <c r="M19" i="1"/>
  <c r="L19" i="1"/>
  <c r="K19" i="1"/>
  <c r="O18" i="1"/>
  <c r="N18" i="1"/>
  <c r="M18" i="1"/>
  <c r="L18" i="1"/>
  <c r="K18" i="1"/>
  <c r="H24" i="1"/>
  <c r="G24" i="1"/>
  <c r="F24" i="1"/>
  <c r="E24" i="1"/>
  <c r="D24" i="1"/>
  <c r="H23" i="1"/>
  <c r="G23" i="1"/>
  <c r="F23" i="1"/>
  <c r="E23" i="1"/>
  <c r="D23" i="1"/>
  <c r="H22" i="1"/>
  <c r="G22" i="1"/>
  <c r="F22" i="1"/>
  <c r="E22" i="1"/>
  <c r="D22" i="1"/>
  <c r="H21" i="1"/>
  <c r="G21" i="1"/>
  <c r="F21" i="1"/>
  <c r="E21" i="1"/>
  <c r="D21" i="1"/>
  <c r="H20" i="1"/>
  <c r="G20" i="1"/>
  <c r="F20" i="1"/>
  <c r="E20" i="1"/>
  <c r="D20" i="1"/>
  <c r="H19" i="1"/>
  <c r="G19" i="1"/>
  <c r="F19" i="1"/>
  <c r="E19" i="1"/>
  <c r="H18" i="1"/>
  <c r="G18" i="1"/>
  <c r="F18" i="1"/>
  <c r="E18" i="1"/>
  <c r="D18" i="1"/>
  <c r="D19" i="1"/>
  <c r="BN37" i="13"/>
  <c r="BK37" i="13"/>
  <c r="BJ37" i="13"/>
  <c r="BI37" i="13"/>
  <c r="BH37" i="13"/>
  <c r="BG37" i="13"/>
  <c r="BD37" i="13"/>
  <c r="BC37" i="13"/>
  <c r="BB37" i="13"/>
  <c r="BA37" i="13"/>
  <c r="AZ37" i="13"/>
  <c r="AW37" i="13"/>
  <c r="AV37" i="13"/>
  <c r="AU37" i="13"/>
  <c r="AT37" i="13"/>
  <c r="AS37" i="13"/>
  <c r="AP37" i="13"/>
  <c r="AO37" i="13"/>
  <c r="AN37" i="13"/>
  <c r="AM37" i="13"/>
  <c r="AL37" i="13"/>
  <c r="AI37" i="13"/>
  <c r="AH37" i="13"/>
  <c r="AG37" i="13"/>
  <c r="AF37" i="13"/>
  <c r="AE37" i="13"/>
  <c r="AB37" i="13"/>
  <c r="AA37" i="13"/>
  <c r="Z37" i="13"/>
  <c r="Y37" i="13"/>
  <c r="X37" i="13"/>
  <c r="U37" i="13"/>
  <c r="T37" i="13"/>
  <c r="S37" i="13"/>
  <c r="R37" i="13"/>
  <c r="Q37" i="13"/>
  <c r="N37" i="13"/>
  <c r="M37" i="13"/>
  <c r="L37" i="13"/>
  <c r="K37" i="13"/>
  <c r="J37" i="13"/>
  <c r="G37" i="13"/>
  <c r="F37" i="13"/>
  <c r="BN36" i="13"/>
  <c r="BK36" i="13"/>
  <c r="BJ36" i="13"/>
  <c r="BI36" i="13"/>
  <c r="BH36" i="13"/>
  <c r="BG36" i="13"/>
  <c r="BD36" i="13"/>
  <c r="BC36" i="13"/>
  <c r="BB36" i="13"/>
  <c r="BA36" i="13"/>
  <c r="AZ36" i="13"/>
  <c r="AW36" i="13"/>
  <c r="AV36" i="13"/>
  <c r="AU36" i="13"/>
  <c r="AT36" i="13"/>
  <c r="AS36" i="13"/>
  <c r="AP36" i="13"/>
  <c r="AO36" i="13"/>
  <c r="AN36" i="13"/>
  <c r="AM36" i="13"/>
  <c r="AL36" i="13"/>
  <c r="AI36" i="13"/>
  <c r="AH36" i="13"/>
  <c r="AG36" i="13"/>
  <c r="AF36" i="13"/>
  <c r="AE36" i="13"/>
  <c r="AB36" i="13"/>
  <c r="AA36" i="13"/>
  <c r="Z36" i="13"/>
  <c r="Y36" i="13"/>
  <c r="X36" i="13"/>
  <c r="U36" i="13"/>
  <c r="T36" i="13"/>
  <c r="S36" i="13"/>
  <c r="R36" i="13"/>
  <c r="Q36" i="13"/>
  <c r="N36" i="13"/>
  <c r="M36" i="13"/>
  <c r="L36" i="13"/>
  <c r="K36" i="13"/>
  <c r="J36" i="13"/>
  <c r="G36" i="13"/>
  <c r="F36" i="13"/>
  <c r="BN35" i="13"/>
  <c r="BK35" i="13"/>
  <c r="BJ35" i="13"/>
  <c r="BI35" i="13"/>
  <c r="BH35" i="13"/>
  <c r="BG35" i="13"/>
  <c r="BD35" i="13"/>
  <c r="BC35" i="13"/>
  <c r="BB35" i="13"/>
  <c r="BA35" i="13"/>
  <c r="AZ35" i="13"/>
  <c r="AW35" i="13"/>
  <c r="AV35" i="13"/>
  <c r="AU35" i="13"/>
  <c r="AT35" i="13"/>
  <c r="AS35" i="13"/>
  <c r="AP35" i="13"/>
  <c r="AO35" i="13"/>
  <c r="AN35" i="13"/>
  <c r="AM35" i="13"/>
  <c r="AL35" i="13"/>
  <c r="AI35" i="13"/>
  <c r="AH35" i="13"/>
  <c r="AG35" i="13"/>
  <c r="AF35" i="13"/>
  <c r="AE35" i="13"/>
  <c r="AB35" i="13"/>
  <c r="AA35" i="13"/>
  <c r="Z35" i="13"/>
  <c r="Y35" i="13"/>
  <c r="X35" i="13"/>
  <c r="U35" i="13"/>
  <c r="T35" i="13"/>
  <c r="S35" i="13"/>
  <c r="R35" i="13"/>
  <c r="Q35" i="13"/>
  <c r="N35" i="13"/>
  <c r="M35" i="13"/>
  <c r="L35" i="13"/>
  <c r="K35" i="13"/>
  <c r="J35" i="13"/>
  <c r="G35" i="13"/>
  <c r="F35" i="13"/>
  <c r="BN34" i="13"/>
  <c r="BK34" i="13"/>
  <c r="BJ34" i="13"/>
  <c r="BI34" i="13"/>
  <c r="BH34" i="13"/>
  <c r="BG34" i="13"/>
  <c r="BD34" i="13"/>
  <c r="BC34" i="13"/>
  <c r="BB34" i="13"/>
  <c r="BA34" i="13"/>
  <c r="AZ34" i="13"/>
  <c r="AW34" i="13"/>
  <c r="AV34" i="13"/>
  <c r="AU34" i="13"/>
  <c r="AT34" i="13"/>
  <c r="AS34" i="13"/>
  <c r="AP34" i="13"/>
  <c r="AO34" i="13"/>
  <c r="AN34" i="13"/>
  <c r="AM34" i="13"/>
  <c r="AL34" i="13"/>
  <c r="AI34" i="13"/>
  <c r="AH34" i="13"/>
  <c r="AG34" i="13"/>
  <c r="AF34" i="13"/>
  <c r="AE34" i="13"/>
  <c r="AB34" i="13"/>
  <c r="AA34" i="13"/>
  <c r="Z34" i="13"/>
  <c r="Y34" i="13"/>
  <c r="X34" i="13"/>
  <c r="U34" i="13"/>
  <c r="T34" i="13"/>
  <c r="S34" i="13"/>
  <c r="R34" i="13"/>
  <c r="Q34" i="13"/>
  <c r="N34" i="13"/>
  <c r="M34" i="13"/>
  <c r="L34" i="13"/>
  <c r="K34" i="13"/>
  <c r="J34" i="13"/>
  <c r="G34" i="13"/>
  <c r="F34" i="13"/>
  <c r="BN33" i="13"/>
  <c r="BK33" i="13"/>
  <c r="BJ33" i="13"/>
  <c r="BI33" i="13"/>
  <c r="BH33" i="13"/>
  <c r="BG33" i="13"/>
  <c r="BD33" i="13"/>
  <c r="BC33" i="13"/>
  <c r="BB33" i="13"/>
  <c r="BA33" i="13"/>
  <c r="AZ33" i="13"/>
  <c r="AW33" i="13"/>
  <c r="AV33" i="13"/>
  <c r="AU33" i="13"/>
  <c r="AT33" i="13"/>
  <c r="AS33" i="13"/>
  <c r="AP33" i="13"/>
  <c r="AO33" i="13"/>
  <c r="AN33" i="13"/>
  <c r="AM33" i="13"/>
  <c r="AL33" i="13"/>
  <c r="AI33" i="13"/>
  <c r="AH33" i="13"/>
  <c r="AG33" i="13"/>
  <c r="AF33" i="13"/>
  <c r="AE33" i="13"/>
  <c r="AB33" i="13"/>
  <c r="AA33" i="13"/>
  <c r="Z33" i="13"/>
  <c r="Y33" i="13"/>
  <c r="X33" i="13"/>
  <c r="U33" i="13"/>
  <c r="T33" i="13"/>
  <c r="S33" i="13"/>
  <c r="R33" i="13"/>
  <c r="Q33" i="13"/>
  <c r="N33" i="13"/>
  <c r="M33" i="13"/>
  <c r="L33" i="13"/>
  <c r="K33" i="13"/>
  <c r="J33" i="13"/>
  <c r="G33" i="13"/>
  <c r="F33" i="13"/>
  <c r="BN32" i="13"/>
  <c r="BK32" i="13"/>
  <c r="BJ32" i="13"/>
  <c r="BI32" i="13"/>
  <c r="BH32" i="13"/>
  <c r="BG32" i="13"/>
  <c r="BD32" i="13"/>
  <c r="BC32" i="13"/>
  <c r="BB32" i="13"/>
  <c r="BA32" i="13"/>
  <c r="AZ32" i="13"/>
  <c r="AW32" i="13"/>
  <c r="AV32" i="13"/>
  <c r="AU32" i="13"/>
  <c r="AT32" i="13"/>
  <c r="AS32" i="13"/>
  <c r="AP32" i="13"/>
  <c r="AO32" i="13"/>
  <c r="AN32" i="13"/>
  <c r="AM32" i="13"/>
  <c r="AL32" i="13"/>
  <c r="AI32" i="13"/>
  <c r="AH32" i="13"/>
  <c r="AG32" i="13"/>
  <c r="AF32" i="13"/>
  <c r="AE32" i="13"/>
  <c r="AB32" i="13"/>
  <c r="AA32" i="13"/>
  <c r="Z32" i="13"/>
  <c r="Y32" i="13"/>
  <c r="X32" i="13"/>
  <c r="U32" i="13"/>
  <c r="T32" i="13"/>
  <c r="S32" i="13"/>
  <c r="R32" i="13"/>
  <c r="Q32" i="13"/>
  <c r="N32" i="13"/>
  <c r="M32" i="13"/>
  <c r="L32" i="13"/>
  <c r="K32" i="13"/>
  <c r="J32" i="13"/>
  <c r="G32" i="13"/>
  <c r="F32" i="13"/>
  <c r="BN30" i="13"/>
  <c r="BK30" i="13"/>
  <c r="BJ30" i="13"/>
  <c r="BI30" i="13"/>
  <c r="BH30" i="13"/>
  <c r="BG30" i="13"/>
  <c r="BD30" i="13"/>
  <c r="BC30" i="13"/>
  <c r="BB30" i="13"/>
  <c r="BA30" i="13"/>
  <c r="AZ30" i="13"/>
  <c r="AW30" i="13"/>
  <c r="AV30" i="13"/>
  <c r="AU30" i="13"/>
  <c r="AT30" i="13"/>
  <c r="AS30" i="13"/>
  <c r="AP30" i="13"/>
  <c r="AO30" i="13"/>
  <c r="AN30" i="13"/>
  <c r="AM30" i="13"/>
  <c r="AL30" i="13"/>
  <c r="AI30" i="13"/>
  <c r="AH30" i="13"/>
  <c r="AG30" i="13"/>
  <c r="AF30" i="13"/>
  <c r="AE30" i="13"/>
  <c r="AB30" i="13"/>
  <c r="AA30" i="13"/>
  <c r="Z30" i="13"/>
  <c r="Y30" i="13"/>
  <c r="X30" i="13"/>
  <c r="U30" i="13"/>
  <c r="T30" i="13"/>
  <c r="S30" i="13"/>
  <c r="R30" i="13"/>
  <c r="Q30" i="13"/>
  <c r="N30" i="13"/>
  <c r="M30" i="13"/>
  <c r="L30" i="13"/>
  <c r="K30" i="13"/>
  <c r="J30" i="13"/>
  <c r="G30" i="13"/>
  <c r="F30" i="13"/>
  <c r="BN29" i="13"/>
  <c r="BK29" i="13"/>
  <c r="BJ29" i="13"/>
  <c r="BI29" i="13"/>
  <c r="BH29" i="13"/>
  <c r="BG29" i="13"/>
  <c r="BD29" i="13"/>
  <c r="BC29" i="13"/>
  <c r="BB29" i="13"/>
  <c r="BA29" i="13"/>
  <c r="AZ29" i="13"/>
  <c r="AW29" i="13"/>
  <c r="AV29" i="13"/>
  <c r="AU29" i="13"/>
  <c r="AT29" i="13"/>
  <c r="AS29" i="13"/>
  <c r="AP29" i="13"/>
  <c r="AO29" i="13"/>
  <c r="AN29" i="13"/>
  <c r="AM29" i="13"/>
  <c r="AL29" i="13"/>
  <c r="AI29" i="13"/>
  <c r="AH29" i="13"/>
  <c r="AG29" i="13"/>
  <c r="AF29" i="13"/>
  <c r="AE29" i="13"/>
  <c r="AB29" i="13"/>
  <c r="AA29" i="13"/>
  <c r="Z29" i="13"/>
  <c r="Y29" i="13"/>
  <c r="X29" i="13"/>
  <c r="U29" i="13"/>
  <c r="T29" i="13"/>
  <c r="S29" i="13"/>
  <c r="R29" i="13"/>
  <c r="Q29" i="13"/>
  <c r="N29" i="13"/>
  <c r="M29" i="13"/>
  <c r="L29" i="13"/>
  <c r="K29" i="13"/>
  <c r="J29" i="13"/>
  <c r="G29" i="13"/>
  <c r="F29" i="13"/>
  <c r="BN28" i="13"/>
  <c r="BK28" i="13"/>
  <c r="BJ28" i="13"/>
  <c r="BI28" i="13"/>
  <c r="BH28" i="13"/>
  <c r="BG28" i="13"/>
  <c r="BD28" i="13"/>
  <c r="BC28" i="13"/>
  <c r="BB28" i="13"/>
  <c r="BA28" i="13"/>
  <c r="AZ28" i="13"/>
  <c r="AW28" i="13"/>
  <c r="AV28" i="13"/>
  <c r="AU28" i="13"/>
  <c r="AT28" i="13"/>
  <c r="AS28" i="13"/>
  <c r="AP28" i="13"/>
  <c r="AO28" i="13"/>
  <c r="AN28" i="13"/>
  <c r="AM28" i="13"/>
  <c r="AL28" i="13"/>
  <c r="AI28" i="13"/>
  <c r="AH28" i="13"/>
  <c r="AG28" i="13"/>
  <c r="AF28" i="13"/>
  <c r="AE28" i="13"/>
  <c r="AB28" i="13"/>
  <c r="AA28" i="13"/>
  <c r="Z28" i="13"/>
  <c r="Y28" i="13"/>
  <c r="X28" i="13"/>
  <c r="U28" i="13"/>
  <c r="T28" i="13"/>
  <c r="S28" i="13"/>
  <c r="R28" i="13"/>
  <c r="Q28" i="13"/>
  <c r="N28" i="13"/>
  <c r="M28" i="13"/>
  <c r="L28" i="13"/>
  <c r="K28" i="13"/>
  <c r="J28" i="13"/>
  <c r="G28" i="13"/>
  <c r="F28" i="13"/>
  <c r="BN27" i="13"/>
  <c r="BK27" i="13"/>
  <c r="BJ27" i="13"/>
  <c r="BI27" i="13"/>
  <c r="BH27" i="13"/>
  <c r="BG27" i="13"/>
  <c r="BD27" i="13"/>
  <c r="BC27" i="13"/>
  <c r="BB27" i="13"/>
  <c r="BA27" i="13"/>
  <c r="AZ27" i="13"/>
  <c r="AW27" i="13"/>
  <c r="AV27" i="13"/>
  <c r="AU27" i="13"/>
  <c r="AT27" i="13"/>
  <c r="AS27" i="13"/>
  <c r="AP27" i="13"/>
  <c r="AO27" i="13"/>
  <c r="AN27" i="13"/>
  <c r="AM27" i="13"/>
  <c r="AL27" i="13"/>
  <c r="AI27" i="13"/>
  <c r="AH27" i="13"/>
  <c r="AG27" i="13"/>
  <c r="AF27" i="13"/>
  <c r="AE27" i="13"/>
  <c r="AB27" i="13"/>
  <c r="AA27" i="13"/>
  <c r="Z27" i="13"/>
  <c r="Y27" i="13"/>
  <c r="X27" i="13"/>
  <c r="U27" i="13"/>
  <c r="T27" i="13"/>
  <c r="S27" i="13"/>
  <c r="R27" i="13"/>
  <c r="Q27" i="13"/>
  <c r="N27" i="13"/>
  <c r="M27" i="13"/>
  <c r="L27" i="13"/>
  <c r="K27" i="13"/>
  <c r="J27" i="13"/>
  <c r="G27" i="13"/>
  <c r="F27" i="13"/>
  <c r="BN26" i="13"/>
  <c r="BK26" i="13"/>
  <c r="BJ26" i="13"/>
  <c r="BI26" i="13"/>
  <c r="BH26" i="13"/>
  <c r="BG26" i="13"/>
  <c r="BD26" i="13"/>
  <c r="BC26" i="13"/>
  <c r="BB26" i="13"/>
  <c r="BA26" i="13"/>
  <c r="AZ26" i="13"/>
  <c r="AW26" i="13"/>
  <c r="AV26" i="13"/>
  <c r="AU26" i="13"/>
  <c r="AT26" i="13"/>
  <c r="AS26" i="13"/>
  <c r="AP26" i="13"/>
  <c r="AO26" i="13"/>
  <c r="AN26" i="13"/>
  <c r="AM26" i="13"/>
  <c r="AL26" i="13"/>
  <c r="AI26" i="13"/>
  <c r="AH26" i="13"/>
  <c r="AG26" i="13"/>
  <c r="AF26" i="13"/>
  <c r="AE26" i="13"/>
  <c r="AB26" i="13"/>
  <c r="AA26" i="13"/>
  <c r="Z26" i="13"/>
  <c r="Y26" i="13"/>
  <c r="X26" i="13"/>
  <c r="U26" i="13"/>
  <c r="T26" i="13"/>
  <c r="S26" i="13"/>
  <c r="R26" i="13"/>
  <c r="Q26" i="13"/>
  <c r="N26" i="13"/>
  <c r="M26" i="13"/>
  <c r="L26" i="13"/>
  <c r="K26" i="13"/>
  <c r="J26" i="13"/>
  <c r="G26" i="13"/>
  <c r="F26" i="13"/>
  <c r="BN25" i="13"/>
  <c r="BK25" i="13"/>
  <c r="BJ25" i="13"/>
  <c r="BI25" i="13"/>
  <c r="BH25" i="13"/>
  <c r="BG25" i="13"/>
  <c r="BD25" i="13"/>
  <c r="BC25" i="13"/>
  <c r="BB25" i="13"/>
  <c r="BA25" i="13"/>
  <c r="AZ25" i="13"/>
  <c r="AW25" i="13"/>
  <c r="AV25" i="13"/>
  <c r="AU25" i="13"/>
  <c r="AT25" i="13"/>
  <c r="AS25" i="13"/>
  <c r="AP25" i="13"/>
  <c r="AO25" i="13"/>
  <c r="AN25" i="13"/>
  <c r="AM25" i="13"/>
  <c r="AL25" i="13"/>
  <c r="AI25" i="13"/>
  <c r="AH25" i="13"/>
  <c r="AG25" i="13"/>
  <c r="AF25" i="13"/>
  <c r="AE25" i="13"/>
  <c r="AB25" i="13"/>
  <c r="AA25" i="13"/>
  <c r="Z25" i="13"/>
  <c r="Y25" i="13"/>
  <c r="X25" i="13"/>
  <c r="U25" i="13"/>
  <c r="T25" i="13"/>
  <c r="S25" i="13"/>
  <c r="R25" i="13"/>
  <c r="Q25" i="13"/>
  <c r="N25" i="13"/>
  <c r="M25" i="13"/>
  <c r="L25" i="13"/>
  <c r="K25" i="13"/>
  <c r="J25" i="13"/>
  <c r="G25" i="13"/>
  <c r="F25" i="13"/>
  <c r="BN24" i="13"/>
  <c r="BK24" i="13"/>
  <c r="BJ24" i="13"/>
  <c r="BI24" i="13"/>
  <c r="BH24" i="13"/>
  <c r="BG24" i="13"/>
  <c r="BD24" i="13"/>
  <c r="BC24" i="13"/>
  <c r="BB24" i="13"/>
  <c r="BA24" i="13"/>
  <c r="AZ24" i="13"/>
  <c r="AW24" i="13"/>
  <c r="AV24" i="13"/>
  <c r="AU24" i="13"/>
  <c r="AT24" i="13"/>
  <c r="AS24" i="13"/>
  <c r="AP24" i="13"/>
  <c r="AO24" i="13"/>
  <c r="AN24" i="13"/>
  <c r="AM24" i="13"/>
  <c r="AL24" i="13"/>
  <c r="AI24" i="13"/>
  <c r="AH24" i="13"/>
  <c r="AG24" i="13"/>
  <c r="AF24" i="13"/>
  <c r="AE24" i="13"/>
  <c r="AB24" i="13"/>
  <c r="AA24" i="13"/>
  <c r="Z24" i="13"/>
  <c r="Y24" i="13"/>
  <c r="X24" i="13"/>
  <c r="U24" i="13"/>
  <c r="T24" i="13"/>
  <c r="S24" i="13"/>
  <c r="R24" i="13"/>
  <c r="Q24" i="13"/>
  <c r="N24" i="13"/>
  <c r="M24" i="13"/>
  <c r="L24" i="13"/>
  <c r="K24" i="13"/>
  <c r="J24" i="13"/>
  <c r="G24" i="13"/>
  <c r="F24" i="13"/>
  <c r="BN23" i="13"/>
  <c r="BK23" i="13"/>
  <c r="BJ23" i="13"/>
  <c r="BI23" i="13"/>
  <c r="BH23" i="13"/>
  <c r="BG23" i="13"/>
  <c r="BD23" i="13"/>
  <c r="BC23" i="13"/>
  <c r="BB23" i="13"/>
  <c r="BA23" i="13"/>
  <c r="AZ23" i="13"/>
  <c r="AW23" i="13"/>
  <c r="AV23" i="13"/>
  <c r="AU23" i="13"/>
  <c r="AT23" i="13"/>
  <c r="AS23" i="13"/>
  <c r="AP23" i="13"/>
  <c r="AO23" i="13"/>
  <c r="AN23" i="13"/>
  <c r="AM23" i="13"/>
  <c r="AL23" i="13"/>
  <c r="AI23" i="13"/>
  <c r="AH23" i="13"/>
  <c r="AG23" i="13"/>
  <c r="AF23" i="13"/>
  <c r="AE23" i="13"/>
  <c r="AB23" i="13"/>
  <c r="AA23" i="13"/>
  <c r="Z23" i="13"/>
  <c r="Y23" i="13"/>
  <c r="X23" i="13"/>
  <c r="U23" i="13"/>
  <c r="T23" i="13"/>
  <c r="S23" i="13"/>
  <c r="R23" i="13"/>
  <c r="Q23" i="13"/>
  <c r="N23" i="13"/>
  <c r="M23" i="13"/>
  <c r="L23" i="13"/>
  <c r="K23" i="13"/>
  <c r="J23" i="13"/>
  <c r="G23" i="13"/>
  <c r="F23" i="13"/>
  <c r="BN21" i="13"/>
  <c r="BK21" i="13"/>
  <c r="BJ21" i="13"/>
  <c r="BI21" i="13"/>
  <c r="BH21" i="13"/>
  <c r="BG21" i="13"/>
  <c r="BD21" i="13"/>
  <c r="BC21" i="13"/>
  <c r="BB21" i="13"/>
  <c r="BA21" i="13"/>
  <c r="AZ21" i="13"/>
  <c r="AW21" i="13"/>
  <c r="AV21" i="13"/>
  <c r="AU21" i="13"/>
  <c r="AT21" i="13"/>
  <c r="AS21" i="13"/>
  <c r="AP21" i="13"/>
  <c r="AO21" i="13"/>
  <c r="AN21" i="13"/>
  <c r="AM21" i="13"/>
  <c r="AL21" i="13"/>
  <c r="AI21" i="13"/>
  <c r="AH21" i="13"/>
  <c r="AG21" i="13"/>
  <c r="AF21" i="13"/>
  <c r="AE21" i="13"/>
  <c r="AB21" i="13"/>
  <c r="AA21" i="13"/>
  <c r="Z21" i="13"/>
  <c r="Y21" i="13"/>
  <c r="X21" i="13"/>
  <c r="U21" i="13"/>
  <c r="T21" i="13"/>
  <c r="S21" i="13"/>
  <c r="R21" i="13"/>
  <c r="Q21" i="13"/>
  <c r="N21" i="13"/>
  <c r="M21" i="13"/>
  <c r="L21" i="13"/>
  <c r="K21" i="13"/>
  <c r="J21" i="13"/>
  <c r="G21" i="13"/>
  <c r="F21" i="13"/>
  <c r="BN20" i="13"/>
  <c r="BK20" i="13"/>
  <c r="BJ20" i="13"/>
  <c r="BI20" i="13"/>
  <c r="BH20" i="13"/>
  <c r="BG20" i="13"/>
  <c r="BD20" i="13"/>
  <c r="BC20" i="13"/>
  <c r="BB20" i="13"/>
  <c r="BA20" i="13"/>
  <c r="AZ20" i="13"/>
  <c r="AW20" i="13"/>
  <c r="AV20" i="13"/>
  <c r="AU20" i="13"/>
  <c r="AT20" i="13"/>
  <c r="AS20" i="13"/>
  <c r="AP20" i="13"/>
  <c r="AO20" i="13"/>
  <c r="AN20" i="13"/>
  <c r="AM20" i="13"/>
  <c r="AL20" i="13"/>
  <c r="AI20" i="13"/>
  <c r="AH20" i="13"/>
  <c r="AG20" i="13"/>
  <c r="AF20" i="13"/>
  <c r="AE20" i="13"/>
  <c r="AB20" i="13"/>
  <c r="AA20" i="13"/>
  <c r="Z20" i="13"/>
  <c r="Y20" i="13"/>
  <c r="X20" i="13"/>
  <c r="U20" i="13"/>
  <c r="T20" i="13"/>
  <c r="S20" i="13"/>
  <c r="R20" i="13"/>
  <c r="Q20" i="13"/>
  <c r="N20" i="13"/>
  <c r="M20" i="13"/>
  <c r="L20" i="13"/>
  <c r="K20" i="13"/>
  <c r="J20" i="13"/>
  <c r="G20" i="13"/>
  <c r="F20" i="13"/>
  <c r="BN19" i="13"/>
  <c r="BK19" i="13"/>
  <c r="BJ19" i="13"/>
  <c r="BI19" i="13"/>
  <c r="BH19" i="13"/>
  <c r="BG19" i="13"/>
  <c r="BD19" i="13"/>
  <c r="BC19" i="13"/>
  <c r="BB19" i="13"/>
  <c r="BA19" i="13"/>
  <c r="AZ19" i="13"/>
  <c r="AW19" i="13"/>
  <c r="AV19" i="13"/>
  <c r="AU19" i="13"/>
  <c r="AT19" i="13"/>
  <c r="AS19" i="13"/>
  <c r="AP19" i="13"/>
  <c r="AO19" i="13"/>
  <c r="AN19" i="13"/>
  <c r="AM19" i="13"/>
  <c r="AL19" i="13"/>
  <c r="AI19" i="13"/>
  <c r="AH19" i="13"/>
  <c r="AG19" i="13"/>
  <c r="AF19" i="13"/>
  <c r="AE19" i="13"/>
  <c r="AB19" i="13"/>
  <c r="AA19" i="13"/>
  <c r="Z19" i="13"/>
  <c r="Y19" i="13"/>
  <c r="X19" i="13"/>
  <c r="U19" i="13"/>
  <c r="T19" i="13"/>
  <c r="S19" i="13"/>
  <c r="R19" i="13"/>
  <c r="Q19" i="13"/>
  <c r="N19" i="13"/>
  <c r="M19" i="13"/>
  <c r="L19" i="13"/>
  <c r="K19" i="13"/>
  <c r="J19" i="13"/>
  <c r="G19" i="13"/>
  <c r="F19" i="13"/>
  <c r="BN18" i="13"/>
  <c r="BK18" i="13"/>
  <c r="BJ18" i="13"/>
  <c r="BI18" i="13"/>
  <c r="BH18" i="13"/>
  <c r="BG18" i="13"/>
  <c r="BD18" i="13"/>
  <c r="BC18" i="13"/>
  <c r="BB18" i="13"/>
  <c r="BA18" i="13"/>
  <c r="AZ18" i="13"/>
  <c r="AW18" i="13"/>
  <c r="AV18" i="13"/>
  <c r="AU18" i="13"/>
  <c r="AT18" i="13"/>
  <c r="AS18" i="13"/>
  <c r="AP18" i="13"/>
  <c r="AO18" i="13"/>
  <c r="AN18" i="13"/>
  <c r="AM18" i="13"/>
  <c r="AL18" i="13"/>
  <c r="AI18" i="13"/>
  <c r="AH18" i="13"/>
  <c r="AG18" i="13"/>
  <c r="AF18" i="13"/>
  <c r="AE18" i="13"/>
  <c r="AB18" i="13"/>
  <c r="AA18" i="13"/>
  <c r="Z18" i="13"/>
  <c r="Y18" i="13"/>
  <c r="X18" i="13"/>
  <c r="U18" i="13"/>
  <c r="T18" i="13"/>
  <c r="S18" i="13"/>
  <c r="R18" i="13"/>
  <c r="Q18" i="13"/>
  <c r="N18" i="13"/>
  <c r="M18" i="13"/>
  <c r="L18" i="13"/>
  <c r="K18" i="13"/>
  <c r="J18" i="13"/>
  <c r="G18" i="13"/>
  <c r="F18" i="13"/>
  <c r="BN17" i="13"/>
  <c r="BK17" i="13"/>
  <c r="BJ17" i="13"/>
  <c r="BI17" i="13"/>
  <c r="BH17" i="13"/>
  <c r="BG17" i="13"/>
  <c r="BD17" i="13"/>
  <c r="BC17" i="13"/>
  <c r="BB17" i="13"/>
  <c r="BA17" i="13"/>
  <c r="AZ17" i="13"/>
  <c r="AW17" i="13"/>
  <c r="AV17" i="13"/>
  <c r="AU17" i="13"/>
  <c r="AT17" i="13"/>
  <c r="AS17" i="13"/>
  <c r="AP17" i="13"/>
  <c r="AO17" i="13"/>
  <c r="AN17" i="13"/>
  <c r="AM17" i="13"/>
  <c r="AL17" i="13"/>
  <c r="AI17" i="13"/>
  <c r="AH17" i="13"/>
  <c r="AG17" i="13"/>
  <c r="AF17" i="13"/>
  <c r="AE17" i="13"/>
  <c r="AB17" i="13"/>
  <c r="AA17" i="13"/>
  <c r="Z17" i="13"/>
  <c r="Y17" i="13"/>
  <c r="X17" i="13"/>
  <c r="U17" i="13"/>
  <c r="T17" i="13"/>
  <c r="S17" i="13"/>
  <c r="R17" i="13"/>
  <c r="Q17" i="13"/>
  <c r="N17" i="13"/>
  <c r="M17" i="13"/>
  <c r="L17" i="13"/>
  <c r="K17" i="13"/>
  <c r="J17" i="13"/>
  <c r="G17" i="13"/>
  <c r="F17" i="13"/>
  <c r="BN16" i="13"/>
  <c r="BK16" i="13"/>
  <c r="BJ16" i="13"/>
  <c r="BI16" i="13"/>
  <c r="BH16" i="13"/>
  <c r="BG16" i="13"/>
  <c r="BD16" i="13"/>
  <c r="BC16" i="13"/>
  <c r="BB16" i="13"/>
  <c r="BA16" i="13"/>
  <c r="AZ16" i="13"/>
  <c r="AW16" i="13"/>
  <c r="AV16" i="13"/>
  <c r="AU16" i="13"/>
  <c r="AT16" i="13"/>
  <c r="AS16" i="13"/>
  <c r="AP16" i="13"/>
  <c r="AO16" i="13"/>
  <c r="AN16" i="13"/>
  <c r="AM16" i="13"/>
  <c r="AL16" i="13"/>
  <c r="AI16" i="13"/>
  <c r="AH16" i="13"/>
  <c r="AG16" i="13"/>
  <c r="AF16" i="13"/>
  <c r="AE16" i="13"/>
  <c r="AB16" i="13"/>
  <c r="AA16" i="13"/>
  <c r="Z16" i="13"/>
  <c r="Y16" i="13"/>
  <c r="X16" i="13"/>
  <c r="U16" i="13"/>
  <c r="T16" i="13"/>
  <c r="S16" i="13"/>
  <c r="R16" i="13"/>
  <c r="Q16" i="13"/>
  <c r="N16" i="13"/>
  <c r="M16" i="13"/>
  <c r="L16" i="13"/>
  <c r="K16" i="13"/>
  <c r="J16" i="13"/>
  <c r="G16" i="13"/>
  <c r="F16" i="13"/>
  <c r="BN15" i="13"/>
  <c r="BK15" i="13"/>
  <c r="BJ15" i="13"/>
  <c r="BI15" i="13"/>
  <c r="BH15" i="13"/>
  <c r="BG15" i="13"/>
  <c r="BD15" i="13"/>
  <c r="BC15" i="13"/>
  <c r="BB15" i="13"/>
  <c r="BA15" i="13"/>
  <c r="AZ15" i="13"/>
  <c r="AW15" i="13"/>
  <c r="AV15" i="13"/>
  <c r="AU15" i="13"/>
  <c r="AT15" i="13"/>
  <c r="AS15" i="13"/>
  <c r="AP15" i="13"/>
  <c r="AO15" i="13"/>
  <c r="AN15" i="13"/>
  <c r="AM15" i="13"/>
  <c r="AL15" i="13"/>
  <c r="AI15" i="13"/>
  <c r="AH15" i="13"/>
  <c r="AG15" i="13"/>
  <c r="AF15" i="13"/>
  <c r="AE15" i="13"/>
  <c r="AB15" i="13"/>
  <c r="AA15" i="13"/>
  <c r="Z15" i="13"/>
  <c r="Y15" i="13"/>
  <c r="X15" i="13"/>
  <c r="U15" i="13"/>
  <c r="T15" i="13"/>
  <c r="S15" i="13"/>
  <c r="R15" i="13"/>
  <c r="Q15" i="13"/>
  <c r="N15" i="13"/>
  <c r="M15" i="13"/>
  <c r="L15" i="13"/>
  <c r="K15" i="13"/>
  <c r="J15" i="13"/>
  <c r="G15" i="13"/>
  <c r="F15" i="13"/>
  <c r="BQ12" i="13"/>
  <c r="BP12" i="13"/>
  <c r="BQ11" i="13"/>
  <c r="BP11" i="13"/>
  <c r="BQ10" i="13"/>
  <c r="BP10" i="13"/>
  <c r="BQ9" i="13"/>
  <c r="BP9" i="13"/>
  <c r="BQ8" i="13"/>
  <c r="BP8" i="13"/>
  <c r="BQ7" i="13"/>
  <c r="BP7" i="13"/>
  <c r="BQ6" i="13"/>
  <c r="BP6" i="13"/>
  <c r="BQ5" i="13"/>
  <c r="BP5" i="13"/>
  <c r="BQ4" i="13"/>
  <c r="BP4" i="13"/>
  <c r="BQ3" i="13"/>
  <c r="BP3" i="13"/>
  <c r="BQ2" i="13"/>
  <c r="BP2" i="13"/>
  <c r="BJ12" i="1"/>
  <c r="BJ11" i="1"/>
  <c r="BJ10" i="1"/>
  <c r="BJ9" i="1"/>
  <c r="BJ8" i="1"/>
  <c r="BJ7" i="1"/>
  <c r="BJ6" i="1"/>
  <c r="BJ5" i="1"/>
  <c r="BJ4" i="1"/>
  <c r="BJ3" i="1"/>
  <c r="BJ2" i="1"/>
  <c r="BH33" i="1"/>
  <c r="BE33" i="1"/>
  <c r="BD33" i="1"/>
  <c r="BC33" i="1"/>
  <c r="BB33" i="1"/>
  <c r="BA33" i="1"/>
  <c r="AX33" i="1"/>
  <c r="AW33" i="1"/>
  <c r="AV33" i="1"/>
  <c r="AU33" i="1"/>
  <c r="AT33" i="1"/>
  <c r="AQ33" i="1"/>
  <c r="AP33" i="1"/>
  <c r="AO33" i="1"/>
  <c r="AN33" i="1"/>
  <c r="AM33" i="1"/>
  <c r="AJ33" i="1"/>
  <c r="AI33" i="1"/>
  <c r="AH33" i="1"/>
  <c r="AG33" i="1"/>
  <c r="AF33" i="1"/>
  <c r="AC33" i="1"/>
  <c r="AB33" i="1"/>
  <c r="AA33" i="1"/>
  <c r="Z33" i="1"/>
  <c r="Y33" i="1"/>
  <c r="V33" i="1"/>
  <c r="U33" i="1"/>
  <c r="T33" i="1"/>
  <c r="S33" i="1"/>
  <c r="R33" i="1"/>
  <c r="O33" i="1"/>
  <c r="N33" i="1"/>
  <c r="M33" i="1"/>
  <c r="L33" i="1"/>
  <c r="K33" i="1"/>
  <c r="H33" i="1"/>
  <c r="G33" i="1"/>
  <c r="F33" i="1"/>
  <c r="E33" i="1"/>
  <c r="D33" i="1"/>
  <c r="BH32" i="1"/>
  <c r="BE32" i="1"/>
  <c r="BD32" i="1"/>
  <c r="BC32" i="1"/>
  <c r="BB32" i="1"/>
  <c r="BA32" i="1"/>
  <c r="AX32" i="1"/>
  <c r="AW32" i="1"/>
  <c r="AV32" i="1"/>
  <c r="AU32" i="1"/>
  <c r="AT32" i="1"/>
  <c r="AQ32" i="1"/>
  <c r="AP32" i="1"/>
  <c r="AO32" i="1"/>
  <c r="AN32" i="1"/>
  <c r="AM32" i="1"/>
  <c r="AJ32" i="1"/>
  <c r="AI32" i="1"/>
  <c r="AH32" i="1"/>
  <c r="AG32" i="1"/>
  <c r="AF32" i="1"/>
  <c r="AC32" i="1"/>
  <c r="AB32" i="1"/>
  <c r="AA32" i="1"/>
  <c r="Z32" i="1"/>
  <c r="Y32" i="1"/>
  <c r="V32" i="1"/>
  <c r="U32" i="1"/>
  <c r="T32" i="1"/>
  <c r="S32" i="1"/>
  <c r="R32" i="1"/>
  <c r="O32" i="1"/>
  <c r="N32" i="1"/>
  <c r="M32" i="1"/>
  <c r="L32" i="1"/>
  <c r="K32" i="1"/>
  <c r="H32" i="1"/>
  <c r="G32" i="1"/>
  <c r="F32" i="1"/>
  <c r="E32" i="1"/>
  <c r="D32" i="1"/>
  <c r="BH31" i="1"/>
  <c r="BE31" i="1"/>
  <c r="BD31" i="1"/>
  <c r="BC31" i="1"/>
  <c r="BB31" i="1"/>
  <c r="BA31" i="1"/>
  <c r="AX31" i="1"/>
  <c r="AW31" i="1"/>
  <c r="AV31" i="1"/>
  <c r="AU31" i="1"/>
  <c r="AT31" i="1"/>
  <c r="AQ31" i="1"/>
  <c r="AP31" i="1"/>
  <c r="AO31" i="1"/>
  <c r="AN31" i="1"/>
  <c r="AM31" i="1"/>
  <c r="AJ31" i="1"/>
  <c r="AI31" i="1"/>
  <c r="AH31" i="1"/>
  <c r="AG31" i="1"/>
  <c r="AF31" i="1"/>
  <c r="AC31" i="1"/>
  <c r="AB31" i="1"/>
  <c r="AA31" i="1"/>
  <c r="Z31" i="1"/>
  <c r="Y31" i="1"/>
  <c r="V31" i="1"/>
  <c r="U31" i="1"/>
  <c r="T31" i="1"/>
  <c r="S31" i="1"/>
  <c r="R31" i="1"/>
  <c r="O31" i="1"/>
  <c r="N31" i="1"/>
  <c r="M31" i="1"/>
  <c r="L31" i="1"/>
  <c r="K31" i="1"/>
  <c r="H31" i="1"/>
  <c r="G31" i="1"/>
  <c r="F31" i="1"/>
  <c r="E31" i="1"/>
  <c r="D31" i="1"/>
  <c r="BH30" i="1"/>
  <c r="BE30" i="1"/>
  <c r="BD30" i="1"/>
  <c r="BC30" i="1"/>
  <c r="BB30" i="1"/>
  <c r="BA30" i="1"/>
  <c r="AX30" i="1"/>
  <c r="AW30" i="1"/>
  <c r="AV30" i="1"/>
  <c r="AU30" i="1"/>
  <c r="AT30" i="1"/>
  <c r="AQ30" i="1"/>
  <c r="AP30" i="1"/>
  <c r="AO30" i="1"/>
  <c r="AN30" i="1"/>
  <c r="AM30" i="1"/>
  <c r="AJ30" i="1"/>
  <c r="AI30" i="1"/>
  <c r="AH30" i="1"/>
  <c r="AG30" i="1"/>
  <c r="AF30" i="1"/>
  <c r="AC30" i="1"/>
  <c r="AB30" i="1"/>
  <c r="AA30" i="1"/>
  <c r="Z30" i="1"/>
  <c r="Y30" i="1"/>
  <c r="V30" i="1"/>
  <c r="U30" i="1"/>
  <c r="T30" i="1"/>
  <c r="S30" i="1"/>
  <c r="R30" i="1"/>
  <c r="O30" i="1"/>
  <c r="N30" i="1"/>
  <c r="M30" i="1"/>
  <c r="L30" i="1"/>
  <c r="K30" i="1"/>
  <c r="H30" i="1"/>
  <c r="G30" i="1"/>
  <c r="F30" i="1"/>
  <c r="E30" i="1"/>
  <c r="D30" i="1"/>
  <c r="BH29" i="1"/>
  <c r="BE29" i="1"/>
  <c r="BD29" i="1"/>
  <c r="BC29" i="1"/>
  <c r="BB29" i="1"/>
  <c r="BA29" i="1"/>
  <c r="AX29" i="1"/>
  <c r="AW29" i="1"/>
  <c r="AV29" i="1"/>
  <c r="AU29" i="1"/>
  <c r="AT29" i="1"/>
  <c r="AQ29" i="1"/>
  <c r="AP29" i="1"/>
  <c r="AO29" i="1"/>
  <c r="AN29" i="1"/>
  <c r="AM29" i="1"/>
  <c r="AJ29" i="1"/>
  <c r="AI29" i="1"/>
  <c r="AH29" i="1"/>
  <c r="AG29" i="1"/>
  <c r="AF29" i="1"/>
  <c r="AC29" i="1"/>
  <c r="AB29" i="1"/>
  <c r="AA29" i="1"/>
  <c r="Z29" i="1"/>
  <c r="Y29" i="1"/>
  <c r="V29" i="1"/>
  <c r="U29" i="1"/>
  <c r="T29" i="1"/>
  <c r="S29" i="1"/>
  <c r="R29" i="1"/>
  <c r="O29" i="1"/>
  <c r="N29" i="1"/>
  <c r="M29" i="1"/>
  <c r="L29" i="1"/>
  <c r="K29" i="1"/>
  <c r="H29" i="1"/>
  <c r="G29" i="1"/>
  <c r="F29" i="1"/>
  <c r="E29" i="1"/>
  <c r="D29" i="1"/>
  <c r="BH28" i="1"/>
  <c r="BE28" i="1"/>
  <c r="BD28" i="1"/>
  <c r="BC28" i="1"/>
  <c r="BB28" i="1"/>
  <c r="BA28" i="1"/>
  <c r="AX28" i="1"/>
  <c r="AW28" i="1"/>
  <c r="AV28" i="1"/>
  <c r="AU28" i="1"/>
  <c r="AT28" i="1"/>
  <c r="AQ28" i="1"/>
  <c r="AP28" i="1"/>
  <c r="AO28" i="1"/>
  <c r="AN28" i="1"/>
  <c r="AM28" i="1"/>
  <c r="AJ28" i="1"/>
  <c r="AI28" i="1"/>
  <c r="AH28" i="1"/>
  <c r="AG28" i="1"/>
  <c r="AF28" i="1"/>
  <c r="AC28" i="1"/>
  <c r="AB28" i="1"/>
  <c r="AA28" i="1"/>
  <c r="Z28" i="1"/>
  <c r="Y28" i="1"/>
  <c r="V28" i="1"/>
  <c r="U28" i="1"/>
  <c r="T28" i="1"/>
  <c r="S28" i="1"/>
  <c r="R28" i="1"/>
  <c r="O28" i="1"/>
  <c r="N28" i="1"/>
  <c r="M28" i="1"/>
  <c r="L28" i="1"/>
  <c r="K28" i="1"/>
  <c r="H28" i="1"/>
  <c r="G28" i="1"/>
  <c r="F28" i="1"/>
  <c r="E28" i="1"/>
  <c r="D28" i="1"/>
  <c r="BH27" i="1"/>
  <c r="BE27" i="1"/>
  <c r="BD27" i="1"/>
  <c r="BC27" i="1"/>
  <c r="BB27" i="1"/>
  <c r="BA27" i="1"/>
  <c r="AX27" i="1"/>
  <c r="AW27" i="1"/>
  <c r="AV27" i="1"/>
  <c r="AU27" i="1"/>
  <c r="AT27" i="1"/>
  <c r="AQ27" i="1"/>
  <c r="AP27" i="1"/>
  <c r="AO27" i="1"/>
  <c r="AN27" i="1"/>
  <c r="AM27" i="1"/>
  <c r="AJ27" i="1"/>
  <c r="AI27" i="1"/>
  <c r="AH27" i="1"/>
  <c r="AG27" i="1"/>
  <c r="AF27" i="1"/>
  <c r="AC27" i="1"/>
  <c r="AB27" i="1"/>
  <c r="AA27" i="1"/>
  <c r="Z27" i="1"/>
  <c r="Y27" i="1"/>
  <c r="V27" i="1"/>
  <c r="U27" i="1"/>
  <c r="T27" i="1"/>
  <c r="S27" i="1"/>
  <c r="R27" i="1"/>
  <c r="O27" i="1"/>
  <c r="N27" i="1"/>
  <c r="M27" i="1"/>
  <c r="L27" i="1"/>
  <c r="K27" i="1"/>
  <c r="H27" i="1"/>
  <c r="G27" i="1"/>
  <c r="F27" i="1"/>
  <c r="E27" i="1"/>
  <c r="D27" i="1"/>
  <c r="BH26" i="1"/>
  <c r="BE26" i="1"/>
  <c r="BD26" i="1"/>
  <c r="BC26" i="1"/>
  <c r="BB26" i="1"/>
  <c r="BA26" i="1"/>
  <c r="AX26" i="1"/>
  <c r="AW26" i="1"/>
  <c r="AV26" i="1"/>
  <c r="AU26" i="1"/>
  <c r="AT26" i="1"/>
  <c r="AQ26" i="1"/>
  <c r="AP26" i="1"/>
  <c r="AO26" i="1"/>
  <c r="AN26" i="1"/>
  <c r="AM26" i="1"/>
  <c r="AJ26" i="1"/>
  <c r="AI26" i="1"/>
  <c r="AH26" i="1"/>
  <c r="AG26" i="1"/>
  <c r="AF26" i="1"/>
  <c r="AC26" i="1"/>
  <c r="AB26" i="1"/>
  <c r="AA26" i="1"/>
  <c r="Z26" i="1"/>
  <c r="Y26" i="1"/>
  <c r="V26" i="1"/>
  <c r="U26" i="1"/>
  <c r="T26" i="1"/>
  <c r="S26" i="1"/>
  <c r="R26" i="1"/>
  <c r="O26" i="1"/>
  <c r="N26" i="1"/>
  <c r="M26" i="1"/>
  <c r="L26" i="1"/>
  <c r="K26" i="1"/>
  <c r="H26" i="1"/>
  <c r="G26" i="1"/>
  <c r="F26" i="1"/>
  <c r="E26" i="1"/>
  <c r="D26" i="1"/>
  <c r="BK12" i="1"/>
  <c r="BK11" i="1"/>
  <c r="BK10" i="1"/>
  <c r="BK9" i="1"/>
  <c r="BK8" i="1"/>
  <c r="BK7" i="1"/>
  <c r="BK6" i="1"/>
  <c r="BK5" i="1"/>
  <c r="BK4" i="1"/>
  <c r="BK3" i="1"/>
  <c r="BK2" i="1"/>
</calcChain>
</file>

<file path=xl/sharedStrings.xml><?xml version="1.0" encoding="utf-8"?>
<sst xmlns="http://schemas.openxmlformats.org/spreadsheetml/2006/main" count="1509" uniqueCount="67">
  <si>
    <t>Staff</t>
  </si>
  <si>
    <t>Alpha</t>
  </si>
  <si>
    <t>post_call_cover</t>
  </si>
  <si>
    <t>Bravo</t>
  </si>
  <si>
    <t>Charlie</t>
  </si>
  <si>
    <t>Delta</t>
  </si>
  <si>
    <t>Echo</t>
  </si>
  <si>
    <t>Foxtrot</t>
  </si>
  <si>
    <t>Golf</t>
  </si>
  <si>
    <t>Hotel</t>
  </si>
  <si>
    <t>India</t>
  </si>
  <si>
    <t>Juliet</t>
  </si>
  <si>
    <t>Kilo</t>
  </si>
  <si>
    <t>leave</t>
  </si>
  <si>
    <t>Team</t>
  </si>
  <si>
    <t>Requirement</t>
  </si>
  <si>
    <t>Total Calls</t>
  </si>
  <si>
    <t>Total Leaves</t>
  </si>
  <si>
    <t>Leave per team</t>
  </si>
  <si>
    <t>Priority</t>
  </si>
  <si>
    <t>go</t>
  </si>
  <si>
    <t>subobs</t>
  </si>
  <si>
    <t>bg</t>
  </si>
  <si>
    <t>9ab</t>
  </si>
  <si>
    <t>ds</t>
  </si>
  <si>
    <t>b1</t>
  </si>
  <si>
    <t>bg (call)</t>
  </si>
  <si>
    <t xml:space="preserve"> (call)</t>
  </si>
  <si>
    <t>ds (call)</t>
  </si>
  <si>
    <t>9ab (call)</t>
  </si>
  <si>
    <t>subobs (call)</t>
  </si>
  <si>
    <t>go (call)</t>
  </si>
  <si>
    <t>b1 (call)</t>
  </si>
  <si>
    <t xml:space="preserve">Req </t>
  </si>
  <si>
    <t>Sacrificability</t>
  </si>
  <si>
    <t>ps_cover</t>
  </si>
  <si>
    <t>Calls per team</t>
  </si>
  <si>
    <t>ps_cover (call)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</si>
  <si>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</si>
  <si>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</si>
  <si>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</si>
  <si>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</si>
  <si>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</si>
  <si>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</si>
  <si>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</si>
  <si>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</si>
  <si>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</si>
  <si>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</si>
  <si>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</si>
  <si>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</si>
  <si>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</si>
  <si>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</si>
  <si>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</si>
  <si>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</si>
  <si>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</si>
  <si>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</si>
  <si>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team_subobs</t>
  </si>
  <si>
    <t>team_ds</t>
  </si>
  <si>
    <t>team_9ab</t>
  </si>
  <si>
    <t>team_b1</t>
  </si>
  <si>
    <t>team_bg</t>
  </si>
  <si>
    <t>team_go</t>
  </si>
  <si>
    <t>B</t>
  </si>
  <si>
    <t>L</t>
  </si>
  <si>
    <t>Metric</t>
  </si>
  <si>
    <t>Call Requirement</t>
  </si>
  <si>
    <t>(call)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</si>
</sst>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sz val="12"/>
      <color theme="1" tint="0.499984740745262"/>
      <name val="Aptos Narrow"/>
      <family val="2"/>
      <scheme val="minor"/>
    </font>
    <font>
      <sz val="12"/>
      <color rgb="FFBBBEBF"/>
      <name val="Menlo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scheme val="minor"/>
    </font>
    <font>
      <sz val="12"/>
      <name val="Aptos Narrow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34" borderId="0" xfId="0" applyFill="1"/>
    <xf numFmtId="0" fontId="18" fillId="33" borderId="0" xfId="0" applyFont="1" applyFill="1"/>
    <xf numFmtId="0" fontId="19" fillId="33" borderId="0" xfId="0" applyFont="1" applyFill="1"/>
    <xf numFmtId="0" fontId="19" fillId="34" borderId="0" xfId="0" applyFont="1" applyFill="1"/>
    <xf numFmtId="0" fontId="0" fillId="34" borderId="0" xfId="0" applyFill="1" applyAlignment="1">
      <alignment horizontal="right"/>
    </xf>
    <xf numFmtId="0" fontId="19" fillId="34" borderId="0" xfId="0" applyFont="1" applyFill="1" applyAlignment="1">
      <alignment horizontal="right"/>
    </xf>
    <xf numFmtId="0" fontId="17" fillId="34" borderId="0" xfId="0" applyFont="1" applyFill="1"/>
    <xf numFmtId="0" fontId="18" fillId="34" borderId="0" xfId="0" applyFont="1" applyFill="1"/>
    <xf numFmtId="0" fontId="17" fillId="33" borderId="0" xfId="0" applyFont="1" applyFill="1" applyAlignment="1">
      <alignment horizontal="left"/>
    </xf>
    <xf numFmtId="14" fontId="17" fillId="33" borderId="0" xfId="0" applyNumberFormat="1" applyFont="1" applyFill="1" applyAlignment="1">
      <alignment horizontal="left"/>
    </xf>
    <xf numFmtId="0" fontId="0" fillId="34" borderId="0" xfId="0" applyFill="1" applyAlignment="1">
      <alignment horizontal="left"/>
    </xf>
    <xf numFmtId="0" fontId="19" fillId="3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0" fillId="34" borderId="0" xfId="0" applyFont="1" applyFill="1"/>
    <xf numFmtId="0" fontId="20" fillId="34" borderId="0" xfId="0" applyFont="1" applyFill="1" applyAlignment="1">
      <alignment horizontal="right"/>
    </xf>
    <xf numFmtId="0" fontId="20" fillId="34" borderId="0" xfId="0" applyFont="1" applyFill="1" applyAlignment="1">
      <alignment horizontal="left"/>
    </xf>
    <xf numFmtId="0" fontId="17" fillId="35" borderId="0" xfId="0" applyFont="1" applyFill="1" applyAlignment="1">
      <alignment horizontal="left"/>
    </xf>
    <xf numFmtId="0" fontId="21" fillId="0" borderId="0" xfId="0" applyFont="1"/>
    <xf numFmtId="14" fontId="0" fillId="36" borderId="0" xfId="0" applyNumberFormat="1" applyFill="1"/>
    <xf numFmtId="0" fontId="0" fillId="36" borderId="0" xfId="0" applyFill="1"/>
    <xf numFmtId="0" fontId="21" fillId="0" borderId="0" xfId="0" applyFont="1" applyFill="1"/>
    <xf numFmtId="14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right"/>
    </xf>
    <xf numFmtId="0" fontId="20" fillId="0" borderId="0" xfId="0" applyFont="1" applyFill="1"/>
    <xf numFmtId="0" fontId="22" fillId="37" borderId="0" xfId="0" applyFont="1" applyFill="1"/>
    <xf numFmtId="0" fontId="23" fillId="0" borderId="0" xfId="0" applyFont="1" applyFill="1" applyAlignment="1">
      <alignment horizontal="left"/>
    </xf>
    <xf numFmtId="14" fontId="23" fillId="0" borderId="0" xfId="0" applyNumberFormat="1" applyFont="1" applyFill="1" applyAlignment="1">
      <alignment horizontal="left"/>
    </xf>
    <xf numFmtId="0" fontId="24" fillId="38" borderId="0" xfId="0" applyFont="1" applyFill="1"/>
    <xf numFmtId="0" fontId="25" fillId="38" borderId="0" xfId="0" applyFont="1" applyFill="1"/>
    <xf numFmtId="0" fontId="25" fillId="38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2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ont>
        <color theme="8" tint="-0.499984740745262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color theme="0" tint="-0.2499465926084170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b val="0"/>
        <i/>
        <color rgb="FF9C0006"/>
      </font>
    </dxf>
    <dxf>
      <font>
        <color rgb="FF002060"/>
      </font>
    </dxf>
    <dxf>
      <font>
        <color theme="5" tint="-0.499984740745262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ont>
        <color theme="0" tint="-0.14996795556505021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ont>
        <color theme="0" tint="-0.14996795556505021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ont>
        <color theme="0" tint="-0.14996795556505021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ont>
        <color theme="0" tint="-0.14996795556505021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ont>
        <color theme="0" tint="-0.14996795556505021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ont>
        <color theme="8" tint="-0.499984740745262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b val="0"/>
        <i/>
        <color theme="0" tint="-0.24994659260841701"/>
      </font>
      <fill>
        <patternFill>
          <bgColor theme="0" tint="-0.14996795556505021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color theme="0" tint="-0.24994659260841701"/>
      </font>
    </dxf>
    <dxf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b val="0"/>
        <i/>
        <color rgb="FF9C0006"/>
      </font>
    </dxf>
    <dxf>
      <font>
        <color rgb="FF002060"/>
      </font>
    </dxf>
    <dxf>
      <font>
        <color theme="5" tint="-0.499984740745262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ont>
        <color theme="0" tint="-0.14996795556505021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ont>
        <color theme="0" tint="-0.14996795556505021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ont>
        <color theme="0" tint="-0.14996795556505021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ont>
        <color theme="0" tint="-0.14996795556505021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ont>
        <color theme="0" tint="-0.14996795556505021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ont>
        <color theme="0" tint="-0.14996795556505021"/>
      </font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color theme="0" tint="-0.24994659260841701"/>
      </font>
    </dxf>
    <dxf>
      <font>
        <color theme="8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8" tint="-0.499984740745262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theme="5" tint="-0.499984740745262"/>
      </font>
    </dxf>
    <dxf>
      <font>
        <b val="0"/>
        <i/>
        <color theme="0" tint="-0.24994659260841701"/>
      </font>
      <fill>
        <patternFill>
          <bgColor theme="0" tint="-0.14996795556505021"/>
        </patternFill>
      </fill>
    </dxf>
    <dxf>
      <font>
        <color rgb="FF7030A0"/>
      </font>
    </dxf>
    <dxf>
      <font>
        <color rgb="FF002060"/>
      </font>
    </dxf>
    <dxf>
      <font>
        <color rgb="FF00B0F0"/>
      </font>
    </dxf>
    <dxf>
      <font>
        <color theme="0" tint="-0.24994659260841701"/>
      </font>
    </dxf>
    <dxf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</dxfs>
  <tableStyles count="0" defaultTableStyle="TableStyleMedium2" defaultPivotStyle="PivotStyleLight16"/>
  <colors>
    <mruColors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FB3C-F549-B445-8FAC-6A8698B2E5CC}">
  <dimension ref="A1:BQ37"/>
  <sheetViews>
    <sheetView zoomScale="157" workbookViewId="0">
      <selection activeCell="U5" sqref="U5"/>
    </sheetView>
  </sheetViews>
  <sheetFormatPr baseColWidth="10" defaultRowHeight="16" x14ac:dyDescent="0.2"/>
  <cols>
    <col min="1" max="1" width="8.83203125" customWidth="1"/>
    <col min="2" max="2" width="6.6640625" customWidth="1"/>
    <col min="3" max="3" width="13.1640625" customWidth="1"/>
    <col min="4" max="5" width="8.83203125" style="1" customWidth="1"/>
    <col min="6" max="7" width="8.83203125" customWidth="1"/>
    <col min="8" max="9" width="8.83203125" style="1" customWidth="1"/>
    <col min="10" max="14" width="8.83203125" customWidth="1"/>
    <col min="15" max="16" width="8.83203125" style="1" customWidth="1"/>
    <col min="17" max="21" width="8.83203125" customWidth="1"/>
    <col min="22" max="23" width="8.83203125" style="1" customWidth="1"/>
    <col min="24" max="28" width="8.83203125" customWidth="1"/>
    <col min="29" max="30" width="8.83203125" style="1" customWidth="1"/>
    <col min="31" max="35" width="8.83203125" customWidth="1"/>
    <col min="36" max="37" width="8.83203125" style="1" customWidth="1"/>
    <col min="38" max="42" width="8.83203125" customWidth="1"/>
    <col min="43" max="44" width="8.83203125" style="1" customWidth="1"/>
    <col min="45" max="49" width="8.83203125" customWidth="1"/>
    <col min="50" max="51" width="8.83203125" style="1" customWidth="1"/>
    <col min="52" max="56" width="8.83203125" customWidth="1"/>
    <col min="57" max="58" width="8.83203125" style="1" customWidth="1"/>
    <col min="59" max="63" width="8.83203125" customWidth="1"/>
    <col min="64" max="65" width="8.83203125" style="1" customWidth="1"/>
    <col min="66" max="67" width="8.83203125" customWidth="1"/>
    <col min="68" max="69" width="8.83203125" style="13" customWidth="1"/>
  </cols>
  <sheetData>
    <row r="1" spans="1:69" s="9" customFormat="1" x14ac:dyDescent="0.2">
      <c r="E1" s="18"/>
      <c r="F1" s="10"/>
      <c r="G1" s="10"/>
      <c r="H1" s="18" t="s">
        <v>0</v>
      </c>
      <c r="I1" s="10">
        <v>46033</v>
      </c>
      <c r="J1" s="10">
        <v>46064</v>
      </c>
      <c r="K1" s="10">
        <v>46092</v>
      </c>
      <c r="L1" s="10">
        <v>46123</v>
      </c>
      <c r="M1" s="10">
        <v>46153</v>
      </c>
      <c r="N1" s="10">
        <v>46184</v>
      </c>
      <c r="O1" s="10">
        <v>46214</v>
      </c>
      <c r="P1" s="10">
        <v>46245</v>
      </c>
      <c r="Q1" s="10">
        <v>46276</v>
      </c>
      <c r="R1" s="10">
        <v>46306</v>
      </c>
      <c r="S1" s="10">
        <v>46337</v>
      </c>
      <c r="T1" s="10">
        <v>46367</v>
      </c>
      <c r="U1" s="10" t="s">
        <v>38</v>
      </c>
      <c r="V1" s="10" t="s">
        <v>39</v>
      </c>
      <c r="W1" s="10" t="s">
        <v>40</v>
      </c>
      <c r="X1" s="10" t="s">
        <v>41</v>
      </c>
      <c r="Y1" s="10" t="s">
        <v>42</v>
      </c>
      <c r="Z1" s="10" t="s">
        <v>43</v>
      </c>
      <c r="AA1" s="10" t="s">
        <v>44</v>
      </c>
      <c r="AB1" s="10" t="s">
        <v>45</v>
      </c>
      <c r="AC1" s="10" t="s">
        <v>46</v>
      </c>
      <c r="AD1" s="10" t="s">
        <v>47</v>
      </c>
      <c r="AE1" s="10" t="s">
        <v>48</v>
      </c>
      <c r="AF1" s="10" t="s">
        <v>49</v>
      </c>
      <c r="AG1" s="10" t="s">
        <v>50</v>
      </c>
      <c r="AH1" s="10" t="s">
        <v>51</v>
      </c>
      <c r="AI1" s="10" t="s">
        <v>52</v>
      </c>
      <c r="AJ1" s="10" t="s">
        <v>53</v>
      </c>
      <c r="AK1" s="10" t="s">
        <v>54</v>
      </c>
      <c r="AL1" s="10" t="s">
        <v>55</v>
      </c>
      <c r="AM1" s="10">
        <v>46329</v>
      </c>
      <c r="AN1" s="10">
        <v>46330</v>
      </c>
      <c r="AO1" s="10">
        <v>46331</v>
      </c>
      <c r="AP1" s="10">
        <v>46332</v>
      </c>
      <c r="AQ1" s="10">
        <v>46333</v>
      </c>
      <c r="AR1" s="10">
        <v>46334</v>
      </c>
      <c r="AS1" s="10">
        <v>46335</v>
      </c>
      <c r="AT1" s="10">
        <v>46336</v>
      </c>
      <c r="AU1" s="10">
        <v>46337</v>
      </c>
      <c r="AV1" s="10">
        <v>46338</v>
      </c>
      <c r="AW1" s="10">
        <v>46339</v>
      </c>
      <c r="AX1" s="10">
        <v>46340</v>
      </c>
      <c r="AY1" s="10">
        <v>46341</v>
      </c>
      <c r="AZ1" s="10">
        <v>46342</v>
      </c>
      <c r="BA1" s="10">
        <v>46343</v>
      </c>
      <c r="BB1" s="10">
        <v>46344</v>
      </c>
      <c r="BC1" s="10">
        <v>46345</v>
      </c>
      <c r="BD1" s="10">
        <v>46346</v>
      </c>
      <c r="BE1" s="10">
        <v>46347</v>
      </c>
      <c r="BF1" s="10">
        <v>46348</v>
      </c>
      <c r="BG1" s="10">
        <v>46349</v>
      </c>
      <c r="BH1" s="10">
        <v>46350</v>
      </c>
      <c r="BI1" s="10">
        <v>46351</v>
      </c>
      <c r="BJ1" s="10">
        <v>46352</v>
      </c>
      <c r="BK1" s="10">
        <v>46353</v>
      </c>
      <c r="BL1" s="10">
        <v>46354</v>
      </c>
      <c r="BM1" s="10">
        <v>46355</v>
      </c>
      <c r="BN1" s="10">
        <v>46356</v>
      </c>
      <c r="BP1" s="9" t="s">
        <v>16</v>
      </c>
      <c r="BQ1" s="9" t="s">
        <v>17</v>
      </c>
    </row>
    <row r="2" spans="1:69" x14ac:dyDescent="0.2">
      <c r="E2" s="18"/>
      <c r="H2" s="18" t="s">
        <v>1</v>
      </c>
      <c r="J2" t="s">
        <v>30</v>
      </c>
      <c r="K2" t="s">
        <v>21</v>
      </c>
      <c r="L2" t="s">
        <v>21</v>
      </c>
      <c r="M2" t="s">
        <v>21</v>
      </c>
      <c r="N2" t="s">
        <v>21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W2" s="1" t="s">
        <v>27</v>
      </c>
      <c r="X2" t="s">
        <v>24</v>
      </c>
      <c r="Y2" t="s">
        <v>24</v>
      </c>
      <c r="Z2" t="s">
        <v>24</v>
      </c>
      <c r="AA2" t="s">
        <v>24</v>
      </c>
      <c r="AB2" t="s">
        <v>24</v>
      </c>
      <c r="AE2" t="s">
        <v>25</v>
      </c>
      <c r="AF2" t="s">
        <v>25</v>
      </c>
      <c r="AG2" t="s">
        <v>25</v>
      </c>
      <c r="AH2" t="s">
        <v>25</v>
      </c>
      <c r="AI2" t="s">
        <v>25</v>
      </c>
      <c r="AL2" t="s">
        <v>30</v>
      </c>
      <c r="AM2" t="s">
        <v>24</v>
      </c>
      <c r="AN2" t="s">
        <v>24</v>
      </c>
      <c r="AO2" t="s">
        <v>24</v>
      </c>
      <c r="AP2" t="s">
        <v>13</v>
      </c>
      <c r="AS2" t="s">
        <v>23</v>
      </c>
      <c r="AT2" t="s">
        <v>29</v>
      </c>
      <c r="AU2" t="s">
        <v>23</v>
      </c>
      <c r="AV2" t="s">
        <v>13</v>
      </c>
      <c r="AW2" t="s">
        <v>23</v>
      </c>
      <c r="AZ2" t="s">
        <v>25</v>
      </c>
      <c r="BA2" t="s">
        <v>25</v>
      </c>
      <c r="BB2" t="s">
        <v>25</v>
      </c>
      <c r="BC2" t="s">
        <v>25</v>
      </c>
      <c r="BD2" t="s">
        <v>25</v>
      </c>
      <c r="BG2" t="s">
        <v>35</v>
      </c>
      <c r="BH2" t="s">
        <v>35</v>
      </c>
      <c r="BI2" t="s">
        <v>35</v>
      </c>
      <c r="BJ2" t="s">
        <v>35</v>
      </c>
      <c r="BK2" t="s">
        <v>35</v>
      </c>
      <c r="BM2" s="1" t="s">
        <v>27</v>
      </c>
      <c r="BN2" t="s">
        <v>24</v>
      </c>
      <c r="BP2" s="17">
        <f t="shared" ref="BP2:BP12" si="0">COUNTIF($A2:$BN2, "*(call)*")</f>
        <v>5</v>
      </c>
      <c r="BQ2" s="17">
        <f>COUNTIF($A2:$BN2, "leave")</f>
        <v>2</v>
      </c>
    </row>
    <row r="3" spans="1:69" x14ac:dyDescent="0.2">
      <c r="E3" s="18"/>
      <c r="H3" s="18" t="s">
        <v>3</v>
      </c>
      <c r="J3" t="s">
        <v>23</v>
      </c>
      <c r="K3" t="s">
        <v>29</v>
      </c>
      <c r="L3" t="s">
        <v>23</v>
      </c>
      <c r="M3" t="s">
        <v>23</v>
      </c>
      <c r="N3" t="s">
        <v>23</v>
      </c>
      <c r="P3" s="1" t="s">
        <v>27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E3" t="s">
        <v>24</v>
      </c>
      <c r="AF3" t="s">
        <v>24</v>
      </c>
      <c r="AG3" t="s">
        <v>28</v>
      </c>
      <c r="AH3" t="s">
        <v>24</v>
      </c>
      <c r="AI3" t="s">
        <v>24</v>
      </c>
      <c r="AK3" s="1" t="s">
        <v>27</v>
      </c>
      <c r="AL3" t="s">
        <v>20</v>
      </c>
      <c r="AM3" t="s">
        <v>35</v>
      </c>
      <c r="AN3" t="s">
        <v>35</v>
      </c>
      <c r="AO3" t="s">
        <v>35</v>
      </c>
      <c r="AP3" t="s">
        <v>35</v>
      </c>
      <c r="AR3" s="1" t="s">
        <v>27</v>
      </c>
      <c r="AS3" t="s">
        <v>25</v>
      </c>
      <c r="AT3" t="s">
        <v>25</v>
      </c>
      <c r="AU3" t="s">
        <v>25</v>
      </c>
      <c r="AV3" t="s">
        <v>25</v>
      </c>
      <c r="AW3" t="s">
        <v>25</v>
      </c>
      <c r="AZ3" t="s">
        <v>30</v>
      </c>
      <c r="BA3" t="s">
        <v>21</v>
      </c>
      <c r="BB3" t="s">
        <v>21</v>
      </c>
      <c r="BC3" t="s">
        <v>21</v>
      </c>
      <c r="BD3" t="s">
        <v>30</v>
      </c>
      <c r="BG3" t="s">
        <v>23</v>
      </c>
      <c r="BH3" t="s">
        <v>23</v>
      </c>
      <c r="BI3" t="s">
        <v>23</v>
      </c>
      <c r="BJ3" t="s">
        <v>23</v>
      </c>
      <c r="BK3" t="s">
        <v>13</v>
      </c>
      <c r="BN3" t="s">
        <v>26</v>
      </c>
      <c r="BP3" s="17">
        <f t="shared" si="0"/>
        <v>8</v>
      </c>
      <c r="BQ3" s="17">
        <f t="shared" ref="BQ3:BQ12" si="1">COUNTIF($A3:$BN3, "leave")</f>
        <v>1</v>
      </c>
    </row>
    <row r="4" spans="1:69" x14ac:dyDescent="0.2">
      <c r="D4" s="7"/>
      <c r="E4" s="18"/>
      <c r="H4" s="18" t="s">
        <v>4</v>
      </c>
      <c r="J4" t="s">
        <v>22</v>
      </c>
      <c r="K4" t="s">
        <v>22</v>
      </c>
      <c r="L4" t="s">
        <v>26</v>
      </c>
      <c r="M4" t="s">
        <v>22</v>
      </c>
      <c r="N4" t="s">
        <v>22</v>
      </c>
      <c r="O4" s="1" t="s">
        <v>27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X4" t="s">
        <v>29</v>
      </c>
      <c r="Y4" t="s">
        <v>23</v>
      </c>
      <c r="Z4" t="s">
        <v>23</v>
      </c>
      <c r="AA4" t="s">
        <v>23</v>
      </c>
      <c r="AB4" t="s">
        <v>23</v>
      </c>
      <c r="AC4" s="1" t="s">
        <v>27</v>
      </c>
      <c r="AE4" t="s">
        <v>21</v>
      </c>
      <c r="AF4" t="s">
        <v>21</v>
      </c>
      <c r="AG4" t="s">
        <v>21</v>
      </c>
      <c r="AH4" t="s">
        <v>21</v>
      </c>
      <c r="AI4" t="s">
        <v>21</v>
      </c>
      <c r="AL4" t="s">
        <v>24</v>
      </c>
      <c r="AM4" t="s">
        <v>21</v>
      </c>
      <c r="AN4" t="s">
        <v>21</v>
      </c>
      <c r="AO4" t="s">
        <v>30</v>
      </c>
      <c r="AP4" t="s">
        <v>21</v>
      </c>
      <c r="AS4" t="s">
        <v>24</v>
      </c>
      <c r="AT4" t="s">
        <v>24</v>
      </c>
      <c r="AU4" t="s">
        <v>24</v>
      </c>
      <c r="AV4" t="s">
        <v>24</v>
      </c>
      <c r="AW4" t="s">
        <v>13</v>
      </c>
      <c r="AZ4" t="s">
        <v>13</v>
      </c>
      <c r="BA4" t="s">
        <v>13</v>
      </c>
      <c r="BB4" t="s">
        <v>13</v>
      </c>
      <c r="BC4" t="s">
        <v>13</v>
      </c>
      <c r="BD4" t="s">
        <v>24</v>
      </c>
      <c r="BG4" t="s">
        <v>26</v>
      </c>
      <c r="BH4" t="s">
        <v>22</v>
      </c>
      <c r="BI4" t="s">
        <v>22</v>
      </c>
      <c r="BJ4" t="s">
        <v>22</v>
      </c>
      <c r="BK4" t="s">
        <v>22</v>
      </c>
      <c r="BL4" s="1" t="s">
        <v>27</v>
      </c>
      <c r="BN4" t="s">
        <v>21</v>
      </c>
      <c r="BP4" s="17">
        <f t="shared" si="0"/>
        <v>7</v>
      </c>
      <c r="BQ4" s="17">
        <f t="shared" si="1"/>
        <v>5</v>
      </c>
    </row>
    <row r="5" spans="1:69" x14ac:dyDescent="0.2">
      <c r="E5" s="18"/>
      <c r="H5" s="18" t="s">
        <v>5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W5" s="1" t="s">
        <v>27</v>
      </c>
      <c r="X5" t="s">
        <v>21</v>
      </c>
      <c r="Y5" t="s">
        <v>21</v>
      </c>
      <c r="Z5" t="s">
        <v>21</v>
      </c>
      <c r="AA5" t="s">
        <v>21</v>
      </c>
      <c r="AB5" t="s">
        <v>21</v>
      </c>
      <c r="AE5" t="s">
        <v>28</v>
      </c>
      <c r="AF5" t="s">
        <v>24</v>
      </c>
      <c r="AG5" t="s">
        <v>24</v>
      </c>
      <c r="AH5" t="s">
        <v>28</v>
      </c>
      <c r="AI5" t="s">
        <v>24</v>
      </c>
      <c r="AL5" t="s">
        <v>21</v>
      </c>
      <c r="AM5" t="s">
        <v>22</v>
      </c>
      <c r="AN5" t="s">
        <v>22</v>
      </c>
      <c r="AO5" t="s">
        <v>22</v>
      </c>
      <c r="AP5" t="s">
        <v>22</v>
      </c>
      <c r="AS5" t="s">
        <v>30</v>
      </c>
      <c r="AT5" t="s">
        <v>21</v>
      </c>
      <c r="AU5" t="s">
        <v>21</v>
      </c>
      <c r="AV5" t="s">
        <v>21</v>
      </c>
      <c r="AW5" t="s">
        <v>21</v>
      </c>
      <c r="AZ5" t="s">
        <v>13</v>
      </c>
      <c r="BA5" t="s">
        <v>13</v>
      </c>
      <c r="BB5" t="s">
        <v>13</v>
      </c>
      <c r="BC5" t="s">
        <v>20</v>
      </c>
      <c r="BD5" t="s">
        <v>13</v>
      </c>
      <c r="BG5" t="s">
        <v>13</v>
      </c>
      <c r="BH5" t="s">
        <v>24</v>
      </c>
      <c r="BI5" t="s">
        <v>24</v>
      </c>
      <c r="BJ5" t="s">
        <v>24</v>
      </c>
      <c r="BK5" t="s">
        <v>24</v>
      </c>
      <c r="BL5" s="1" t="s">
        <v>27</v>
      </c>
      <c r="BN5" t="s">
        <v>25</v>
      </c>
      <c r="BP5" s="17">
        <f t="shared" si="0"/>
        <v>5</v>
      </c>
      <c r="BQ5" s="17">
        <f t="shared" si="1"/>
        <v>5</v>
      </c>
    </row>
    <row r="6" spans="1:69" x14ac:dyDescent="0.2">
      <c r="E6" s="18"/>
      <c r="H6" s="18" t="s">
        <v>6</v>
      </c>
      <c r="J6" t="s">
        <v>35</v>
      </c>
      <c r="K6" t="s">
        <v>35</v>
      </c>
      <c r="L6" t="s">
        <v>35</v>
      </c>
      <c r="M6" t="s">
        <v>35</v>
      </c>
      <c r="N6" t="s">
        <v>37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s="1" t="s">
        <v>27</v>
      </c>
      <c r="X6" t="s">
        <v>21</v>
      </c>
      <c r="Y6" t="s">
        <v>21</v>
      </c>
      <c r="Z6" t="s">
        <v>30</v>
      </c>
      <c r="AA6" t="s">
        <v>21</v>
      </c>
      <c r="AB6" t="s">
        <v>21</v>
      </c>
      <c r="AD6" s="1" t="s">
        <v>27</v>
      </c>
      <c r="AE6" t="s">
        <v>23</v>
      </c>
      <c r="AF6" t="s">
        <v>23</v>
      </c>
      <c r="AG6" t="s">
        <v>23</v>
      </c>
      <c r="AH6" t="s">
        <v>23</v>
      </c>
      <c r="AI6" t="s">
        <v>23</v>
      </c>
      <c r="AL6" t="s">
        <v>25</v>
      </c>
      <c r="AM6" t="s">
        <v>21</v>
      </c>
      <c r="AN6" t="s">
        <v>21</v>
      </c>
      <c r="AO6" t="s">
        <v>13</v>
      </c>
      <c r="AP6" t="s">
        <v>21</v>
      </c>
      <c r="AS6" t="s">
        <v>24</v>
      </c>
      <c r="AT6" t="s">
        <v>24</v>
      </c>
      <c r="AU6" t="s">
        <v>24</v>
      </c>
      <c r="AV6" t="s">
        <v>28</v>
      </c>
      <c r="AW6" t="s">
        <v>24</v>
      </c>
      <c r="AY6" s="1" t="s">
        <v>27</v>
      </c>
      <c r="AZ6" t="s">
        <v>21</v>
      </c>
      <c r="BA6" t="s">
        <v>21</v>
      </c>
      <c r="BB6" t="s">
        <v>21</v>
      </c>
      <c r="BC6" t="s">
        <v>21</v>
      </c>
      <c r="BD6" t="s">
        <v>21</v>
      </c>
      <c r="BF6" s="1" t="s">
        <v>27</v>
      </c>
      <c r="BG6" t="s">
        <v>20</v>
      </c>
      <c r="BH6" t="s">
        <v>20</v>
      </c>
      <c r="BI6" t="s">
        <v>20</v>
      </c>
      <c r="BJ6" t="s">
        <v>20</v>
      </c>
      <c r="BK6" t="s">
        <v>20</v>
      </c>
      <c r="BN6" t="s">
        <v>35</v>
      </c>
      <c r="BP6" s="17">
        <f t="shared" si="0"/>
        <v>7</v>
      </c>
      <c r="BQ6" s="17">
        <f t="shared" si="1"/>
        <v>1</v>
      </c>
    </row>
    <row r="7" spans="1:69" x14ac:dyDescent="0.2">
      <c r="E7" s="18"/>
      <c r="H7" s="18" t="s">
        <v>7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Q7" t="s">
        <v>30</v>
      </c>
      <c r="R7" t="s">
        <v>21</v>
      </c>
      <c r="S7" t="s">
        <v>21</v>
      </c>
      <c r="T7" t="s">
        <v>21</v>
      </c>
      <c r="U7" t="s">
        <v>21</v>
      </c>
      <c r="X7" t="s">
        <v>24</v>
      </c>
      <c r="Y7" t="s">
        <v>24</v>
      </c>
      <c r="Z7" t="s">
        <v>24</v>
      </c>
      <c r="AA7" t="s">
        <v>24</v>
      </c>
      <c r="AB7" t="s">
        <v>28</v>
      </c>
      <c r="AE7" t="s">
        <v>21</v>
      </c>
      <c r="AF7" t="s">
        <v>21</v>
      </c>
      <c r="AG7" t="s">
        <v>21</v>
      </c>
      <c r="AH7" t="s">
        <v>21</v>
      </c>
      <c r="AI7" t="s">
        <v>21</v>
      </c>
      <c r="AK7" s="1" t="s">
        <v>27</v>
      </c>
      <c r="AL7" t="s">
        <v>23</v>
      </c>
      <c r="AM7" t="s">
        <v>13</v>
      </c>
      <c r="AN7" t="s">
        <v>13</v>
      </c>
      <c r="AO7" t="s">
        <v>21</v>
      </c>
      <c r="AP7" t="s">
        <v>21</v>
      </c>
      <c r="AQ7" s="1" t="s">
        <v>27</v>
      </c>
      <c r="AS7" t="s">
        <v>23</v>
      </c>
      <c r="AT7" t="s">
        <v>23</v>
      </c>
      <c r="AU7" t="s">
        <v>13</v>
      </c>
      <c r="AV7" t="s">
        <v>23</v>
      </c>
      <c r="AW7" t="s">
        <v>23</v>
      </c>
      <c r="AX7" s="1" t="s">
        <v>27</v>
      </c>
      <c r="AZ7" t="s">
        <v>24</v>
      </c>
      <c r="BA7" t="s">
        <v>24</v>
      </c>
      <c r="BB7" t="s">
        <v>24</v>
      </c>
      <c r="BC7" t="s">
        <v>28</v>
      </c>
      <c r="BD7" t="s">
        <v>24</v>
      </c>
      <c r="BG7" t="s">
        <v>21</v>
      </c>
      <c r="BH7" t="s">
        <v>21</v>
      </c>
      <c r="BI7" t="s">
        <v>21</v>
      </c>
      <c r="BJ7" t="s">
        <v>21</v>
      </c>
      <c r="BK7" t="s">
        <v>30</v>
      </c>
      <c r="BN7" t="s">
        <v>23</v>
      </c>
      <c r="BP7" s="17">
        <f t="shared" si="0"/>
        <v>7</v>
      </c>
      <c r="BQ7" s="17">
        <f t="shared" si="1"/>
        <v>3</v>
      </c>
    </row>
    <row r="8" spans="1:69" x14ac:dyDescent="0.2">
      <c r="E8" s="18"/>
      <c r="H8" s="18" t="s">
        <v>8</v>
      </c>
      <c r="I8" s="1" t="s">
        <v>27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Q8" t="s">
        <v>25</v>
      </c>
      <c r="R8" t="s">
        <v>25</v>
      </c>
      <c r="S8" t="s">
        <v>32</v>
      </c>
      <c r="T8" t="s">
        <v>25</v>
      </c>
      <c r="U8" t="s">
        <v>25</v>
      </c>
      <c r="V8" s="1" t="s">
        <v>27</v>
      </c>
      <c r="X8" t="s">
        <v>21</v>
      </c>
      <c r="Y8" t="s">
        <v>21</v>
      </c>
      <c r="Z8" t="s">
        <v>21</v>
      </c>
      <c r="AA8" t="s">
        <v>21</v>
      </c>
      <c r="AB8" t="s">
        <v>21</v>
      </c>
      <c r="AE8" t="s">
        <v>23</v>
      </c>
      <c r="AF8" t="s">
        <v>23</v>
      </c>
      <c r="AG8" t="s">
        <v>23</v>
      </c>
      <c r="AH8" t="s">
        <v>23</v>
      </c>
      <c r="AI8" t="s">
        <v>29</v>
      </c>
      <c r="AL8" t="s">
        <v>21</v>
      </c>
      <c r="AM8" t="s">
        <v>20</v>
      </c>
      <c r="AN8" t="s">
        <v>20</v>
      </c>
      <c r="AO8" t="s">
        <v>20</v>
      </c>
      <c r="AP8" t="s">
        <v>20</v>
      </c>
      <c r="AS8" t="s">
        <v>22</v>
      </c>
      <c r="AT8" t="s">
        <v>22</v>
      </c>
      <c r="AU8" t="s">
        <v>26</v>
      </c>
      <c r="AV8" t="s">
        <v>22</v>
      </c>
      <c r="AW8" t="s">
        <v>22</v>
      </c>
      <c r="AY8" s="1" t="s">
        <v>27</v>
      </c>
      <c r="AZ8" t="s">
        <v>23</v>
      </c>
      <c r="BA8" t="s">
        <v>23</v>
      </c>
      <c r="BB8" t="s">
        <v>29</v>
      </c>
      <c r="BC8" t="s">
        <v>23</v>
      </c>
      <c r="BD8" t="s">
        <v>23</v>
      </c>
      <c r="BE8" s="1" t="s">
        <v>27</v>
      </c>
      <c r="BG8" t="s">
        <v>21</v>
      </c>
      <c r="BH8" t="s">
        <v>13</v>
      </c>
      <c r="BI8" t="s">
        <v>21</v>
      </c>
      <c r="BJ8" t="s">
        <v>21</v>
      </c>
      <c r="BK8" t="s">
        <v>21</v>
      </c>
      <c r="BN8" t="s">
        <v>24</v>
      </c>
      <c r="BP8" s="17">
        <f t="shared" si="0"/>
        <v>8</v>
      </c>
      <c r="BQ8" s="17">
        <f t="shared" si="1"/>
        <v>1</v>
      </c>
    </row>
    <row r="9" spans="1:69" x14ac:dyDescent="0.2">
      <c r="E9" s="18"/>
      <c r="H9" s="18" t="s">
        <v>9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P9" s="1" t="s">
        <v>27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  <c r="X9" t="s">
        <v>22</v>
      </c>
      <c r="Y9" t="s">
        <v>26</v>
      </c>
      <c r="Z9" t="s">
        <v>22</v>
      </c>
      <c r="AA9" t="s">
        <v>22</v>
      </c>
      <c r="AB9" t="s">
        <v>22</v>
      </c>
      <c r="AE9" t="s">
        <v>20</v>
      </c>
      <c r="AF9" t="s">
        <v>31</v>
      </c>
      <c r="AG9" t="s">
        <v>20</v>
      </c>
      <c r="AH9" t="s">
        <v>20</v>
      </c>
      <c r="AI9" t="s">
        <v>20</v>
      </c>
      <c r="AL9" t="s">
        <v>23</v>
      </c>
      <c r="AM9" t="s">
        <v>23</v>
      </c>
      <c r="AN9" t="s">
        <v>23</v>
      </c>
      <c r="AO9" t="s">
        <v>23</v>
      </c>
      <c r="AP9" t="s">
        <v>23</v>
      </c>
      <c r="AQ9" s="1" t="s">
        <v>27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s="1" t="s">
        <v>27</v>
      </c>
      <c r="AZ9" t="s">
        <v>20</v>
      </c>
      <c r="BA9" t="s">
        <v>31</v>
      </c>
      <c r="BB9" t="s">
        <v>20</v>
      </c>
      <c r="BC9" t="s">
        <v>13</v>
      </c>
      <c r="BD9" t="s">
        <v>20</v>
      </c>
      <c r="BG9" t="s">
        <v>25</v>
      </c>
      <c r="BH9" t="s">
        <v>25</v>
      </c>
      <c r="BI9" t="s">
        <v>32</v>
      </c>
      <c r="BJ9" t="s">
        <v>25</v>
      </c>
      <c r="BK9" t="s">
        <v>25</v>
      </c>
      <c r="BM9" s="1" t="s">
        <v>27</v>
      </c>
      <c r="BN9" t="s">
        <v>20</v>
      </c>
      <c r="BP9" s="17">
        <f t="shared" si="0"/>
        <v>8</v>
      </c>
      <c r="BQ9" s="17">
        <f t="shared" si="1"/>
        <v>1</v>
      </c>
    </row>
    <row r="10" spans="1:69" x14ac:dyDescent="0.2">
      <c r="E10" s="18"/>
      <c r="H10" s="18" t="s">
        <v>10</v>
      </c>
      <c r="I10" s="1" t="s">
        <v>27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Q10" t="s">
        <v>24</v>
      </c>
      <c r="R10" t="s">
        <v>24</v>
      </c>
      <c r="S10" t="s">
        <v>24</v>
      </c>
      <c r="T10" t="s">
        <v>28</v>
      </c>
      <c r="U10" t="s">
        <v>24</v>
      </c>
      <c r="X10" t="s">
        <v>20</v>
      </c>
      <c r="Y10" t="s">
        <v>20</v>
      </c>
      <c r="Z10" t="s">
        <v>20</v>
      </c>
      <c r="AA10" t="s">
        <v>20</v>
      </c>
      <c r="AB10" t="s">
        <v>20</v>
      </c>
      <c r="AC10" s="1" t="s">
        <v>27</v>
      </c>
      <c r="AE10" t="s">
        <v>22</v>
      </c>
      <c r="AF10" t="s">
        <v>22</v>
      </c>
      <c r="AG10" t="s">
        <v>22</v>
      </c>
      <c r="AH10" t="s">
        <v>22</v>
      </c>
      <c r="AI10" t="s">
        <v>22</v>
      </c>
      <c r="AL10" t="s">
        <v>35</v>
      </c>
      <c r="AM10" t="s">
        <v>32</v>
      </c>
      <c r="AN10" t="s">
        <v>25</v>
      </c>
      <c r="AO10" t="s">
        <v>25</v>
      </c>
      <c r="AP10" t="s">
        <v>25</v>
      </c>
      <c r="AS10" t="s">
        <v>13</v>
      </c>
      <c r="AT10" t="s">
        <v>13</v>
      </c>
      <c r="AU10" t="s">
        <v>23</v>
      </c>
      <c r="AV10" t="s">
        <v>23</v>
      </c>
      <c r="AW10" t="s">
        <v>13</v>
      </c>
      <c r="AZ10" t="s">
        <v>22</v>
      </c>
      <c r="BA10" t="s">
        <v>22</v>
      </c>
      <c r="BB10" t="s">
        <v>22</v>
      </c>
      <c r="BC10" t="s">
        <v>22</v>
      </c>
      <c r="BD10" t="s">
        <v>22</v>
      </c>
      <c r="BE10" s="1" t="s">
        <v>27</v>
      </c>
      <c r="BG10" t="s">
        <v>23</v>
      </c>
      <c r="BH10" t="s">
        <v>29</v>
      </c>
      <c r="BI10" t="s">
        <v>23</v>
      </c>
      <c r="BJ10" t="s">
        <v>13</v>
      </c>
      <c r="BK10" t="s">
        <v>23</v>
      </c>
      <c r="BN10" t="s">
        <v>23</v>
      </c>
      <c r="BP10" s="17">
        <f t="shared" si="0"/>
        <v>6</v>
      </c>
      <c r="BQ10" s="17">
        <f t="shared" si="1"/>
        <v>4</v>
      </c>
    </row>
    <row r="11" spans="1:69" x14ac:dyDescent="0.2">
      <c r="E11" s="18"/>
      <c r="H11" s="18" t="s">
        <v>11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s="1" t="s">
        <v>27</v>
      </c>
      <c r="Q11" t="s">
        <v>23</v>
      </c>
      <c r="R11" t="s">
        <v>23</v>
      </c>
      <c r="S11" t="s">
        <v>23</v>
      </c>
      <c r="T11" t="s">
        <v>23</v>
      </c>
      <c r="U11" t="s">
        <v>29</v>
      </c>
      <c r="X11" t="s">
        <v>25</v>
      </c>
      <c r="Y11" t="s">
        <v>25</v>
      </c>
      <c r="Z11" t="s">
        <v>25</v>
      </c>
      <c r="AA11" t="s">
        <v>32</v>
      </c>
      <c r="AB11" t="s">
        <v>25</v>
      </c>
      <c r="AE11" t="s">
        <v>35</v>
      </c>
      <c r="AF11" t="s">
        <v>35</v>
      </c>
      <c r="AG11" t="s">
        <v>35</v>
      </c>
      <c r="AH11" t="s">
        <v>35</v>
      </c>
      <c r="AI11" t="s">
        <v>35</v>
      </c>
      <c r="AJ11" s="1" t="s">
        <v>27</v>
      </c>
      <c r="AL11" t="s">
        <v>24</v>
      </c>
      <c r="AM11" t="s">
        <v>24</v>
      </c>
      <c r="AN11" t="s">
        <v>24</v>
      </c>
      <c r="AO11" t="s">
        <v>24</v>
      </c>
      <c r="AP11" t="s">
        <v>28</v>
      </c>
      <c r="AS11" t="s">
        <v>20</v>
      </c>
      <c r="AT11" t="s">
        <v>20</v>
      </c>
      <c r="AU11" t="s">
        <v>20</v>
      </c>
      <c r="AV11" t="s">
        <v>20</v>
      </c>
      <c r="AW11" t="s">
        <v>31</v>
      </c>
      <c r="AZ11" t="s">
        <v>35</v>
      </c>
      <c r="BA11" t="s">
        <v>35</v>
      </c>
      <c r="BB11" t="s">
        <v>35</v>
      </c>
      <c r="BC11" t="s">
        <v>35</v>
      </c>
      <c r="BD11" t="s">
        <v>35</v>
      </c>
      <c r="BG11" t="s">
        <v>13</v>
      </c>
      <c r="BH11" t="s">
        <v>13</v>
      </c>
      <c r="BI11" t="s">
        <v>13</v>
      </c>
      <c r="BJ11" t="s">
        <v>29</v>
      </c>
      <c r="BK11" t="s">
        <v>23</v>
      </c>
      <c r="BN11" t="s">
        <v>21</v>
      </c>
      <c r="BP11" s="17">
        <f t="shared" si="0"/>
        <v>7</v>
      </c>
      <c r="BQ11" s="17">
        <f t="shared" si="1"/>
        <v>3</v>
      </c>
    </row>
    <row r="12" spans="1:69" x14ac:dyDescent="0.2">
      <c r="E12" s="18"/>
      <c r="H12" s="18" t="s">
        <v>12</v>
      </c>
      <c r="J12" t="s">
        <v>24</v>
      </c>
      <c r="K12" t="s">
        <v>24</v>
      </c>
      <c r="L12" t="s">
        <v>24</v>
      </c>
      <c r="M12" t="s">
        <v>28</v>
      </c>
      <c r="N12" t="s">
        <v>24</v>
      </c>
      <c r="Q12" t="s">
        <v>20</v>
      </c>
      <c r="R12" t="s">
        <v>31</v>
      </c>
      <c r="S12" t="s">
        <v>20</v>
      </c>
      <c r="T12" t="s">
        <v>20</v>
      </c>
      <c r="U12" t="s">
        <v>20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D12" s="1" t="s">
        <v>27</v>
      </c>
      <c r="AE12" t="s">
        <v>21</v>
      </c>
      <c r="AF12" t="s">
        <v>21</v>
      </c>
      <c r="AG12" t="s">
        <v>21</v>
      </c>
      <c r="AH12" t="s">
        <v>21</v>
      </c>
      <c r="AI12" t="s">
        <v>21</v>
      </c>
      <c r="AJ12" s="1" t="s">
        <v>27</v>
      </c>
      <c r="AL12" t="s">
        <v>22</v>
      </c>
      <c r="AM12" t="s">
        <v>23</v>
      </c>
      <c r="AN12" t="s">
        <v>29</v>
      </c>
      <c r="AO12" t="s">
        <v>23</v>
      </c>
      <c r="AP12" t="s">
        <v>23</v>
      </c>
      <c r="AR12" s="1" t="s">
        <v>27</v>
      </c>
      <c r="AS12" t="s">
        <v>21</v>
      </c>
      <c r="AT12" t="s">
        <v>21</v>
      </c>
      <c r="AU12" t="s">
        <v>21</v>
      </c>
      <c r="AV12" t="s">
        <v>21</v>
      </c>
      <c r="AW12" t="s">
        <v>21</v>
      </c>
      <c r="AZ12" t="s">
        <v>23</v>
      </c>
      <c r="BA12" t="s">
        <v>23</v>
      </c>
      <c r="BB12" t="s">
        <v>23</v>
      </c>
      <c r="BC12" t="s">
        <v>23</v>
      </c>
      <c r="BD12" t="s">
        <v>23</v>
      </c>
      <c r="BF12" s="1" t="s">
        <v>27</v>
      </c>
      <c r="BG12" t="s">
        <v>24</v>
      </c>
      <c r="BH12" t="s">
        <v>24</v>
      </c>
      <c r="BI12" t="s">
        <v>13</v>
      </c>
      <c r="BJ12" t="s">
        <v>24</v>
      </c>
      <c r="BK12" t="s">
        <v>24</v>
      </c>
      <c r="BN12" t="s">
        <v>13</v>
      </c>
      <c r="BP12" s="17">
        <f t="shared" si="0"/>
        <v>7</v>
      </c>
      <c r="BQ12" s="17">
        <f t="shared" si="1"/>
        <v>2</v>
      </c>
    </row>
    <row r="13" spans="1:69" x14ac:dyDescent="0.2">
      <c r="BP13" s="17"/>
      <c r="BQ13" s="17"/>
    </row>
    <row r="14" spans="1:69" s="3" customFormat="1" x14ac:dyDescent="0.2">
      <c r="A14" s="2" t="s">
        <v>14</v>
      </c>
      <c r="B14" s="2" t="s">
        <v>33</v>
      </c>
      <c r="C14" s="2" t="s">
        <v>34</v>
      </c>
      <c r="D14" s="8"/>
      <c r="E14" s="4"/>
      <c r="F14" s="3" t="s">
        <v>18</v>
      </c>
      <c r="H14" s="4"/>
      <c r="I14" s="4"/>
      <c r="J14" s="3" t="s">
        <v>18</v>
      </c>
      <c r="O14" s="4"/>
      <c r="P14" s="4"/>
      <c r="Q14" s="3" t="s">
        <v>18</v>
      </c>
      <c r="V14" s="4"/>
      <c r="W14" s="4"/>
      <c r="X14" s="3" t="s">
        <v>18</v>
      </c>
      <c r="AC14" s="4"/>
      <c r="AD14" s="4"/>
      <c r="AE14" s="3" t="s">
        <v>18</v>
      </c>
      <c r="AJ14" s="4"/>
      <c r="AK14" s="4"/>
      <c r="AL14" s="3" t="s">
        <v>18</v>
      </c>
      <c r="AQ14" s="4"/>
      <c r="AR14" s="4"/>
      <c r="AS14" s="3" t="s">
        <v>18</v>
      </c>
      <c r="AX14" s="4"/>
      <c r="AY14" s="4"/>
      <c r="AZ14" s="3" t="s">
        <v>18</v>
      </c>
      <c r="BE14" s="4"/>
      <c r="BF14" s="4"/>
      <c r="BG14" s="3" t="s">
        <v>18</v>
      </c>
      <c r="BL14" s="4"/>
      <c r="BM14" s="4"/>
      <c r="BP14" s="12"/>
      <c r="BQ14" s="12"/>
    </row>
    <row r="15" spans="1:69" s="1" customFormat="1" x14ac:dyDescent="0.2">
      <c r="A15" s="5" t="s">
        <v>21</v>
      </c>
      <c r="B15" s="1">
        <v>3</v>
      </c>
      <c r="C15" s="1">
        <v>14</v>
      </c>
      <c r="E15" s="5" t="s">
        <v>21</v>
      </c>
      <c r="F15" s="1">
        <f>-COUNTIF(F$2:F$12,$E15 &amp; "*") +$B15</f>
        <v>3</v>
      </c>
      <c r="G15" s="1">
        <f t="shared" ref="G15:G20" si="2">-COUNTIF(G$2:G$12,$E15 &amp; "*") +$B15</f>
        <v>3</v>
      </c>
      <c r="I15" s="5" t="s">
        <v>21</v>
      </c>
      <c r="J15" s="1">
        <f t="shared" ref="J15:N20" si="3">-COUNTIF(J$2:J$12,$E15 &amp; "*") +$B15</f>
        <v>0</v>
      </c>
      <c r="K15" s="1">
        <f t="shared" si="3"/>
        <v>0</v>
      </c>
      <c r="L15" s="1">
        <f t="shared" si="3"/>
        <v>0</v>
      </c>
      <c r="M15" s="1">
        <f t="shared" si="3"/>
        <v>0</v>
      </c>
      <c r="N15" s="1">
        <f t="shared" si="3"/>
        <v>0</v>
      </c>
      <c r="P15" s="5" t="s">
        <v>21</v>
      </c>
      <c r="Q15" s="1">
        <f t="shared" ref="Q15:U20" si="4">-COUNTIF(Q$2:Q$12,$E15 &amp; "*") +$B15</f>
        <v>0</v>
      </c>
      <c r="R15" s="1">
        <f t="shared" si="4"/>
        <v>0</v>
      </c>
      <c r="S15" s="1">
        <f t="shared" si="4"/>
        <v>0</v>
      </c>
      <c r="T15" s="1">
        <f t="shared" si="4"/>
        <v>0</v>
      </c>
      <c r="U15" s="1">
        <f t="shared" si="4"/>
        <v>0</v>
      </c>
      <c r="W15" s="5" t="s">
        <v>21</v>
      </c>
      <c r="X15" s="1">
        <f t="shared" ref="X15:AB20" si="5">-COUNTIF(X$2:X$12,$E15 &amp; "*") +$B15</f>
        <v>0</v>
      </c>
      <c r="Y15" s="1">
        <f t="shared" si="5"/>
        <v>0</v>
      </c>
      <c r="Z15" s="1">
        <f t="shared" si="5"/>
        <v>0</v>
      </c>
      <c r="AA15" s="1">
        <f t="shared" si="5"/>
        <v>0</v>
      </c>
      <c r="AB15" s="1">
        <f t="shared" si="5"/>
        <v>0</v>
      </c>
      <c r="AD15" s="5" t="s">
        <v>21</v>
      </c>
      <c r="AE15" s="1">
        <f t="shared" ref="AE15:AI20" si="6">-COUNTIF(AE$2:AE$12,$E15 &amp; "*") +$B15</f>
        <v>0</v>
      </c>
      <c r="AF15" s="1">
        <f t="shared" si="6"/>
        <v>0</v>
      </c>
      <c r="AG15" s="1">
        <f t="shared" si="6"/>
        <v>0</v>
      </c>
      <c r="AH15" s="1">
        <f t="shared" si="6"/>
        <v>0</v>
      </c>
      <c r="AI15" s="1">
        <f t="shared" si="6"/>
        <v>0</v>
      </c>
      <c r="AK15" s="5" t="s">
        <v>21</v>
      </c>
      <c r="AL15" s="1">
        <f t="shared" ref="AL15:AP20" si="7">-COUNTIF(AL$2:AL$12,$E15 &amp; "*") +$B15</f>
        <v>0</v>
      </c>
      <c r="AM15" s="1">
        <f t="shared" si="7"/>
        <v>1</v>
      </c>
      <c r="AN15" s="1">
        <f t="shared" si="7"/>
        <v>1</v>
      </c>
      <c r="AO15" s="1">
        <f t="shared" si="7"/>
        <v>1</v>
      </c>
      <c r="AP15" s="1">
        <f t="shared" si="7"/>
        <v>0</v>
      </c>
      <c r="AR15" s="5" t="s">
        <v>21</v>
      </c>
      <c r="AS15" s="1">
        <f t="shared" ref="AS15:AW20" si="8">-COUNTIF(AS$2:AS$12,$E15 &amp; "*") +$B15</f>
        <v>1</v>
      </c>
      <c r="AT15" s="1">
        <f t="shared" si="8"/>
        <v>1</v>
      </c>
      <c r="AU15" s="1">
        <f t="shared" si="8"/>
        <v>1</v>
      </c>
      <c r="AV15" s="1">
        <f t="shared" si="8"/>
        <v>1</v>
      </c>
      <c r="AW15" s="1">
        <f t="shared" si="8"/>
        <v>1</v>
      </c>
      <c r="AY15" s="5" t="s">
        <v>21</v>
      </c>
      <c r="AZ15" s="1">
        <f t="shared" ref="AZ15:BD20" si="9">-COUNTIF(AZ$2:AZ$12,$E15 &amp; "*") +$B15</f>
        <v>1</v>
      </c>
      <c r="BA15" s="1">
        <f t="shared" si="9"/>
        <v>1</v>
      </c>
      <c r="BB15" s="1">
        <f t="shared" si="9"/>
        <v>1</v>
      </c>
      <c r="BC15" s="1">
        <f t="shared" si="9"/>
        <v>1</v>
      </c>
      <c r="BD15" s="1">
        <f t="shared" si="9"/>
        <v>1</v>
      </c>
      <c r="BF15" s="5" t="s">
        <v>21</v>
      </c>
      <c r="BG15" s="1">
        <f t="shared" ref="BG15:BK20" si="10">-COUNTIF(BG$2:BG$12,$E15 &amp; "*") +$B15</f>
        <v>1</v>
      </c>
      <c r="BH15" s="1">
        <f t="shared" si="10"/>
        <v>2</v>
      </c>
      <c r="BI15" s="1">
        <f t="shared" si="10"/>
        <v>1</v>
      </c>
      <c r="BJ15" s="1">
        <f t="shared" si="10"/>
        <v>1</v>
      </c>
      <c r="BK15" s="1">
        <f t="shared" si="10"/>
        <v>1</v>
      </c>
      <c r="BM15" s="5" t="s">
        <v>21</v>
      </c>
      <c r="BN15" s="1">
        <f t="shared" ref="BN15:BN20" si="11">-COUNTIF(BN$2:BN$12,$E15 &amp; "*") +$B15</f>
        <v>1</v>
      </c>
      <c r="BP15" s="11"/>
      <c r="BQ15" s="11"/>
    </row>
    <row r="16" spans="1:69" s="1" customFormat="1" x14ac:dyDescent="0.2">
      <c r="A16" s="5" t="s">
        <v>24</v>
      </c>
      <c r="B16" s="1">
        <v>2</v>
      </c>
      <c r="C16" s="1">
        <v>14</v>
      </c>
      <c r="E16" s="5" t="s">
        <v>24</v>
      </c>
      <c r="F16" s="1">
        <f t="shared" ref="F16:F20" si="12">-COUNTIF(F$2:F$12,$E16 &amp; "*") +$B16</f>
        <v>2</v>
      </c>
      <c r="G16" s="1">
        <f t="shared" si="2"/>
        <v>2</v>
      </c>
      <c r="I16" s="5" t="s">
        <v>24</v>
      </c>
      <c r="J16" s="1">
        <f t="shared" si="3"/>
        <v>0</v>
      </c>
      <c r="K16" s="1">
        <f t="shared" si="3"/>
        <v>0</v>
      </c>
      <c r="L16" s="1">
        <f t="shared" si="3"/>
        <v>0</v>
      </c>
      <c r="M16" s="1">
        <f t="shared" si="3"/>
        <v>0</v>
      </c>
      <c r="N16" s="1">
        <f t="shared" si="3"/>
        <v>0</v>
      </c>
      <c r="P16" s="5" t="s">
        <v>24</v>
      </c>
      <c r="Q16" s="1">
        <f t="shared" si="4"/>
        <v>0</v>
      </c>
      <c r="R16" s="1">
        <f t="shared" si="4"/>
        <v>0</v>
      </c>
      <c r="S16" s="1">
        <f t="shared" si="4"/>
        <v>0</v>
      </c>
      <c r="T16" s="1">
        <f t="shared" si="4"/>
        <v>0</v>
      </c>
      <c r="U16" s="1">
        <f t="shared" si="4"/>
        <v>0</v>
      </c>
      <c r="W16" s="5" t="s">
        <v>24</v>
      </c>
      <c r="X16" s="1">
        <f t="shared" si="5"/>
        <v>0</v>
      </c>
      <c r="Y16" s="1">
        <f t="shared" si="5"/>
        <v>0</v>
      </c>
      <c r="Z16" s="1">
        <f t="shared" si="5"/>
        <v>0</v>
      </c>
      <c r="AA16" s="1">
        <f t="shared" si="5"/>
        <v>0</v>
      </c>
      <c r="AB16" s="1">
        <f t="shared" si="5"/>
        <v>0</v>
      </c>
      <c r="AD16" s="5" t="s">
        <v>24</v>
      </c>
      <c r="AE16" s="1">
        <f t="shared" si="6"/>
        <v>0</v>
      </c>
      <c r="AF16" s="1">
        <f t="shared" si="6"/>
        <v>0</v>
      </c>
      <c r="AG16" s="1">
        <f t="shared" si="6"/>
        <v>0</v>
      </c>
      <c r="AH16" s="1">
        <f t="shared" si="6"/>
        <v>0</v>
      </c>
      <c r="AI16" s="1">
        <f t="shared" si="6"/>
        <v>0</v>
      </c>
      <c r="AK16" s="5" t="s">
        <v>24</v>
      </c>
      <c r="AL16" s="1">
        <f t="shared" si="7"/>
        <v>0</v>
      </c>
      <c r="AM16" s="1">
        <f t="shared" si="7"/>
        <v>0</v>
      </c>
      <c r="AN16" s="1">
        <f t="shared" si="7"/>
        <v>0</v>
      </c>
      <c r="AO16" s="1">
        <f t="shared" si="7"/>
        <v>0</v>
      </c>
      <c r="AP16" s="1">
        <f t="shared" si="7"/>
        <v>1</v>
      </c>
      <c r="AR16" s="5" t="s">
        <v>24</v>
      </c>
      <c r="AS16" s="1">
        <f t="shared" si="8"/>
        <v>0</v>
      </c>
      <c r="AT16" s="1">
        <f t="shared" si="8"/>
        <v>0</v>
      </c>
      <c r="AU16" s="1">
        <f t="shared" si="8"/>
        <v>0</v>
      </c>
      <c r="AV16" s="1">
        <f t="shared" si="8"/>
        <v>0</v>
      </c>
      <c r="AW16" s="1">
        <f t="shared" si="8"/>
        <v>1</v>
      </c>
      <c r="AY16" s="5" t="s">
        <v>24</v>
      </c>
      <c r="AZ16" s="1">
        <f t="shared" si="9"/>
        <v>1</v>
      </c>
      <c r="BA16" s="1">
        <f t="shared" si="9"/>
        <v>1</v>
      </c>
      <c r="BB16" s="1">
        <f t="shared" si="9"/>
        <v>1</v>
      </c>
      <c r="BC16" s="1">
        <f t="shared" si="9"/>
        <v>1</v>
      </c>
      <c r="BD16" s="1">
        <f t="shared" si="9"/>
        <v>0</v>
      </c>
      <c r="BF16" s="5" t="s">
        <v>24</v>
      </c>
      <c r="BG16" s="1">
        <f t="shared" si="10"/>
        <v>1</v>
      </c>
      <c r="BH16" s="1">
        <f t="shared" si="10"/>
        <v>0</v>
      </c>
      <c r="BI16" s="1">
        <f t="shared" si="10"/>
        <v>1</v>
      </c>
      <c r="BJ16" s="1">
        <f t="shared" si="10"/>
        <v>0</v>
      </c>
      <c r="BK16" s="1">
        <f t="shared" si="10"/>
        <v>0</v>
      </c>
      <c r="BM16" s="5" t="s">
        <v>24</v>
      </c>
      <c r="BN16" s="1">
        <f t="shared" si="11"/>
        <v>0</v>
      </c>
      <c r="BP16" s="11"/>
      <c r="BQ16" s="11"/>
    </row>
    <row r="17" spans="1:69" s="1" customFormat="1" x14ac:dyDescent="0.2">
      <c r="A17" s="5" t="s">
        <v>23</v>
      </c>
      <c r="B17" s="1">
        <v>2</v>
      </c>
      <c r="C17" s="1">
        <v>5</v>
      </c>
      <c r="E17" s="5" t="s">
        <v>23</v>
      </c>
      <c r="F17" s="1">
        <f t="shared" si="12"/>
        <v>2</v>
      </c>
      <c r="G17" s="1">
        <f t="shared" si="2"/>
        <v>2</v>
      </c>
      <c r="I17" s="5" t="s">
        <v>23</v>
      </c>
      <c r="J17" s="1">
        <f t="shared" si="3"/>
        <v>0</v>
      </c>
      <c r="K17" s="1">
        <f t="shared" si="3"/>
        <v>0</v>
      </c>
      <c r="L17" s="1">
        <f t="shared" si="3"/>
        <v>0</v>
      </c>
      <c r="M17" s="1">
        <f t="shared" si="3"/>
        <v>0</v>
      </c>
      <c r="N17" s="1">
        <f t="shared" si="3"/>
        <v>0</v>
      </c>
      <c r="P17" s="5" t="s">
        <v>23</v>
      </c>
      <c r="Q17" s="1">
        <f t="shared" si="4"/>
        <v>0</v>
      </c>
      <c r="R17" s="1">
        <f t="shared" si="4"/>
        <v>0</v>
      </c>
      <c r="S17" s="1">
        <f t="shared" si="4"/>
        <v>0</v>
      </c>
      <c r="T17" s="1">
        <f t="shared" si="4"/>
        <v>0</v>
      </c>
      <c r="U17" s="1">
        <f t="shared" si="4"/>
        <v>0</v>
      </c>
      <c r="W17" s="5" t="s">
        <v>23</v>
      </c>
      <c r="X17" s="1">
        <f t="shared" si="5"/>
        <v>0</v>
      </c>
      <c r="Y17" s="1">
        <f t="shared" si="5"/>
        <v>0</v>
      </c>
      <c r="Z17" s="1">
        <f t="shared" si="5"/>
        <v>0</v>
      </c>
      <c r="AA17" s="1">
        <f t="shared" si="5"/>
        <v>0</v>
      </c>
      <c r="AB17" s="1">
        <f t="shared" si="5"/>
        <v>0</v>
      </c>
      <c r="AD17" s="5" t="s">
        <v>23</v>
      </c>
      <c r="AE17" s="1">
        <f t="shared" si="6"/>
        <v>0</v>
      </c>
      <c r="AF17" s="1">
        <f t="shared" si="6"/>
        <v>0</v>
      </c>
      <c r="AG17" s="1">
        <f t="shared" si="6"/>
        <v>0</v>
      </c>
      <c r="AH17" s="1">
        <f t="shared" si="6"/>
        <v>0</v>
      </c>
      <c r="AI17" s="1">
        <f t="shared" si="6"/>
        <v>0</v>
      </c>
      <c r="AK17" s="5" t="s">
        <v>23</v>
      </c>
      <c r="AL17" s="1">
        <f t="shared" si="7"/>
        <v>0</v>
      </c>
      <c r="AM17" s="1">
        <f t="shared" si="7"/>
        <v>0</v>
      </c>
      <c r="AN17" s="1">
        <f t="shared" si="7"/>
        <v>0</v>
      </c>
      <c r="AO17" s="1">
        <f t="shared" si="7"/>
        <v>0</v>
      </c>
      <c r="AP17" s="1">
        <f t="shared" si="7"/>
        <v>0</v>
      </c>
      <c r="AR17" s="5" t="s">
        <v>23</v>
      </c>
      <c r="AS17" s="1">
        <f t="shared" si="8"/>
        <v>0</v>
      </c>
      <c r="AT17" s="1">
        <f t="shared" si="8"/>
        <v>0</v>
      </c>
      <c r="AU17" s="1">
        <f t="shared" si="8"/>
        <v>0</v>
      </c>
      <c r="AV17" s="1">
        <f t="shared" si="8"/>
        <v>0</v>
      </c>
      <c r="AW17" s="1">
        <f t="shared" si="8"/>
        <v>0</v>
      </c>
      <c r="AY17" s="5" t="s">
        <v>23</v>
      </c>
      <c r="AZ17" s="1">
        <f t="shared" si="9"/>
        <v>0</v>
      </c>
      <c r="BA17" s="1">
        <f t="shared" si="9"/>
        <v>0</v>
      </c>
      <c r="BB17" s="1">
        <f t="shared" si="9"/>
        <v>0</v>
      </c>
      <c r="BC17" s="1">
        <f t="shared" si="9"/>
        <v>0</v>
      </c>
      <c r="BD17" s="1">
        <f t="shared" si="9"/>
        <v>0</v>
      </c>
      <c r="BF17" s="5" t="s">
        <v>23</v>
      </c>
      <c r="BG17" s="1">
        <f t="shared" si="10"/>
        <v>0</v>
      </c>
      <c r="BH17" s="1">
        <f t="shared" si="10"/>
        <v>0</v>
      </c>
      <c r="BI17" s="1">
        <f t="shared" si="10"/>
        <v>0</v>
      </c>
      <c r="BJ17" s="1">
        <f t="shared" si="10"/>
        <v>0</v>
      </c>
      <c r="BK17" s="1">
        <f t="shared" si="10"/>
        <v>0</v>
      </c>
      <c r="BM17" s="5" t="s">
        <v>23</v>
      </c>
      <c r="BN17" s="1">
        <f t="shared" si="11"/>
        <v>0</v>
      </c>
      <c r="BP17" s="11"/>
      <c r="BQ17" s="11"/>
    </row>
    <row r="18" spans="1:69" x14ac:dyDescent="0.2">
      <c r="A18" s="5" t="s">
        <v>20</v>
      </c>
      <c r="B18" s="1">
        <v>1</v>
      </c>
      <c r="C18" s="1">
        <v>1</v>
      </c>
      <c r="E18" s="5" t="s">
        <v>20</v>
      </c>
      <c r="F18" s="1">
        <f t="shared" si="12"/>
        <v>1</v>
      </c>
      <c r="G18" s="1">
        <f t="shared" si="2"/>
        <v>1</v>
      </c>
      <c r="I18" s="5" t="s">
        <v>20</v>
      </c>
      <c r="J18" s="1">
        <f t="shared" si="3"/>
        <v>0</v>
      </c>
      <c r="K18" s="1">
        <f t="shared" si="3"/>
        <v>0</v>
      </c>
      <c r="L18" s="1">
        <f t="shared" si="3"/>
        <v>0</v>
      </c>
      <c r="M18" s="1">
        <f t="shared" si="3"/>
        <v>0</v>
      </c>
      <c r="N18" s="1">
        <f t="shared" si="3"/>
        <v>0</v>
      </c>
      <c r="P18" s="5" t="s">
        <v>20</v>
      </c>
      <c r="Q18" s="1">
        <f t="shared" si="4"/>
        <v>0</v>
      </c>
      <c r="R18" s="1">
        <f t="shared" si="4"/>
        <v>0</v>
      </c>
      <c r="S18" s="1">
        <f t="shared" si="4"/>
        <v>0</v>
      </c>
      <c r="T18" s="1">
        <f t="shared" si="4"/>
        <v>0</v>
      </c>
      <c r="U18" s="1">
        <f t="shared" si="4"/>
        <v>0</v>
      </c>
      <c r="W18" s="5" t="s">
        <v>20</v>
      </c>
      <c r="X18" s="1">
        <f t="shared" si="5"/>
        <v>0</v>
      </c>
      <c r="Y18" s="1">
        <f t="shared" si="5"/>
        <v>0</v>
      </c>
      <c r="Z18" s="1">
        <f t="shared" si="5"/>
        <v>0</v>
      </c>
      <c r="AA18" s="1">
        <f t="shared" si="5"/>
        <v>0</v>
      </c>
      <c r="AB18" s="1">
        <f t="shared" si="5"/>
        <v>0</v>
      </c>
      <c r="AD18" s="5" t="s">
        <v>20</v>
      </c>
      <c r="AE18" s="1">
        <f t="shared" si="6"/>
        <v>0</v>
      </c>
      <c r="AF18" s="1">
        <f t="shared" si="6"/>
        <v>0</v>
      </c>
      <c r="AG18" s="1">
        <f t="shared" si="6"/>
        <v>0</v>
      </c>
      <c r="AH18" s="1">
        <f t="shared" si="6"/>
        <v>0</v>
      </c>
      <c r="AI18" s="1">
        <f t="shared" si="6"/>
        <v>0</v>
      </c>
      <c r="AK18" s="5" t="s">
        <v>20</v>
      </c>
      <c r="AL18" s="1">
        <f t="shared" si="7"/>
        <v>0</v>
      </c>
      <c r="AM18" s="1">
        <f t="shared" si="7"/>
        <v>0</v>
      </c>
      <c r="AN18" s="1">
        <f t="shared" si="7"/>
        <v>0</v>
      </c>
      <c r="AO18" s="1">
        <f t="shared" si="7"/>
        <v>0</v>
      </c>
      <c r="AP18" s="1">
        <f t="shared" si="7"/>
        <v>0</v>
      </c>
      <c r="AR18" s="5" t="s">
        <v>20</v>
      </c>
      <c r="AS18" s="1">
        <f t="shared" si="8"/>
        <v>0</v>
      </c>
      <c r="AT18" s="1">
        <f t="shared" si="8"/>
        <v>0</v>
      </c>
      <c r="AU18" s="1">
        <f t="shared" si="8"/>
        <v>0</v>
      </c>
      <c r="AV18" s="1">
        <f t="shared" si="8"/>
        <v>0</v>
      </c>
      <c r="AW18" s="1">
        <f t="shared" si="8"/>
        <v>0</v>
      </c>
      <c r="AY18" s="5" t="s">
        <v>20</v>
      </c>
      <c r="AZ18" s="1">
        <f t="shared" si="9"/>
        <v>0</v>
      </c>
      <c r="BA18" s="1">
        <f t="shared" si="9"/>
        <v>0</v>
      </c>
      <c r="BB18" s="1">
        <f t="shared" si="9"/>
        <v>0</v>
      </c>
      <c r="BC18" s="1">
        <f t="shared" si="9"/>
        <v>0</v>
      </c>
      <c r="BD18" s="1">
        <f t="shared" si="9"/>
        <v>0</v>
      </c>
      <c r="BF18" s="5" t="s">
        <v>20</v>
      </c>
      <c r="BG18" s="1">
        <f t="shared" si="10"/>
        <v>0</v>
      </c>
      <c r="BH18" s="1">
        <f t="shared" si="10"/>
        <v>0</v>
      </c>
      <c r="BI18" s="1">
        <f t="shared" si="10"/>
        <v>0</v>
      </c>
      <c r="BJ18" s="1">
        <f t="shared" si="10"/>
        <v>0</v>
      </c>
      <c r="BK18" s="1">
        <f t="shared" si="10"/>
        <v>0</v>
      </c>
      <c r="BM18" s="5" t="s">
        <v>20</v>
      </c>
      <c r="BN18" s="1">
        <f t="shared" si="11"/>
        <v>0</v>
      </c>
    </row>
    <row r="19" spans="1:69" x14ac:dyDescent="0.2">
      <c r="A19" s="5" t="s">
        <v>25</v>
      </c>
      <c r="B19" s="1">
        <v>1</v>
      </c>
      <c r="C19" s="1">
        <v>1</v>
      </c>
      <c r="E19" s="5" t="s">
        <v>25</v>
      </c>
      <c r="F19" s="1">
        <f t="shared" si="12"/>
        <v>1</v>
      </c>
      <c r="G19" s="1">
        <f t="shared" si="2"/>
        <v>1</v>
      </c>
      <c r="I19" s="5" t="s">
        <v>25</v>
      </c>
      <c r="J19" s="1">
        <f t="shared" si="3"/>
        <v>0</v>
      </c>
      <c r="K19" s="1">
        <f t="shared" si="3"/>
        <v>0</v>
      </c>
      <c r="L19" s="1">
        <f t="shared" si="3"/>
        <v>0</v>
      </c>
      <c r="M19" s="1">
        <f t="shared" si="3"/>
        <v>0</v>
      </c>
      <c r="N19" s="1">
        <f t="shared" si="3"/>
        <v>0</v>
      </c>
      <c r="P19" s="5" t="s">
        <v>25</v>
      </c>
      <c r="Q19" s="1">
        <f t="shared" si="4"/>
        <v>0</v>
      </c>
      <c r="R19" s="1">
        <f t="shared" si="4"/>
        <v>0</v>
      </c>
      <c r="S19" s="1">
        <f t="shared" si="4"/>
        <v>0</v>
      </c>
      <c r="T19" s="1">
        <f t="shared" si="4"/>
        <v>0</v>
      </c>
      <c r="U19" s="1">
        <f t="shared" si="4"/>
        <v>0</v>
      </c>
      <c r="W19" s="5" t="s">
        <v>25</v>
      </c>
      <c r="X19" s="1">
        <f t="shared" si="5"/>
        <v>0</v>
      </c>
      <c r="Y19" s="1">
        <f t="shared" si="5"/>
        <v>0</v>
      </c>
      <c r="Z19" s="1">
        <f t="shared" si="5"/>
        <v>0</v>
      </c>
      <c r="AA19" s="1">
        <f t="shared" si="5"/>
        <v>0</v>
      </c>
      <c r="AB19" s="1">
        <f t="shared" si="5"/>
        <v>0</v>
      </c>
      <c r="AD19" s="5" t="s">
        <v>25</v>
      </c>
      <c r="AE19" s="1">
        <f t="shared" si="6"/>
        <v>0</v>
      </c>
      <c r="AF19" s="1">
        <f t="shared" si="6"/>
        <v>0</v>
      </c>
      <c r="AG19" s="1">
        <f t="shared" si="6"/>
        <v>0</v>
      </c>
      <c r="AH19" s="1">
        <f t="shared" si="6"/>
        <v>0</v>
      </c>
      <c r="AI19" s="1">
        <f t="shared" si="6"/>
        <v>0</v>
      </c>
      <c r="AK19" s="5" t="s">
        <v>25</v>
      </c>
      <c r="AL19" s="1">
        <f t="shared" si="7"/>
        <v>0</v>
      </c>
      <c r="AM19" s="1">
        <f t="shared" si="7"/>
        <v>0</v>
      </c>
      <c r="AN19" s="1">
        <f t="shared" si="7"/>
        <v>0</v>
      </c>
      <c r="AO19" s="1">
        <f t="shared" si="7"/>
        <v>0</v>
      </c>
      <c r="AP19" s="1">
        <f t="shared" si="7"/>
        <v>0</v>
      </c>
      <c r="AR19" s="5" t="s">
        <v>25</v>
      </c>
      <c r="AS19" s="1">
        <f t="shared" si="8"/>
        <v>0</v>
      </c>
      <c r="AT19" s="1">
        <f t="shared" si="8"/>
        <v>0</v>
      </c>
      <c r="AU19" s="1">
        <f t="shared" si="8"/>
        <v>0</v>
      </c>
      <c r="AV19" s="1">
        <f t="shared" si="8"/>
        <v>0</v>
      </c>
      <c r="AW19" s="1">
        <f t="shared" si="8"/>
        <v>0</v>
      </c>
      <c r="AY19" s="5" t="s">
        <v>25</v>
      </c>
      <c r="AZ19" s="1">
        <f t="shared" si="9"/>
        <v>0</v>
      </c>
      <c r="BA19" s="1">
        <f t="shared" si="9"/>
        <v>0</v>
      </c>
      <c r="BB19" s="1">
        <f t="shared" si="9"/>
        <v>0</v>
      </c>
      <c r="BC19" s="1">
        <f t="shared" si="9"/>
        <v>0</v>
      </c>
      <c r="BD19" s="1">
        <f t="shared" si="9"/>
        <v>0</v>
      </c>
      <c r="BF19" s="5" t="s">
        <v>25</v>
      </c>
      <c r="BG19" s="1">
        <f t="shared" si="10"/>
        <v>0</v>
      </c>
      <c r="BH19" s="1">
        <f t="shared" si="10"/>
        <v>0</v>
      </c>
      <c r="BI19" s="1">
        <f t="shared" si="10"/>
        <v>0</v>
      </c>
      <c r="BJ19" s="1">
        <f t="shared" si="10"/>
        <v>0</v>
      </c>
      <c r="BK19" s="1">
        <f t="shared" si="10"/>
        <v>0</v>
      </c>
      <c r="BM19" s="5" t="s">
        <v>25</v>
      </c>
      <c r="BN19" s="1">
        <f t="shared" si="11"/>
        <v>0</v>
      </c>
    </row>
    <row r="20" spans="1:69" x14ac:dyDescent="0.2">
      <c r="A20" s="5" t="s">
        <v>22</v>
      </c>
      <c r="B20" s="1">
        <v>1</v>
      </c>
      <c r="C20" s="1">
        <v>1</v>
      </c>
      <c r="E20" s="5" t="s">
        <v>22</v>
      </c>
      <c r="F20" s="1">
        <f t="shared" si="12"/>
        <v>1</v>
      </c>
      <c r="G20" s="1">
        <f t="shared" si="2"/>
        <v>1</v>
      </c>
      <c r="I20" s="5" t="s">
        <v>22</v>
      </c>
      <c r="J20" s="1">
        <f t="shared" si="3"/>
        <v>0</v>
      </c>
      <c r="K20" s="1">
        <f t="shared" si="3"/>
        <v>0</v>
      </c>
      <c r="L20" s="1">
        <f t="shared" si="3"/>
        <v>0</v>
      </c>
      <c r="M20" s="1">
        <f t="shared" si="3"/>
        <v>0</v>
      </c>
      <c r="N20" s="1">
        <f t="shared" si="3"/>
        <v>0</v>
      </c>
      <c r="P20" s="5" t="s">
        <v>22</v>
      </c>
      <c r="Q20" s="1">
        <f t="shared" si="4"/>
        <v>0</v>
      </c>
      <c r="R20" s="1">
        <f t="shared" si="4"/>
        <v>0</v>
      </c>
      <c r="S20" s="1">
        <f t="shared" si="4"/>
        <v>0</v>
      </c>
      <c r="T20" s="1">
        <f t="shared" si="4"/>
        <v>0</v>
      </c>
      <c r="U20" s="1">
        <f t="shared" si="4"/>
        <v>0</v>
      </c>
      <c r="W20" s="5" t="s">
        <v>22</v>
      </c>
      <c r="X20" s="1">
        <f t="shared" si="5"/>
        <v>0</v>
      </c>
      <c r="Y20" s="1">
        <f t="shared" si="5"/>
        <v>0</v>
      </c>
      <c r="Z20" s="1">
        <f t="shared" si="5"/>
        <v>0</v>
      </c>
      <c r="AA20" s="1">
        <f t="shared" si="5"/>
        <v>0</v>
      </c>
      <c r="AB20" s="1">
        <f t="shared" si="5"/>
        <v>0</v>
      </c>
      <c r="AD20" s="5" t="s">
        <v>22</v>
      </c>
      <c r="AE20" s="1">
        <f t="shared" si="6"/>
        <v>0</v>
      </c>
      <c r="AF20" s="1">
        <f t="shared" si="6"/>
        <v>0</v>
      </c>
      <c r="AG20" s="1">
        <f t="shared" si="6"/>
        <v>0</v>
      </c>
      <c r="AH20" s="1">
        <f t="shared" si="6"/>
        <v>0</v>
      </c>
      <c r="AI20" s="1">
        <f t="shared" si="6"/>
        <v>0</v>
      </c>
      <c r="AK20" s="5" t="s">
        <v>22</v>
      </c>
      <c r="AL20" s="1">
        <f t="shared" si="7"/>
        <v>0</v>
      </c>
      <c r="AM20" s="1">
        <f t="shared" si="7"/>
        <v>0</v>
      </c>
      <c r="AN20" s="1">
        <f t="shared" si="7"/>
        <v>0</v>
      </c>
      <c r="AO20" s="1">
        <f t="shared" si="7"/>
        <v>0</v>
      </c>
      <c r="AP20" s="1">
        <f t="shared" si="7"/>
        <v>0</v>
      </c>
      <c r="AR20" s="5" t="s">
        <v>22</v>
      </c>
      <c r="AS20" s="1">
        <f t="shared" si="8"/>
        <v>0</v>
      </c>
      <c r="AT20" s="1">
        <f t="shared" si="8"/>
        <v>0</v>
      </c>
      <c r="AU20" s="1">
        <f t="shared" si="8"/>
        <v>0</v>
      </c>
      <c r="AV20" s="1">
        <f t="shared" si="8"/>
        <v>0</v>
      </c>
      <c r="AW20" s="1">
        <f t="shared" si="8"/>
        <v>0</v>
      </c>
      <c r="AY20" s="5" t="s">
        <v>22</v>
      </c>
      <c r="AZ20" s="1">
        <f t="shared" si="9"/>
        <v>0</v>
      </c>
      <c r="BA20" s="1">
        <f t="shared" si="9"/>
        <v>0</v>
      </c>
      <c r="BB20" s="1">
        <f t="shared" si="9"/>
        <v>0</v>
      </c>
      <c r="BC20" s="1">
        <f t="shared" si="9"/>
        <v>0</v>
      </c>
      <c r="BD20" s="1">
        <f t="shared" si="9"/>
        <v>0</v>
      </c>
      <c r="BF20" s="5" t="s">
        <v>22</v>
      </c>
      <c r="BG20" s="1">
        <f t="shared" si="10"/>
        <v>0</v>
      </c>
      <c r="BH20" s="1">
        <f t="shared" si="10"/>
        <v>0</v>
      </c>
      <c r="BI20" s="1">
        <f t="shared" si="10"/>
        <v>0</v>
      </c>
      <c r="BJ20" s="1">
        <f t="shared" si="10"/>
        <v>0</v>
      </c>
      <c r="BK20" s="1">
        <f t="shared" si="10"/>
        <v>0</v>
      </c>
      <c r="BM20" s="5" t="s">
        <v>22</v>
      </c>
      <c r="BN20" s="1">
        <f t="shared" si="11"/>
        <v>0</v>
      </c>
    </row>
    <row r="21" spans="1:69" s="14" customFormat="1" x14ac:dyDescent="0.2">
      <c r="A21" s="14" t="s">
        <v>35</v>
      </c>
      <c r="B21" s="14">
        <v>1</v>
      </c>
      <c r="C21" s="14">
        <v>0</v>
      </c>
      <c r="E21" s="15" t="s">
        <v>13</v>
      </c>
      <c r="F21" s="14">
        <f>COUNTIF(F$2:F$12,$E21 &amp; "*")</f>
        <v>0</v>
      </c>
      <c r="G21" s="14">
        <f>COUNTIF(G$2:G$12,$E21 &amp; "*")</f>
        <v>0</v>
      </c>
      <c r="I21" s="15" t="s">
        <v>13</v>
      </c>
      <c r="J21" s="14">
        <f t="shared" ref="J21:N21" si="13">COUNTIF(J$2:J$12,$E21 &amp; "*")</f>
        <v>0</v>
      </c>
      <c r="K21" s="14">
        <f t="shared" si="13"/>
        <v>0</v>
      </c>
      <c r="L21" s="14">
        <f t="shared" si="13"/>
        <v>0</v>
      </c>
      <c r="M21" s="14">
        <f t="shared" si="13"/>
        <v>0</v>
      </c>
      <c r="N21" s="14">
        <f t="shared" si="13"/>
        <v>0</v>
      </c>
      <c r="P21" s="15" t="s">
        <v>13</v>
      </c>
      <c r="Q21" s="14">
        <f t="shared" ref="Q21:U21" si="14">COUNTIF(Q$2:Q$12,$E21 &amp; "*")</f>
        <v>0</v>
      </c>
      <c r="R21" s="14">
        <f t="shared" si="14"/>
        <v>0</v>
      </c>
      <c r="S21" s="14">
        <f t="shared" si="14"/>
        <v>0</v>
      </c>
      <c r="T21" s="14">
        <f t="shared" si="14"/>
        <v>0</v>
      </c>
      <c r="U21" s="14">
        <f t="shared" si="14"/>
        <v>0</v>
      </c>
      <c r="W21" s="15" t="s">
        <v>13</v>
      </c>
      <c r="X21" s="14">
        <f t="shared" ref="X21:AB21" si="15">COUNTIF(X$2:X$12,$E21 &amp; "*")</f>
        <v>0</v>
      </c>
      <c r="Y21" s="14">
        <f t="shared" si="15"/>
        <v>0</v>
      </c>
      <c r="Z21" s="14">
        <f t="shared" si="15"/>
        <v>0</v>
      </c>
      <c r="AA21" s="14">
        <f t="shared" si="15"/>
        <v>0</v>
      </c>
      <c r="AB21" s="14">
        <f t="shared" si="15"/>
        <v>0</v>
      </c>
      <c r="AD21" s="15" t="s">
        <v>13</v>
      </c>
      <c r="AE21" s="14">
        <f t="shared" ref="AE21:AI21" si="16">COUNTIF(AE$2:AE$12,$E21 &amp; "*")</f>
        <v>0</v>
      </c>
      <c r="AF21" s="14">
        <f t="shared" si="16"/>
        <v>0</v>
      </c>
      <c r="AG21" s="14">
        <f t="shared" si="16"/>
        <v>0</v>
      </c>
      <c r="AH21" s="14">
        <f t="shared" si="16"/>
        <v>0</v>
      </c>
      <c r="AI21" s="14">
        <f t="shared" si="16"/>
        <v>0</v>
      </c>
      <c r="AK21" s="15" t="s">
        <v>13</v>
      </c>
      <c r="AL21" s="14">
        <f t="shared" ref="AL21:AP21" si="17">COUNTIF(AL$2:AL$12,$E21 &amp; "*")</f>
        <v>0</v>
      </c>
      <c r="AM21" s="14">
        <f t="shared" si="17"/>
        <v>1</v>
      </c>
      <c r="AN21" s="14">
        <f t="shared" si="17"/>
        <v>1</v>
      </c>
      <c r="AO21" s="14">
        <f t="shared" si="17"/>
        <v>1</v>
      </c>
      <c r="AP21" s="14">
        <f t="shared" si="17"/>
        <v>1</v>
      </c>
      <c r="AR21" s="15" t="s">
        <v>13</v>
      </c>
      <c r="AS21" s="14">
        <f t="shared" ref="AS21:AW21" si="18">COUNTIF(AS$2:AS$12,$E21 &amp; "*")</f>
        <v>1</v>
      </c>
      <c r="AT21" s="14">
        <f t="shared" si="18"/>
        <v>1</v>
      </c>
      <c r="AU21" s="14">
        <f t="shared" si="18"/>
        <v>1</v>
      </c>
      <c r="AV21" s="14">
        <f t="shared" si="18"/>
        <v>1</v>
      </c>
      <c r="AW21" s="14">
        <f t="shared" si="18"/>
        <v>2</v>
      </c>
      <c r="AY21" s="15" t="s">
        <v>13</v>
      </c>
      <c r="AZ21" s="14">
        <f t="shared" ref="AZ21:BD21" si="19">COUNTIF(AZ$2:AZ$12,$E21 &amp; "*")</f>
        <v>2</v>
      </c>
      <c r="BA21" s="14">
        <f t="shared" si="19"/>
        <v>2</v>
      </c>
      <c r="BB21" s="14">
        <f t="shared" si="19"/>
        <v>2</v>
      </c>
      <c r="BC21" s="14">
        <f t="shared" si="19"/>
        <v>2</v>
      </c>
      <c r="BD21" s="14">
        <f t="shared" si="19"/>
        <v>1</v>
      </c>
      <c r="BF21" s="15" t="s">
        <v>13</v>
      </c>
      <c r="BG21" s="14">
        <f t="shared" ref="BG21:BK21" si="20">COUNTIF(BG$2:BG$12,$E21 &amp; "*")</f>
        <v>2</v>
      </c>
      <c r="BH21" s="14">
        <f t="shared" si="20"/>
        <v>2</v>
      </c>
      <c r="BI21" s="14">
        <f t="shared" si="20"/>
        <v>2</v>
      </c>
      <c r="BJ21" s="14">
        <f t="shared" si="20"/>
        <v>1</v>
      </c>
      <c r="BK21" s="14">
        <f t="shared" si="20"/>
        <v>1</v>
      </c>
      <c r="BM21" s="15" t="s">
        <v>13</v>
      </c>
      <c r="BN21" s="14">
        <f t="shared" ref="BN21" si="21">COUNTIF(BN$2:BN$12,$E21 &amp; "*")</f>
        <v>1</v>
      </c>
      <c r="BP21" s="16"/>
      <c r="BQ21" s="16"/>
    </row>
    <row r="22" spans="1:69" s="3" customFormat="1" hidden="1" x14ac:dyDescent="0.2">
      <c r="A22" s="2" t="s">
        <v>14</v>
      </c>
      <c r="B22" s="2" t="s">
        <v>15</v>
      </c>
      <c r="C22" s="2" t="s">
        <v>19</v>
      </c>
      <c r="D22" s="8"/>
      <c r="E22" s="6"/>
      <c r="F22" s="3" t="s">
        <v>18</v>
      </c>
      <c r="H22" s="4"/>
      <c r="I22" s="6"/>
      <c r="J22" s="3" t="s">
        <v>18</v>
      </c>
      <c r="O22" s="4"/>
      <c r="P22" s="6"/>
      <c r="Q22" s="3" t="s">
        <v>18</v>
      </c>
      <c r="V22" s="4"/>
      <c r="W22" s="6"/>
      <c r="X22" s="3" t="s">
        <v>18</v>
      </c>
      <c r="AC22" s="4"/>
      <c r="AD22" s="6"/>
      <c r="AE22" s="3" t="s">
        <v>18</v>
      </c>
      <c r="AJ22" s="4"/>
      <c r="AK22" s="6"/>
      <c r="AL22" s="3" t="s">
        <v>18</v>
      </c>
      <c r="AQ22" s="4"/>
      <c r="AR22" s="6"/>
      <c r="AS22" s="3" t="s">
        <v>18</v>
      </c>
      <c r="AX22" s="4"/>
      <c r="AY22" s="6"/>
      <c r="AZ22" s="3" t="s">
        <v>18</v>
      </c>
      <c r="BE22" s="4"/>
      <c r="BF22" s="6"/>
      <c r="BG22" s="3" t="s">
        <v>18</v>
      </c>
      <c r="BL22" s="4"/>
      <c r="BM22" s="6"/>
      <c r="BP22" s="12"/>
      <c r="BQ22" s="12"/>
    </row>
    <row r="23" spans="1:69" s="1" customFormat="1" hidden="1" x14ac:dyDescent="0.2">
      <c r="A23" s="1" t="s">
        <v>21</v>
      </c>
      <c r="B23" s="1">
        <v>3</v>
      </c>
      <c r="C23" s="1">
        <v>7</v>
      </c>
      <c r="E23" s="5" t="s">
        <v>21</v>
      </c>
      <c r="F23" s="1">
        <f t="shared" ref="F23:G30" si="22">COUNTIF(F$2:F$12,$E23 &amp; "*") -$B23</f>
        <v>-3</v>
      </c>
      <c r="G23" s="1">
        <f t="shared" si="22"/>
        <v>-3</v>
      </c>
      <c r="I23" s="5" t="s">
        <v>21</v>
      </c>
      <c r="J23">
        <f t="shared" ref="J23:N30" si="23">COUNTIF(J$2:J$12,$E23 &amp; "*") -$B23</f>
        <v>0</v>
      </c>
      <c r="K23">
        <f t="shared" si="23"/>
        <v>0</v>
      </c>
      <c r="L23">
        <f t="shared" si="23"/>
        <v>0</v>
      </c>
      <c r="M23">
        <f t="shared" si="23"/>
        <v>0</v>
      </c>
      <c r="N23" s="1">
        <f t="shared" si="23"/>
        <v>0</v>
      </c>
      <c r="P23" s="5" t="s">
        <v>21</v>
      </c>
      <c r="Q23" s="1">
        <f t="shared" ref="Q23:U30" si="24">COUNTIF(Q$2:Q$12,$E23 &amp; "*") -$B23</f>
        <v>0</v>
      </c>
      <c r="R23" s="1">
        <f t="shared" si="24"/>
        <v>0</v>
      </c>
      <c r="S23" s="1">
        <f t="shared" si="24"/>
        <v>0</v>
      </c>
      <c r="T23" s="1">
        <f t="shared" si="24"/>
        <v>0</v>
      </c>
      <c r="U23" s="1">
        <f t="shared" si="24"/>
        <v>0</v>
      </c>
      <c r="W23" s="5" t="s">
        <v>21</v>
      </c>
      <c r="X23" s="1">
        <f t="shared" ref="X23:AB30" si="25">COUNTIF(X$2:X$12,$E23 &amp; "*") -$B23</f>
        <v>0</v>
      </c>
      <c r="Y23" s="1">
        <f t="shared" si="25"/>
        <v>0</v>
      </c>
      <c r="Z23" s="1">
        <f t="shared" si="25"/>
        <v>0</v>
      </c>
      <c r="AA23" s="1">
        <f t="shared" si="25"/>
        <v>0</v>
      </c>
      <c r="AB23" s="1">
        <f t="shared" si="25"/>
        <v>0</v>
      </c>
      <c r="AD23" s="5" t="s">
        <v>21</v>
      </c>
      <c r="AE23" s="1">
        <f t="shared" ref="AE23:AI30" si="26">COUNTIF(AE$2:AE$12,$E23 &amp; "*") -$B23</f>
        <v>0</v>
      </c>
      <c r="AF23" s="1">
        <f t="shared" si="26"/>
        <v>0</v>
      </c>
      <c r="AG23" s="1">
        <f t="shared" si="26"/>
        <v>0</v>
      </c>
      <c r="AH23" s="1">
        <f t="shared" si="26"/>
        <v>0</v>
      </c>
      <c r="AI23" s="1">
        <f t="shared" si="26"/>
        <v>0</v>
      </c>
      <c r="AK23" s="5" t="s">
        <v>21</v>
      </c>
      <c r="AL23" s="1">
        <f t="shared" ref="AL23:AP30" si="27">COUNTIF(AL$2:AL$12,$E23 &amp; "*") -$B23</f>
        <v>0</v>
      </c>
      <c r="AM23" s="1">
        <f t="shared" si="27"/>
        <v>-1</v>
      </c>
      <c r="AN23" s="1">
        <f t="shared" si="27"/>
        <v>-1</v>
      </c>
      <c r="AO23" s="1">
        <f t="shared" si="27"/>
        <v>-1</v>
      </c>
      <c r="AP23" s="1">
        <f t="shared" si="27"/>
        <v>0</v>
      </c>
      <c r="AR23" s="5" t="s">
        <v>21</v>
      </c>
      <c r="AS23" s="1">
        <f t="shared" ref="AS23:AW30" si="28">COUNTIF(AS$2:AS$12,$E23 &amp; "*") -$B23</f>
        <v>-1</v>
      </c>
      <c r="AT23" s="1">
        <f t="shared" si="28"/>
        <v>-1</v>
      </c>
      <c r="AU23" s="1">
        <f t="shared" si="28"/>
        <v>-1</v>
      </c>
      <c r="AV23" s="1">
        <f t="shared" si="28"/>
        <v>-1</v>
      </c>
      <c r="AW23" s="1">
        <f t="shared" si="28"/>
        <v>-1</v>
      </c>
      <c r="AY23" s="5" t="s">
        <v>21</v>
      </c>
      <c r="AZ23" s="1">
        <f t="shared" ref="AZ23:BD30" si="29">COUNTIF(AZ$2:AZ$12,$E23 &amp; "*") -$B23</f>
        <v>-1</v>
      </c>
      <c r="BA23" s="1">
        <f t="shared" si="29"/>
        <v>-1</v>
      </c>
      <c r="BB23" s="1">
        <f t="shared" si="29"/>
        <v>-1</v>
      </c>
      <c r="BC23" s="1">
        <f t="shared" si="29"/>
        <v>-1</v>
      </c>
      <c r="BD23" s="1">
        <f t="shared" si="29"/>
        <v>-1</v>
      </c>
      <c r="BF23" s="5" t="s">
        <v>21</v>
      </c>
      <c r="BG23" s="1">
        <f t="shared" ref="BG23:BK30" si="30">COUNTIF(BG$2:BG$12,$E23 &amp; "*") -$B23</f>
        <v>-1</v>
      </c>
      <c r="BH23" s="1">
        <f t="shared" si="30"/>
        <v>-2</v>
      </c>
      <c r="BI23" s="1">
        <f t="shared" si="30"/>
        <v>-1</v>
      </c>
      <c r="BJ23" s="1">
        <f t="shared" si="30"/>
        <v>-1</v>
      </c>
      <c r="BK23" s="1">
        <f t="shared" si="30"/>
        <v>-1</v>
      </c>
      <c r="BM23" s="5" t="s">
        <v>21</v>
      </c>
      <c r="BN23" s="1">
        <f t="shared" ref="BN23:BN30" si="31">COUNTIF(BN$2:BN$12,$E23 &amp; "*") -$B23</f>
        <v>-1</v>
      </c>
      <c r="BP23" s="11"/>
      <c r="BQ23" s="11"/>
    </row>
    <row r="24" spans="1:69" s="1" customFormat="1" hidden="1" x14ac:dyDescent="0.2">
      <c r="A24" s="1" t="s">
        <v>24</v>
      </c>
      <c r="B24" s="1">
        <v>2</v>
      </c>
      <c r="C24" s="1">
        <v>6</v>
      </c>
      <c r="E24" s="5" t="s">
        <v>24</v>
      </c>
      <c r="F24" s="1">
        <f t="shared" si="22"/>
        <v>-2</v>
      </c>
      <c r="G24" s="1">
        <f t="shared" si="22"/>
        <v>-2</v>
      </c>
      <c r="I24" s="5" t="s">
        <v>24</v>
      </c>
      <c r="J24" s="1">
        <f t="shared" si="23"/>
        <v>0</v>
      </c>
      <c r="K24" s="1">
        <f t="shared" si="23"/>
        <v>0</v>
      </c>
      <c r="L24" s="1">
        <f t="shared" si="23"/>
        <v>0</v>
      </c>
      <c r="M24" s="1">
        <f t="shared" si="23"/>
        <v>0</v>
      </c>
      <c r="N24" s="1">
        <f t="shared" si="23"/>
        <v>0</v>
      </c>
      <c r="P24" s="5" t="s">
        <v>24</v>
      </c>
      <c r="Q24" s="1">
        <f t="shared" si="24"/>
        <v>0</v>
      </c>
      <c r="R24" s="1">
        <f t="shared" si="24"/>
        <v>0</v>
      </c>
      <c r="S24" s="1">
        <f t="shared" si="24"/>
        <v>0</v>
      </c>
      <c r="T24" s="1">
        <f t="shared" si="24"/>
        <v>0</v>
      </c>
      <c r="U24" s="1">
        <f t="shared" si="24"/>
        <v>0</v>
      </c>
      <c r="W24" s="5" t="s">
        <v>24</v>
      </c>
      <c r="X24" s="1">
        <f t="shared" si="25"/>
        <v>0</v>
      </c>
      <c r="Y24" s="1">
        <f t="shared" si="25"/>
        <v>0</v>
      </c>
      <c r="Z24" s="1">
        <f t="shared" si="25"/>
        <v>0</v>
      </c>
      <c r="AA24" s="1">
        <f t="shared" si="25"/>
        <v>0</v>
      </c>
      <c r="AB24" s="1">
        <f t="shared" si="25"/>
        <v>0</v>
      </c>
      <c r="AD24" s="5" t="s">
        <v>24</v>
      </c>
      <c r="AE24" s="1">
        <f t="shared" si="26"/>
        <v>0</v>
      </c>
      <c r="AF24" s="1">
        <f t="shared" si="26"/>
        <v>0</v>
      </c>
      <c r="AG24" s="1">
        <f t="shared" si="26"/>
        <v>0</v>
      </c>
      <c r="AH24" s="1">
        <f t="shared" si="26"/>
        <v>0</v>
      </c>
      <c r="AI24" s="1">
        <f t="shared" si="26"/>
        <v>0</v>
      </c>
      <c r="AK24" s="5" t="s">
        <v>24</v>
      </c>
      <c r="AL24" s="1">
        <f t="shared" si="27"/>
        <v>0</v>
      </c>
      <c r="AM24" s="1">
        <f t="shared" si="27"/>
        <v>0</v>
      </c>
      <c r="AN24" s="1">
        <f t="shared" si="27"/>
        <v>0</v>
      </c>
      <c r="AO24" s="1">
        <f t="shared" si="27"/>
        <v>0</v>
      </c>
      <c r="AP24" s="1">
        <f t="shared" si="27"/>
        <v>-1</v>
      </c>
      <c r="AR24" s="5" t="s">
        <v>24</v>
      </c>
      <c r="AS24" s="1">
        <f t="shared" si="28"/>
        <v>0</v>
      </c>
      <c r="AT24" s="1">
        <f t="shared" si="28"/>
        <v>0</v>
      </c>
      <c r="AU24" s="1">
        <f t="shared" si="28"/>
        <v>0</v>
      </c>
      <c r="AV24" s="1">
        <f t="shared" si="28"/>
        <v>0</v>
      </c>
      <c r="AW24" s="1">
        <f t="shared" si="28"/>
        <v>-1</v>
      </c>
      <c r="AY24" s="5" t="s">
        <v>24</v>
      </c>
      <c r="AZ24" s="1">
        <f t="shared" si="29"/>
        <v>-1</v>
      </c>
      <c r="BA24" s="1">
        <f t="shared" si="29"/>
        <v>-1</v>
      </c>
      <c r="BB24" s="1">
        <f t="shared" si="29"/>
        <v>-1</v>
      </c>
      <c r="BC24" s="1">
        <f t="shared" si="29"/>
        <v>-1</v>
      </c>
      <c r="BD24" s="1">
        <f t="shared" si="29"/>
        <v>0</v>
      </c>
      <c r="BF24" s="5" t="s">
        <v>24</v>
      </c>
      <c r="BG24" s="1">
        <f t="shared" si="30"/>
        <v>-1</v>
      </c>
      <c r="BH24" s="1">
        <f t="shared" si="30"/>
        <v>0</v>
      </c>
      <c r="BI24" s="1">
        <f t="shared" si="30"/>
        <v>-1</v>
      </c>
      <c r="BJ24" s="1">
        <f t="shared" si="30"/>
        <v>0</v>
      </c>
      <c r="BK24" s="1">
        <f t="shared" si="30"/>
        <v>0</v>
      </c>
      <c r="BM24" s="5" t="s">
        <v>24</v>
      </c>
      <c r="BN24" s="1">
        <f t="shared" si="31"/>
        <v>0</v>
      </c>
      <c r="BP24" s="11"/>
      <c r="BQ24" s="11"/>
    </row>
    <row r="25" spans="1:69" s="1" customFormat="1" hidden="1" x14ac:dyDescent="0.2">
      <c r="A25" s="1" t="s">
        <v>23</v>
      </c>
      <c r="B25" s="1">
        <v>2</v>
      </c>
      <c r="C25" s="1">
        <v>2</v>
      </c>
      <c r="E25" s="5" t="s">
        <v>23</v>
      </c>
      <c r="F25" s="1">
        <f t="shared" si="22"/>
        <v>-2</v>
      </c>
      <c r="G25" s="1">
        <f t="shared" si="22"/>
        <v>-2</v>
      </c>
      <c r="I25" s="5" t="s">
        <v>23</v>
      </c>
      <c r="J25" s="1">
        <f t="shared" si="23"/>
        <v>0</v>
      </c>
      <c r="K25" s="1">
        <f t="shared" si="23"/>
        <v>0</v>
      </c>
      <c r="L25" s="1">
        <f t="shared" si="23"/>
        <v>0</v>
      </c>
      <c r="M25" s="1">
        <f t="shared" si="23"/>
        <v>0</v>
      </c>
      <c r="N25" s="1">
        <f t="shared" si="23"/>
        <v>0</v>
      </c>
      <c r="P25" s="5" t="s">
        <v>23</v>
      </c>
      <c r="Q25" s="1">
        <f t="shared" si="24"/>
        <v>0</v>
      </c>
      <c r="R25" s="1">
        <f t="shared" si="24"/>
        <v>0</v>
      </c>
      <c r="S25" s="1">
        <f t="shared" si="24"/>
        <v>0</v>
      </c>
      <c r="T25" s="1">
        <f t="shared" si="24"/>
        <v>0</v>
      </c>
      <c r="U25" s="1">
        <f t="shared" si="24"/>
        <v>0</v>
      </c>
      <c r="W25" s="5" t="s">
        <v>23</v>
      </c>
      <c r="X25" s="1">
        <f t="shared" si="25"/>
        <v>0</v>
      </c>
      <c r="Y25" s="1">
        <f t="shared" si="25"/>
        <v>0</v>
      </c>
      <c r="Z25" s="1">
        <f t="shared" si="25"/>
        <v>0</v>
      </c>
      <c r="AA25" s="1">
        <f t="shared" si="25"/>
        <v>0</v>
      </c>
      <c r="AB25" s="1">
        <f t="shared" si="25"/>
        <v>0</v>
      </c>
      <c r="AD25" s="5" t="s">
        <v>23</v>
      </c>
      <c r="AE25" s="1">
        <f t="shared" si="26"/>
        <v>0</v>
      </c>
      <c r="AF25" s="1">
        <f t="shared" si="26"/>
        <v>0</v>
      </c>
      <c r="AG25" s="1">
        <f t="shared" si="26"/>
        <v>0</v>
      </c>
      <c r="AH25" s="1">
        <f t="shared" si="26"/>
        <v>0</v>
      </c>
      <c r="AI25" s="1">
        <f t="shared" si="26"/>
        <v>0</v>
      </c>
      <c r="AK25" s="5" t="s">
        <v>23</v>
      </c>
      <c r="AL25" s="1">
        <f t="shared" si="27"/>
        <v>0</v>
      </c>
      <c r="AM25" s="1">
        <f t="shared" si="27"/>
        <v>0</v>
      </c>
      <c r="AN25" s="1">
        <f t="shared" si="27"/>
        <v>0</v>
      </c>
      <c r="AO25" s="1">
        <f t="shared" si="27"/>
        <v>0</v>
      </c>
      <c r="AP25" s="1">
        <f t="shared" si="27"/>
        <v>0</v>
      </c>
      <c r="AR25" s="5" t="s">
        <v>23</v>
      </c>
      <c r="AS25" s="1">
        <f t="shared" si="28"/>
        <v>0</v>
      </c>
      <c r="AT25" s="1">
        <f t="shared" si="28"/>
        <v>0</v>
      </c>
      <c r="AU25" s="1">
        <f t="shared" si="28"/>
        <v>0</v>
      </c>
      <c r="AV25" s="1">
        <f t="shared" si="28"/>
        <v>0</v>
      </c>
      <c r="AW25" s="1">
        <f t="shared" si="28"/>
        <v>0</v>
      </c>
      <c r="AY25" s="5" t="s">
        <v>23</v>
      </c>
      <c r="AZ25" s="1">
        <f t="shared" si="29"/>
        <v>0</v>
      </c>
      <c r="BA25" s="1">
        <f t="shared" si="29"/>
        <v>0</v>
      </c>
      <c r="BB25" s="1">
        <f t="shared" si="29"/>
        <v>0</v>
      </c>
      <c r="BC25" s="1">
        <f t="shared" si="29"/>
        <v>0</v>
      </c>
      <c r="BD25" s="1">
        <f t="shared" si="29"/>
        <v>0</v>
      </c>
      <c r="BF25" s="5" t="s">
        <v>23</v>
      </c>
      <c r="BG25" s="1">
        <f t="shared" si="30"/>
        <v>0</v>
      </c>
      <c r="BH25" s="1">
        <f t="shared" si="30"/>
        <v>0</v>
      </c>
      <c r="BI25" s="1">
        <f t="shared" si="30"/>
        <v>0</v>
      </c>
      <c r="BJ25" s="1">
        <f t="shared" si="30"/>
        <v>0</v>
      </c>
      <c r="BK25" s="1">
        <f t="shared" si="30"/>
        <v>0</v>
      </c>
      <c r="BM25" s="5" t="s">
        <v>23</v>
      </c>
      <c r="BN25" s="1">
        <f t="shared" si="31"/>
        <v>0</v>
      </c>
      <c r="BP25" s="11"/>
      <c r="BQ25" s="11"/>
    </row>
    <row r="26" spans="1:69" hidden="1" x14ac:dyDescent="0.2">
      <c r="A26" t="s">
        <v>20</v>
      </c>
      <c r="B26">
        <v>1</v>
      </c>
      <c r="C26">
        <v>0</v>
      </c>
      <c r="E26" s="5" t="s">
        <v>20</v>
      </c>
      <c r="F26">
        <f t="shared" si="22"/>
        <v>-1</v>
      </c>
      <c r="G26">
        <f t="shared" si="22"/>
        <v>-1</v>
      </c>
      <c r="I26" s="5" t="s">
        <v>20</v>
      </c>
      <c r="J26">
        <f t="shared" si="23"/>
        <v>0</v>
      </c>
      <c r="K26">
        <f t="shared" si="23"/>
        <v>0</v>
      </c>
      <c r="L26">
        <f t="shared" si="23"/>
        <v>0</v>
      </c>
      <c r="M26">
        <f t="shared" si="23"/>
        <v>0</v>
      </c>
      <c r="N26">
        <f t="shared" si="23"/>
        <v>0</v>
      </c>
      <c r="P26" s="5" t="s">
        <v>20</v>
      </c>
      <c r="Q26">
        <f t="shared" si="24"/>
        <v>0</v>
      </c>
      <c r="R26">
        <f t="shared" si="24"/>
        <v>0</v>
      </c>
      <c r="S26">
        <f t="shared" si="24"/>
        <v>0</v>
      </c>
      <c r="T26">
        <f t="shared" si="24"/>
        <v>0</v>
      </c>
      <c r="U26">
        <f t="shared" si="24"/>
        <v>0</v>
      </c>
      <c r="W26" s="5" t="s">
        <v>20</v>
      </c>
      <c r="X26">
        <f t="shared" si="25"/>
        <v>0</v>
      </c>
      <c r="Y26">
        <f t="shared" si="25"/>
        <v>0</v>
      </c>
      <c r="Z26">
        <f t="shared" si="25"/>
        <v>0</v>
      </c>
      <c r="AA26">
        <f t="shared" si="25"/>
        <v>0</v>
      </c>
      <c r="AB26">
        <f t="shared" si="25"/>
        <v>0</v>
      </c>
      <c r="AD26" s="5" t="s">
        <v>20</v>
      </c>
      <c r="AE26">
        <f t="shared" si="26"/>
        <v>0</v>
      </c>
      <c r="AF26">
        <f t="shared" si="26"/>
        <v>0</v>
      </c>
      <c r="AG26">
        <f t="shared" si="26"/>
        <v>0</v>
      </c>
      <c r="AH26">
        <f t="shared" si="26"/>
        <v>0</v>
      </c>
      <c r="AI26">
        <f t="shared" si="26"/>
        <v>0</v>
      </c>
      <c r="AK26" s="5" t="s">
        <v>20</v>
      </c>
      <c r="AL26">
        <f t="shared" si="27"/>
        <v>0</v>
      </c>
      <c r="AM26">
        <f t="shared" si="27"/>
        <v>0</v>
      </c>
      <c r="AN26">
        <f t="shared" si="27"/>
        <v>0</v>
      </c>
      <c r="AO26">
        <f t="shared" si="27"/>
        <v>0</v>
      </c>
      <c r="AP26">
        <f t="shared" si="27"/>
        <v>0</v>
      </c>
      <c r="AR26" s="5" t="s">
        <v>20</v>
      </c>
      <c r="AS26">
        <f t="shared" si="28"/>
        <v>0</v>
      </c>
      <c r="AT26">
        <f t="shared" si="28"/>
        <v>0</v>
      </c>
      <c r="AU26">
        <f t="shared" si="28"/>
        <v>0</v>
      </c>
      <c r="AV26">
        <f t="shared" si="28"/>
        <v>0</v>
      </c>
      <c r="AW26">
        <f t="shared" si="28"/>
        <v>0</v>
      </c>
      <c r="AY26" s="5" t="s">
        <v>20</v>
      </c>
      <c r="AZ26">
        <f t="shared" si="29"/>
        <v>0</v>
      </c>
      <c r="BA26">
        <f t="shared" si="29"/>
        <v>0</v>
      </c>
      <c r="BB26">
        <f t="shared" si="29"/>
        <v>0</v>
      </c>
      <c r="BC26">
        <f t="shared" si="29"/>
        <v>0</v>
      </c>
      <c r="BD26">
        <f t="shared" si="29"/>
        <v>0</v>
      </c>
      <c r="BF26" s="5" t="s">
        <v>20</v>
      </c>
      <c r="BG26">
        <f t="shared" si="30"/>
        <v>0</v>
      </c>
      <c r="BH26">
        <f t="shared" si="30"/>
        <v>0</v>
      </c>
      <c r="BI26">
        <f t="shared" si="30"/>
        <v>0</v>
      </c>
      <c r="BJ26">
        <f t="shared" si="30"/>
        <v>0</v>
      </c>
      <c r="BK26">
        <f t="shared" si="30"/>
        <v>0</v>
      </c>
      <c r="BM26" s="5" t="s">
        <v>20</v>
      </c>
      <c r="BN26">
        <f t="shared" si="31"/>
        <v>0</v>
      </c>
    </row>
    <row r="27" spans="1:69" hidden="1" x14ac:dyDescent="0.2">
      <c r="A27" t="s">
        <v>25</v>
      </c>
      <c r="B27">
        <v>1</v>
      </c>
      <c r="C27">
        <v>0</v>
      </c>
      <c r="E27" s="5" t="s">
        <v>25</v>
      </c>
      <c r="F27">
        <f t="shared" si="22"/>
        <v>-1</v>
      </c>
      <c r="G27">
        <f t="shared" si="22"/>
        <v>-1</v>
      </c>
      <c r="I27" s="5" t="s">
        <v>25</v>
      </c>
      <c r="J27">
        <f t="shared" si="23"/>
        <v>0</v>
      </c>
      <c r="K27">
        <f t="shared" si="23"/>
        <v>0</v>
      </c>
      <c r="L27">
        <f t="shared" si="23"/>
        <v>0</v>
      </c>
      <c r="M27">
        <f t="shared" si="23"/>
        <v>0</v>
      </c>
      <c r="N27">
        <f t="shared" si="23"/>
        <v>0</v>
      </c>
      <c r="P27" s="5" t="s">
        <v>25</v>
      </c>
      <c r="Q27">
        <f t="shared" si="24"/>
        <v>0</v>
      </c>
      <c r="R27">
        <f t="shared" si="24"/>
        <v>0</v>
      </c>
      <c r="S27">
        <f t="shared" si="24"/>
        <v>0</v>
      </c>
      <c r="T27">
        <f t="shared" si="24"/>
        <v>0</v>
      </c>
      <c r="U27">
        <f t="shared" si="24"/>
        <v>0</v>
      </c>
      <c r="W27" s="5" t="s">
        <v>25</v>
      </c>
      <c r="X27">
        <f t="shared" si="25"/>
        <v>0</v>
      </c>
      <c r="Y27">
        <f t="shared" si="25"/>
        <v>0</v>
      </c>
      <c r="Z27">
        <f t="shared" si="25"/>
        <v>0</v>
      </c>
      <c r="AA27">
        <f t="shared" si="25"/>
        <v>0</v>
      </c>
      <c r="AB27">
        <f t="shared" si="25"/>
        <v>0</v>
      </c>
      <c r="AD27" s="5" t="s">
        <v>25</v>
      </c>
      <c r="AE27">
        <f t="shared" si="26"/>
        <v>0</v>
      </c>
      <c r="AF27">
        <f t="shared" si="26"/>
        <v>0</v>
      </c>
      <c r="AG27">
        <f t="shared" si="26"/>
        <v>0</v>
      </c>
      <c r="AH27">
        <f t="shared" si="26"/>
        <v>0</v>
      </c>
      <c r="AI27">
        <f t="shared" si="26"/>
        <v>0</v>
      </c>
      <c r="AK27" s="5" t="s">
        <v>25</v>
      </c>
      <c r="AL27">
        <f t="shared" si="27"/>
        <v>0</v>
      </c>
      <c r="AM27">
        <f t="shared" si="27"/>
        <v>0</v>
      </c>
      <c r="AN27">
        <f t="shared" si="27"/>
        <v>0</v>
      </c>
      <c r="AO27">
        <f t="shared" si="27"/>
        <v>0</v>
      </c>
      <c r="AP27">
        <f t="shared" si="27"/>
        <v>0</v>
      </c>
      <c r="AR27" s="5" t="s">
        <v>25</v>
      </c>
      <c r="AS27">
        <f t="shared" si="28"/>
        <v>0</v>
      </c>
      <c r="AT27">
        <f t="shared" si="28"/>
        <v>0</v>
      </c>
      <c r="AU27">
        <f t="shared" si="28"/>
        <v>0</v>
      </c>
      <c r="AV27">
        <f t="shared" si="28"/>
        <v>0</v>
      </c>
      <c r="AW27">
        <f t="shared" si="28"/>
        <v>0</v>
      </c>
      <c r="AY27" s="5" t="s">
        <v>25</v>
      </c>
      <c r="AZ27">
        <f t="shared" si="29"/>
        <v>0</v>
      </c>
      <c r="BA27">
        <f t="shared" si="29"/>
        <v>0</v>
      </c>
      <c r="BB27">
        <f t="shared" si="29"/>
        <v>0</v>
      </c>
      <c r="BC27">
        <f t="shared" si="29"/>
        <v>0</v>
      </c>
      <c r="BD27">
        <f t="shared" si="29"/>
        <v>0</v>
      </c>
      <c r="BF27" s="5" t="s">
        <v>25</v>
      </c>
      <c r="BG27">
        <f t="shared" si="30"/>
        <v>0</v>
      </c>
      <c r="BH27">
        <f t="shared" si="30"/>
        <v>0</v>
      </c>
      <c r="BI27">
        <f t="shared" si="30"/>
        <v>0</v>
      </c>
      <c r="BJ27">
        <f t="shared" si="30"/>
        <v>0</v>
      </c>
      <c r="BK27">
        <f t="shared" si="30"/>
        <v>0</v>
      </c>
      <c r="BM27" s="5" t="s">
        <v>25</v>
      </c>
      <c r="BN27">
        <f t="shared" si="31"/>
        <v>0</v>
      </c>
    </row>
    <row r="28" spans="1:69" hidden="1" x14ac:dyDescent="0.2">
      <c r="A28" t="s">
        <v>22</v>
      </c>
      <c r="B28">
        <v>1</v>
      </c>
      <c r="C28">
        <v>0</v>
      </c>
      <c r="E28" s="5" t="s">
        <v>22</v>
      </c>
      <c r="F28">
        <f t="shared" si="22"/>
        <v>-1</v>
      </c>
      <c r="G28">
        <f t="shared" si="22"/>
        <v>-1</v>
      </c>
      <c r="I28" s="5" t="s">
        <v>22</v>
      </c>
      <c r="J28">
        <f t="shared" si="23"/>
        <v>0</v>
      </c>
      <c r="K28">
        <f t="shared" si="23"/>
        <v>0</v>
      </c>
      <c r="L28">
        <f t="shared" si="23"/>
        <v>0</v>
      </c>
      <c r="M28">
        <f t="shared" si="23"/>
        <v>0</v>
      </c>
      <c r="N28">
        <f t="shared" si="23"/>
        <v>0</v>
      </c>
      <c r="P28" s="5" t="s">
        <v>22</v>
      </c>
      <c r="Q28">
        <f t="shared" si="24"/>
        <v>0</v>
      </c>
      <c r="R28">
        <f t="shared" si="24"/>
        <v>0</v>
      </c>
      <c r="S28">
        <f t="shared" si="24"/>
        <v>0</v>
      </c>
      <c r="T28">
        <f t="shared" si="24"/>
        <v>0</v>
      </c>
      <c r="U28">
        <f t="shared" si="24"/>
        <v>0</v>
      </c>
      <c r="W28" s="5" t="s">
        <v>22</v>
      </c>
      <c r="X28">
        <f t="shared" si="25"/>
        <v>0</v>
      </c>
      <c r="Y28">
        <f t="shared" si="25"/>
        <v>0</v>
      </c>
      <c r="Z28">
        <f t="shared" si="25"/>
        <v>0</v>
      </c>
      <c r="AA28">
        <f t="shared" si="25"/>
        <v>0</v>
      </c>
      <c r="AB28">
        <f t="shared" si="25"/>
        <v>0</v>
      </c>
      <c r="AD28" s="5" t="s">
        <v>22</v>
      </c>
      <c r="AE28">
        <f t="shared" si="26"/>
        <v>0</v>
      </c>
      <c r="AF28">
        <f t="shared" si="26"/>
        <v>0</v>
      </c>
      <c r="AG28">
        <f t="shared" si="26"/>
        <v>0</v>
      </c>
      <c r="AH28">
        <f t="shared" si="26"/>
        <v>0</v>
      </c>
      <c r="AI28">
        <f t="shared" si="26"/>
        <v>0</v>
      </c>
      <c r="AK28" s="5" t="s">
        <v>22</v>
      </c>
      <c r="AL28">
        <f t="shared" si="27"/>
        <v>0</v>
      </c>
      <c r="AM28">
        <f t="shared" si="27"/>
        <v>0</v>
      </c>
      <c r="AN28">
        <f t="shared" si="27"/>
        <v>0</v>
      </c>
      <c r="AO28">
        <f t="shared" si="27"/>
        <v>0</v>
      </c>
      <c r="AP28">
        <f t="shared" si="27"/>
        <v>0</v>
      </c>
      <c r="AR28" s="5" t="s">
        <v>22</v>
      </c>
      <c r="AS28">
        <f t="shared" si="28"/>
        <v>0</v>
      </c>
      <c r="AT28">
        <f t="shared" si="28"/>
        <v>0</v>
      </c>
      <c r="AU28">
        <f t="shared" si="28"/>
        <v>0</v>
      </c>
      <c r="AV28">
        <f t="shared" si="28"/>
        <v>0</v>
      </c>
      <c r="AW28">
        <f t="shared" si="28"/>
        <v>0</v>
      </c>
      <c r="AY28" s="5" t="s">
        <v>22</v>
      </c>
      <c r="AZ28">
        <f t="shared" si="29"/>
        <v>0</v>
      </c>
      <c r="BA28">
        <f t="shared" si="29"/>
        <v>0</v>
      </c>
      <c r="BB28">
        <f t="shared" si="29"/>
        <v>0</v>
      </c>
      <c r="BC28">
        <f t="shared" si="29"/>
        <v>0</v>
      </c>
      <c r="BD28">
        <f t="shared" si="29"/>
        <v>0</v>
      </c>
      <c r="BF28" s="5" t="s">
        <v>22</v>
      </c>
      <c r="BG28">
        <f t="shared" si="30"/>
        <v>0</v>
      </c>
      <c r="BH28">
        <f t="shared" si="30"/>
        <v>0</v>
      </c>
      <c r="BI28">
        <f t="shared" si="30"/>
        <v>0</v>
      </c>
      <c r="BJ28">
        <f t="shared" si="30"/>
        <v>0</v>
      </c>
      <c r="BK28">
        <f t="shared" si="30"/>
        <v>0</v>
      </c>
      <c r="BM28" s="5" t="s">
        <v>22</v>
      </c>
      <c r="BN28">
        <f t="shared" si="31"/>
        <v>0</v>
      </c>
    </row>
    <row r="29" spans="1:69" s="1" customFormat="1" hidden="1" x14ac:dyDescent="0.2">
      <c r="A29" s="1" t="s">
        <v>13</v>
      </c>
      <c r="C29" s="1">
        <v>0</v>
      </c>
      <c r="E29" s="5" t="s">
        <v>13</v>
      </c>
      <c r="F29" s="1">
        <f t="shared" si="22"/>
        <v>0</v>
      </c>
      <c r="G29" s="1">
        <f t="shared" si="22"/>
        <v>0</v>
      </c>
      <c r="I29" s="5" t="s">
        <v>13</v>
      </c>
      <c r="J29" s="1">
        <f t="shared" si="23"/>
        <v>0</v>
      </c>
      <c r="K29" s="1">
        <f t="shared" si="23"/>
        <v>0</v>
      </c>
      <c r="L29" s="1">
        <f t="shared" si="23"/>
        <v>0</v>
      </c>
      <c r="M29" s="1">
        <f t="shared" si="23"/>
        <v>0</v>
      </c>
      <c r="N29" s="1">
        <f t="shared" si="23"/>
        <v>0</v>
      </c>
      <c r="P29" s="5" t="s">
        <v>13</v>
      </c>
      <c r="Q29" s="1">
        <f t="shared" si="24"/>
        <v>0</v>
      </c>
      <c r="R29" s="1">
        <f t="shared" si="24"/>
        <v>0</v>
      </c>
      <c r="S29" s="1">
        <f t="shared" si="24"/>
        <v>0</v>
      </c>
      <c r="T29" s="1">
        <f t="shared" si="24"/>
        <v>0</v>
      </c>
      <c r="U29" s="1">
        <f t="shared" si="24"/>
        <v>0</v>
      </c>
      <c r="W29" s="5" t="s">
        <v>13</v>
      </c>
      <c r="X29" s="1">
        <f t="shared" si="25"/>
        <v>0</v>
      </c>
      <c r="Y29" s="1">
        <f t="shared" si="25"/>
        <v>0</v>
      </c>
      <c r="Z29" s="1">
        <f t="shared" si="25"/>
        <v>0</v>
      </c>
      <c r="AA29" s="1">
        <f t="shared" si="25"/>
        <v>0</v>
      </c>
      <c r="AB29" s="1">
        <f t="shared" si="25"/>
        <v>0</v>
      </c>
      <c r="AD29" s="5" t="s">
        <v>13</v>
      </c>
      <c r="AE29" s="1">
        <f t="shared" si="26"/>
        <v>0</v>
      </c>
      <c r="AF29" s="1">
        <f t="shared" si="26"/>
        <v>0</v>
      </c>
      <c r="AG29" s="1">
        <f t="shared" si="26"/>
        <v>0</v>
      </c>
      <c r="AH29" s="1">
        <f t="shared" si="26"/>
        <v>0</v>
      </c>
      <c r="AI29" s="1">
        <f t="shared" si="26"/>
        <v>0</v>
      </c>
      <c r="AK29" s="5" t="s">
        <v>13</v>
      </c>
      <c r="AL29" s="1">
        <f t="shared" si="27"/>
        <v>0</v>
      </c>
      <c r="AM29" s="1">
        <f t="shared" si="27"/>
        <v>1</v>
      </c>
      <c r="AN29" s="1">
        <f t="shared" si="27"/>
        <v>1</v>
      </c>
      <c r="AO29" s="1">
        <f t="shared" si="27"/>
        <v>1</v>
      </c>
      <c r="AP29" s="1">
        <f t="shared" si="27"/>
        <v>1</v>
      </c>
      <c r="AR29" s="5" t="s">
        <v>13</v>
      </c>
      <c r="AS29" s="1">
        <f t="shared" si="28"/>
        <v>1</v>
      </c>
      <c r="AT29" s="1">
        <f t="shared" si="28"/>
        <v>1</v>
      </c>
      <c r="AU29" s="1">
        <f t="shared" si="28"/>
        <v>1</v>
      </c>
      <c r="AV29" s="1">
        <f t="shared" si="28"/>
        <v>1</v>
      </c>
      <c r="AW29" s="1">
        <f t="shared" si="28"/>
        <v>2</v>
      </c>
      <c r="AY29" s="5" t="s">
        <v>13</v>
      </c>
      <c r="AZ29" s="1">
        <f t="shared" si="29"/>
        <v>2</v>
      </c>
      <c r="BA29" s="1">
        <f t="shared" si="29"/>
        <v>2</v>
      </c>
      <c r="BB29" s="1">
        <f t="shared" si="29"/>
        <v>2</v>
      </c>
      <c r="BC29" s="1">
        <f t="shared" si="29"/>
        <v>2</v>
      </c>
      <c r="BD29" s="1">
        <f t="shared" si="29"/>
        <v>1</v>
      </c>
      <c r="BF29" s="5" t="s">
        <v>13</v>
      </c>
      <c r="BG29" s="1">
        <f t="shared" si="30"/>
        <v>2</v>
      </c>
      <c r="BH29" s="1">
        <f t="shared" si="30"/>
        <v>2</v>
      </c>
      <c r="BI29" s="1">
        <f t="shared" si="30"/>
        <v>2</v>
      </c>
      <c r="BJ29" s="1">
        <f t="shared" si="30"/>
        <v>1</v>
      </c>
      <c r="BK29" s="1">
        <f t="shared" si="30"/>
        <v>1</v>
      </c>
      <c r="BM29" s="5" t="s">
        <v>13</v>
      </c>
      <c r="BN29" s="1">
        <f t="shared" si="31"/>
        <v>1</v>
      </c>
      <c r="BP29" s="11"/>
      <c r="BQ29" s="11"/>
    </row>
    <row r="30" spans="1:69" hidden="1" x14ac:dyDescent="0.2">
      <c r="A30" t="s">
        <v>2</v>
      </c>
      <c r="B30">
        <v>1</v>
      </c>
      <c r="C30">
        <v>0</v>
      </c>
      <c r="E30" s="5" t="s">
        <v>2</v>
      </c>
      <c r="F30">
        <f t="shared" si="22"/>
        <v>-1</v>
      </c>
      <c r="G30">
        <f t="shared" si="22"/>
        <v>-1</v>
      </c>
      <c r="I30" s="5" t="s">
        <v>2</v>
      </c>
      <c r="J30">
        <f t="shared" si="23"/>
        <v>-1</v>
      </c>
      <c r="K30">
        <f t="shared" si="23"/>
        <v>-1</v>
      </c>
      <c r="L30">
        <f t="shared" si="23"/>
        <v>-1</v>
      </c>
      <c r="M30">
        <f t="shared" si="23"/>
        <v>-1</v>
      </c>
      <c r="N30">
        <f t="shared" si="23"/>
        <v>-1</v>
      </c>
      <c r="P30" s="5" t="s">
        <v>2</v>
      </c>
      <c r="Q30">
        <f t="shared" si="24"/>
        <v>-1</v>
      </c>
      <c r="R30">
        <f t="shared" si="24"/>
        <v>-1</v>
      </c>
      <c r="S30">
        <f t="shared" si="24"/>
        <v>-1</v>
      </c>
      <c r="T30">
        <f t="shared" si="24"/>
        <v>-1</v>
      </c>
      <c r="U30">
        <f t="shared" si="24"/>
        <v>-1</v>
      </c>
      <c r="W30" s="5" t="s">
        <v>2</v>
      </c>
      <c r="X30">
        <f t="shared" si="25"/>
        <v>-1</v>
      </c>
      <c r="Y30">
        <f t="shared" si="25"/>
        <v>-1</v>
      </c>
      <c r="Z30">
        <f t="shared" si="25"/>
        <v>-1</v>
      </c>
      <c r="AA30">
        <f t="shared" si="25"/>
        <v>-1</v>
      </c>
      <c r="AB30">
        <f t="shared" si="25"/>
        <v>-1</v>
      </c>
      <c r="AD30" s="5" t="s">
        <v>2</v>
      </c>
      <c r="AE30">
        <f t="shared" si="26"/>
        <v>-1</v>
      </c>
      <c r="AF30">
        <f t="shared" si="26"/>
        <v>-1</v>
      </c>
      <c r="AG30">
        <f t="shared" si="26"/>
        <v>-1</v>
      </c>
      <c r="AH30">
        <f t="shared" si="26"/>
        <v>-1</v>
      </c>
      <c r="AI30">
        <f t="shared" si="26"/>
        <v>-1</v>
      </c>
      <c r="AK30" s="5" t="s">
        <v>2</v>
      </c>
      <c r="AL30">
        <f t="shared" si="27"/>
        <v>-1</v>
      </c>
      <c r="AM30">
        <f t="shared" si="27"/>
        <v>-1</v>
      </c>
      <c r="AN30">
        <f t="shared" si="27"/>
        <v>-1</v>
      </c>
      <c r="AO30">
        <f t="shared" si="27"/>
        <v>-1</v>
      </c>
      <c r="AP30">
        <f t="shared" si="27"/>
        <v>-1</v>
      </c>
      <c r="AR30" s="5" t="s">
        <v>2</v>
      </c>
      <c r="AS30">
        <f t="shared" si="28"/>
        <v>-1</v>
      </c>
      <c r="AT30">
        <f t="shared" si="28"/>
        <v>-1</v>
      </c>
      <c r="AU30">
        <f t="shared" si="28"/>
        <v>-1</v>
      </c>
      <c r="AV30">
        <f t="shared" si="28"/>
        <v>-1</v>
      </c>
      <c r="AW30">
        <f t="shared" si="28"/>
        <v>-1</v>
      </c>
      <c r="AY30" s="5" t="s">
        <v>2</v>
      </c>
      <c r="AZ30">
        <f t="shared" si="29"/>
        <v>-1</v>
      </c>
      <c r="BA30">
        <f t="shared" si="29"/>
        <v>-1</v>
      </c>
      <c r="BB30">
        <f t="shared" si="29"/>
        <v>-1</v>
      </c>
      <c r="BC30">
        <f t="shared" si="29"/>
        <v>-1</v>
      </c>
      <c r="BD30">
        <f t="shared" si="29"/>
        <v>-1</v>
      </c>
      <c r="BF30" s="5" t="s">
        <v>2</v>
      </c>
      <c r="BG30">
        <f t="shared" si="30"/>
        <v>-1</v>
      </c>
      <c r="BH30">
        <f t="shared" si="30"/>
        <v>-1</v>
      </c>
      <c r="BI30">
        <f t="shared" si="30"/>
        <v>-1</v>
      </c>
      <c r="BJ30">
        <f t="shared" si="30"/>
        <v>-1</v>
      </c>
      <c r="BK30">
        <f t="shared" si="30"/>
        <v>-1</v>
      </c>
      <c r="BM30" s="5" t="s">
        <v>2</v>
      </c>
      <c r="BN30">
        <f t="shared" si="31"/>
        <v>-1</v>
      </c>
    </row>
    <row r="31" spans="1:69" x14ac:dyDescent="0.2">
      <c r="E31" s="4"/>
      <c r="F31" s="3" t="s">
        <v>36</v>
      </c>
      <c r="G31" s="3"/>
      <c r="I31" s="4"/>
      <c r="J31" s="3" t="s">
        <v>36</v>
      </c>
      <c r="K31" s="3"/>
      <c r="L31" s="3"/>
      <c r="M31" s="3"/>
      <c r="N31" s="3"/>
      <c r="P31" s="4"/>
      <c r="Q31" s="3" t="s">
        <v>36</v>
      </c>
      <c r="R31" s="3"/>
      <c r="S31" s="3"/>
      <c r="T31" s="3"/>
      <c r="U31" s="3"/>
      <c r="W31" s="4"/>
      <c r="X31" s="3" t="s">
        <v>36</v>
      </c>
      <c r="Y31" s="3"/>
      <c r="Z31" s="3"/>
      <c r="AA31" s="3"/>
      <c r="AB31" s="3"/>
      <c r="AD31" s="4"/>
      <c r="AE31" s="3" t="s">
        <v>36</v>
      </c>
      <c r="AF31" s="3"/>
      <c r="AG31" s="3"/>
      <c r="AH31" s="3"/>
      <c r="AI31" s="3"/>
      <c r="AK31" s="4"/>
      <c r="AL31" s="3" t="s">
        <v>36</v>
      </c>
      <c r="AM31" s="3"/>
      <c r="AN31" s="3"/>
      <c r="AO31" s="3"/>
      <c r="AP31" s="3"/>
      <c r="AR31" s="4"/>
      <c r="AS31" s="3" t="s">
        <v>36</v>
      </c>
      <c r="AT31" s="3"/>
      <c r="AU31" s="3"/>
      <c r="AV31" s="3"/>
      <c r="AW31" s="3"/>
      <c r="AY31" s="4"/>
      <c r="AZ31" s="3" t="s">
        <v>36</v>
      </c>
      <c r="BA31" s="3"/>
      <c r="BB31" s="3"/>
      <c r="BC31" s="3"/>
      <c r="BD31" s="3"/>
      <c r="BF31" s="4"/>
      <c r="BG31" s="3" t="s">
        <v>36</v>
      </c>
      <c r="BH31" s="3"/>
      <c r="BI31" s="3"/>
      <c r="BJ31" s="3"/>
      <c r="BK31" s="3"/>
      <c r="BM31" s="4"/>
      <c r="BN31" s="3"/>
      <c r="BP31"/>
      <c r="BQ31"/>
    </row>
    <row r="32" spans="1:69" x14ac:dyDescent="0.2">
      <c r="E32" s="5" t="s">
        <v>21</v>
      </c>
      <c r="F32" s="1">
        <f t="shared" ref="F32:G37" si="32">COUNTIF(F$2:F$12,$E32 &amp; " (call)")</f>
        <v>0</v>
      </c>
      <c r="G32" s="1">
        <f t="shared" si="32"/>
        <v>0</v>
      </c>
      <c r="I32" s="5" t="s">
        <v>21</v>
      </c>
      <c r="J32" s="1">
        <f t="shared" ref="J32:N37" si="33">COUNTIF(J$2:J$12,$E32 &amp; " (call)")</f>
        <v>1</v>
      </c>
      <c r="K32" s="1">
        <f t="shared" si="33"/>
        <v>0</v>
      </c>
      <c r="L32" s="1">
        <f t="shared" si="33"/>
        <v>0</v>
      </c>
      <c r="M32" s="1">
        <f t="shared" si="33"/>
        <v>0</v>
      </c>
      <c r="N32" s="1">
        <f t="shared" si="33"/>
        <v>0</v>
      </c>
      <c r="P32" s="5" t="s">
        <v>21</v>
      </c>
      <c r="Q32" s="1">
        <f t="shared" ref="Q32:U37" si="34">COUNTIF(Q$2:Q$12,$E32 &amp; " (call)")</f>
        <v>1</v>
      </c>
      <c r="R32" s="1">
        <f t="shared" si="34"/>
        <v>0</v>
      </c>
      <c r="S32" s="1">
        <f t="shared" si="34"/>
        <v>0</v>
      </c>
      <c r="T32" s="1">
        <f t="shared" si="34"/>
        <v>0</v>
      </c>
      <c r="U32" s="1">
        <f t="shared" si="34"/>
        <v>0</v>
      </c>
      <c r="W32" s="5" t="s">
        <v>21</v>
      </c>
      <c r="X32" s="1">
        <f t="shared" ref="X32:AB37" si="35">COUNTIF(X$2:X$12,$E32 &amp; " (call)")</f>
        <v>0</v>
      </c>
      <c r="Y32" s="1">
        <f t="shared" si="35"/>
        <v>0</v>
      </c>
      <c r="Z32" s="1">
        <f t="shared" si="35"/>
        <v>1</v>
      </c>
      <c r="AA32" s="1">
        <f t="shared" si="35"/>
        <v>0</v>
      </c>
      <c r="AB32" s="1">
        <f t="shared" si="35"/>
        <v>0</v>
      </c>
      <c r="AD32" s="5" t="s">
        <v>21</v>
      </c>
      <c r="AE32" s="1">
        <f t="shared" ref="AE32:AI37" si="36">COUNTIF(AE$2:AE$12,$E32 &amp; " (call)")</f>
        <v>0</v>
      </c>
      <c r="AF32" s="1">
        <f t="shared" si="36"/>
        <v>0</v>
      </c>
      <c r="AG32" s="1">
        <f t="shared" si="36"/>
        <v>0</v>
      </c>
      <c r="AH32" s="1">
        <f t="shared" si="36"/>
        <v>0</v>
      </c>
      <c r="AI32" s="1">
        <f t="shared" si="36"/>
        <v>0</v>
      </c>
      <c r="AK32" s="5" t="s">
        <v>21</v>
      </c>
      <c r="AL32" s="1">
        <f t="shared" ref="AL32:AP37" si="37">COUNTIF(AL$2:AL$12,$E32 &amp; " (call)")</f>
        <v>1</v>
      </c>
      <c r="AM32" s="1">
        <f t="shared" si="37"/>
        <v>0</v>
      </c>
      <c r="AN32" s="1">
        <f t="shared" si="37"/>
        <v>0</v>
      </c>
      <c r="AO32" s="1">
        <f t="shared" si="37"/>
        <v>1</v>
      </c>
      <c r="AP32" s="1">
        <f t="shared" si="37"/>
        <v>0</v>
      </c>
      <c r="AR32" s="5" t="s">
        <v>21</v>
      </c>
      <c r="AS32" s="1">
        <f t="shared" ref="AS32:AW37" si="38">COUNTIF(AS$2:AS$12,$E32 &amp; " (call)")</f>
        <v>1</v>
      </c>
      <c r="AT32" s="1">
        <f t="shared" si="38"/>
        <v>0</v>
      </c>
      <c r="AU32" s="1">
        <f t="shared" si="38"/>
        <v>0</v>
      </c>
      <c r="AV32" s="1">
        <f t="shared" si="38"/>
        <v>0</v>
      </c>
      <c r="AW32" s="1">
        <f t="shared" si="38"/>
        <v>0</v>
      </c>
      <c r="AY32" s="5" t="s">
        <v>21</v>
      </c>
      <c r="AZ32" s="1">
        <f t="shared" ref="AZ32:BD37" si="39">COUNTIF(AZ$2:AZ$12,$E32 &amp; " (call)")</f>
        <v>1</v>
      </c>
      <c r="BA32" s="1">
        <f t="shared" si="39"/>
        <v>0</v>
      </c>
      <c r="BB32" s="1">
        <f t="shared" si="39"/>
        <v>0</v>
      </c>
      <c r="BC32" s="1">
        <f t="shared" si="39"/>
        <v>0</v>
      </c>
      <c r="BD32" s="1">
        <f t="shared" si="39"/>
        <v>1</v>
      </c>
      <c r="BF32" s="5" t="s">
        <v>21</v>
      </c>
      <c r="BG32" s="1">
        <f t="shared" ref="BG32:BK37" si="40">COUNTIF(BG$2:BG$12,$E32 &amp; " (call)")</f>
        <v>0</v>
      </c>
      <c r="BH32" s="1">
        <f t="shared" si="40"/>
        <v>0</v>
      </c>
      <c r="BI32" s="1">
        <f t="shared" si="40"/>
        <v>0</v>
      </c>
      <c r="BJ32" s="1">
        <f t="shared" si="40"/>
        <v>0</v>
      </c>
      <c r="BK32" s="1">
        <f t="shared" si="40"/>
        <v>1</v>
      </c>
      <c r="BM32" s="5" t="s">
        <v>21</v>
      </c>
      <c r="BN32" s="1">
        <f t="shared" ref="BN32:BN37" si="41">COUNTIF(BN$2:BN$12,$E32 &amp; " (call)")</f>
        <v>0</v>
      </c>
      <c r="BP32"/>
      <c r="BQ32"/>
    </row>
    <row r="33" spans="5:69" x14ac:dyDescent="0.2">
      <c r="E33" s="5" t="s">
        <v>24</v>
      </c>
      <c r="F33" s="1">
        <f t="shared" si="32"/>
        <v>0</v>
      </c>
      <c r="G33" s="1">
        <f t="shared" si="32"/>
        <v>0</v>
      </c>
      <c r="I33" s="5" t="s">
        <v>24</v>
      </c>
      <c r="J33" s="1">
        <f t="shared" si="33"/>
        <v>0</v>
      </c>
      <c r="K33" s="1">
        <f t="shared" si="33"/>
        <v>0</v>
      </c>
      <c r="L33" s="1">
        <f t="shared" si="33"/>
        <v>0</v>
      </c>
      <c r="M33" s="1">
        <f t="shared" si="33"/>
        <v>1</v>
      </c>
      <c r="N33" s="1">
        <f t="shared" si="33"/>
        <v>0</v>
      </c>
      <c r="P33" s="5" t="s">
        <v>24</v>
      </c>
      <c r="Q33" s="1">
        <f t="shared" si="34"/>
        <v>0</v>
      </c>
      <c r="R33" s="1">
        <f t="shared" si="34"/>
        <v>0</v>
      </c>
      <c r="S33" s="1">
        <f t="shared" si="34"/>
        <v>0</v>
      </c>
      <c r="T33" s="1">
        <f t="shared" si="34"/>
        <v>1</v>
      </c>
      <c r="U33" s="1">
        <f t="shared" si="34"/>
        <v>0</v>
      </c>
      <c r="W33" s="5" t="s">
        <v>24</v>
      </c>
      <c r="X33" s="1">
        <f t="shared" si="35"/>
        <v>0</v>
      </c>
      <c r="Y33" s="1">
        <f t="shared" si="35"/>
        <v>0</v>
      </c>
      <c r="Z33" s="1">
        <f t="shared" si="35"/>
        <v>0</v>
      </c>
      <c r="AA33" s="1">
        <f t="shared" si="35"/>
        <v>0</v>
      </c>
      <c r="AB33" s="1">
        <f t="shared" si="35"/>
        <v>1</v>
      </c>
      <c r="AD33" s="5" t="s">
        <v>24</v>
      </c>
      <c r="AE33" s="1">
        <f t="shared" si="36"/>
        <v>1</v>
      </c>
      <c r="AF33" s="1">
        <f t="shared" si="36"/>
        <v>0</v>
      </c>
      <c r="AG33" s="1">
        <f t="shared" si="36"/>
        <v>1</v>
      </c>
      <c r="AH33" s="1">
        <f t="shared" si="36"/>
        <v>1</v>
      </c>
      <c r="AI33" s="1">
        <f t="shared" si="36"/>
        <v>0</v>
      </c>
      <c r="AK33" s="5" t="s">
        <v>24</v>
      </c>
      <c r="AL33" s="1">
        <f t="shared" si="37"/>
        <v>0</v>
      </c>
      <c r="AM33" s="1">
        <f t="shared" si="37"/>
        <v>0</v>
      </c>
      <c r="AN33" s="1">
        <f t="shared" si="37"/>
        <v>0</v>
      </c>
      <c r="AO33" s="1">
        <f t="shared" si="37"/>
        <v>0</v>
      </c>
      <c r="AP33" s="1">
        <f t="shared" si="37"/>
        <v>1</v>
      </c>
      <c r="AR33" s="5" t="s">
        <v>24</v>
      </c>
      <c r="AS33" s="1">
        <f t="shared" si="38"/>
        <v>0</v>
      </c>
      <c r="AT33" s="1">
        <f t="shared" si="38"/>
        <v>0</v>
      </c>
      <c r="AU33" s="1">
        <f t="shared" si="38"/>
        <v>0</v>
      </c>
      <c r="AV33" s="1">
        <f t="shared" si="38"/>
        <v>1</v>
      </c>
      <c r="AW33" s="1">
        <f t="shared" si="38"/>
        <v>0</v>
      </c>
      <c r="AY33" s="5" t="s">
        <v>24</v>
      </c>
      <c r="AZ33" s="1">
        <f t="shared" si="39"/>
        <v>0</v>
      </c>
      <c r="BA33" s="1">
        <f t="shared" si="39"/>
        <v>0</v>
      </c>
      <c r="BB33" s="1">
        <f t="shared" si="39"/>
        <v>0</v>
      </c>
      <c r="BC33" s="1">
        <f t="shared" si="39"/>
        <v>1</v>
      </c>
      <c r="BD33" s="1">
        <f t="shared" si="39"/>
        <v>0</v>
      </c>
      <c r="BF33" s="5" t="s">
        <v>24</v>
      </c>
      <c r="BG33" s="1">
        <f t="shared" si="40"/>
        <v>0</v>
      </c>
      <c r="BH33" s="1">
        <f t="shared" si="40"/>
        <v>0</v>
      </c>
      <c r="BI33" s="1">
        <f t="shared" si="40"/>
        <v>0</v>
      </c>
      <c r="BJ33" s="1">
        <f t="shared" si="40"/>
        <v>0</v>
      </c>
      <c r="BK33" s="1">
        <f t="shared" si="40"/>
        <v>0</v>
      </c>
      <c r="BM33" s="5" t="s">
        <v>24</v>
      </c>
      <c r="BN33" s="1">
        <f t="shared" si="41"/>
        <v>0</v>
      </c>
      <c r="BP33"/>
      <c r="BQ33"/>
    </row>
    <row r="34" spans="5:69" x14ac:dyDescent="0.2">
      <c r="E34" s="5" t="s">
        <v>23</v>
      </c>
      <c r="F34" s="1">
        <f t="shared" si="32"/>
        <v>0</v>
      </c>
      <c r="G34" s="1">
        <f t="shared" si="32"/>
        <v>0</v>
      </c>
      <c r="I34" s="5" t="s">
        <v>23</v>
      </c>
      <c r="J34" s="1">
        <f t="shared" si="33"/>
        <v>0</v>
      </c>
      <c r="K34" s="1">
        <f t="shared" si="33"/>
        <v>1</v>
      </c>
      <c r="L34" s="1">
        <f t="shared" si="33"/>
        <v>0</v>
      </c>
      <c r="M34" s="1">
        <f t="shared" si="33"/>
        <v>0</v>
      </c>
      <c r="N34" s="1">
        <f t="shared" si="33"/>
        <v>0</v>
      </c>
      <c r="P34" s="5" t="s">
        <v>23</v>
      </c>
      <c r="Q34" s="1">
        <f t="shared" si="34"/>
        <v>0</v>
      </c>
      <c r="R34" s="1">
        <f t="shared" si="34"/>
        <v>0</v>
      </c>
      <c r="S34" s="1">
        <f t="shared" si="34"/>
        <v>0</v>
      </c>
      <c r="T34" s="1">
        <f t="shared" si="34"/>
        <v>0</v>
      </c>
      <c r="U34" s="1">
        <f t="shared" si="34"/>
        <v>1</v>
      </c>
      <c r="W34" s="5" t="s">
        <v>23</v>
      </c>
      <c r="X34" s="1">
        <f t="shared" si="35"/>
        <v>1</v>
      </c>
      <c r="Y34" s="1">
        <f t="shared" si="35"/>
        <v>0</v>
      </c>
      <c r="Z34" s="1">
        <f t="shared" si="35"/>
        <v>0</v>
      </c>
      <c r="AA34" s="1">
        <f t="shared" si="35"/>
        <v>0</v>
      </c>
      <c r="AB34" s="1">
        <f t="shared" si="35"/>
        <v>0</v>
      </c>
      <c r="AD34" s="5" t="s">
        <v>23</v>
      </c>
      <c r="AE34" s="1">
        <f t="shared" si="36"/>
        <v>0</v>
      </c>
      <c r="AF34" s="1">
        <f t="shared" si="36"/>
        <v>0</v>
      </c>
      <c r="AG34" s="1">
        <f t="shared" si="36"/>
        <v>0</v>
      </c>
      <c r="AH34" s="1">
        <f t="shared" si="36"/>
        <v>0</v>
      </c>
      <c r="AI34" s="1">
        <f t="shared" si="36"/>
        <v>1</v>
      </c>
      <c r="AK34" s="5" t="s">
        <v>23</v>
      </c>
      <c r="AL34" s="1">
        <f t="shared" si="37"/>
        <v>0</v>
      </c>
      <c r="AM34" s="1">
        <f t="shared" si="37"/>
        <v>0</v>
      </c>
      <c r="AN34" s="1">
        <f t="shared" si="37"/>
        <v>1</v>
      </c>
      <c r="AO34" s="1">
        <f t="shared" si="37"/>
        <v>0</v>
      </c>
      <c r="AP34" s="1">
        <f t="shared" si="37"/>
        <v>0</v>
      </c>
      <c r="AR34" s="5" t="s">
        <v>23</v>
      </c>
      <c r="AS34" s="1">
        <f t="shared" si="38"/>
        <v>0</v>
      </c>
      <c r="AT34" s="1">
        <f t="shared" si="38"/>
        <v>1</v>
      </c>
      <c r="AU34" s="1">
        <f t="shared" si="38"/>
        <v>0</v>
      </c>
      <c r="AV34" s="1">
        <f t="shared" si="38"/>
        <v>0</v>
      </c>
      <c r="AW34" s="1">
        <f t="shared" si="38"/>
        <v>0</v>
      </c>
      <c r="AY34" s="5" t="s">
        <v>23</v>
      </c>
      <c r="AZ34" s="1">
        <f t="shared" si="39"/>
        <v>0</v>
      </c>
      <c r="BA34" s="1">
        <f t="shared" si="39"/>
        <v>0</v>
      </c>
      <c r="BB34" s="1">
        <f t="shared" si="39"/>
        <v>1</v>
      </c>
      <c r="BC34" s="1">
        <f t="shared" si="39"/>
        <v>0</v>
      </c>
      <c r="BD34" s="1">
        <f t="shared" si="39"/>
        <v>0</v>
      </c>
      <c r="BF34" s="5" t="s">
        <v>23</v>
      </c>
      <c r="BG34" s="1">
        <f t="shared" si="40"/>
        <v>0</v>
      </c>
      <c r="BH34" s="1">
        <f t="shared" si="40"/>
        <v>1</v>
      </c>
      <c r="BI34" s="1">
        <f t="shared" si="40"/>
        <v>0</v>
      </c>
      <c r="BJ34" s="1">
        <f t="shared" si="40"/>
        <v>1</v>
      </c>
      <c r="BK34" s="1">
        <f t="shared" si="40"/>
        <v>0</v>
      </c>
      <c r="BM34" s="5" t="s">
        <v>23</v>
      </c>
      <c r="BN34" s="1">
        <f t="shared" si="41"/>
        <v>0</v>
      </c>
      <c r="BP34"/>
      <c r="BQ34"/>
    </row>
    <row r="35" spans="5:69" x14ac:dyDescent="0.2">
      <c r="E35" s="5" t="s">
        <v>20</v>
      </c>
      <c r="F35" s="1">
        <f t="shared" si="32"/>
        <v>0</v>
      </c>
      <c r="G35" s="1">
        <f t="shared" si="32"/>
        <v>0</v>
      </c>
      <c r="I35" s="5" t="s">
        <v>20</v>
      </c>
      <c r="J35" s="1">
        <f t="shared" si="33"/>
        <v>0</v>
      </c>
      <c r="K35" s="1">
        <f t="shared" si="33"/>
        <v>0</v>
      </c>
      <c r="L35" s="1">
        <f t="shared" si="33"/>
        <v>0</v>
      </c>
      <c r="M35" s="1">
        <f t="shared" si="33"/>
        <v>0</v>
      </c>
      <c r="N35" s="1">
        <f t="shared" si="33"/>
        <v>0</v>
      </c>
      <c r="P35" s="5" t="s">
        <v>20</v>
      </c>
      <c r="Q35" s="1">
        <f t="shared" si="34"/>
        <v>0</v>
      </c>
      <c r="R35" s="1">
        <f t="shared" si="34"/>
        <v>1</v>
      </c>
      <c r="S35" s="1">
        <f t="shared" si="34"/>
        <v>0</v>
      </c>
      <c r="T35" s="1">
        <f t="shared" si="34"/>
        <v>0</v>
      </c>
      <c r="U35" s="1">
        <f t="shared" si="34"/>
        <v>0</v>
      </c>
      <c r="W35" s="5" t="s">
        <v>20</v>
      </c>
      <c r="X35" s="1">
        <f t="shared" si="35"/>
        <v>0</v>
      </c>
      <c r="Y35" s="1">
        <f t="shared" si="35"/>
        <v>0</v>
      </c>
      <c r="Z35" s="1">
        <f t="shared" si="35"/>
        <v>0</v>
      </c>
      <c r="AA35" s="1">
        <f t="shared" si="35"/>
        <v>0</v>
      </c>
      <c r="AB35" s="1">
        <f t="shared" si="35"/>
        <v>0</v>
      </c>
      <c r="AD35" s="5" t="s">
        <v>20</v>
      </c>
      <c r="AE35" s="1">
        <f t="shared" si="36"/>
        <v>0</v>
      </c>
      <c r="AF35" s="1">
        <f t="shared" si="36"/>
        <v>1</v>
      </c>
      <c r="AG35" s="1">
        <f t="shared" si="36"/>
        <v>0</v>
      </c>
      <c r="AH35" s="1">
        <f t="shared" si="36"/>
        <v>0</v>
      </c>
      <c r="AI35" s="1">
        <f t="shared" si="36"/>
        <v>0</v>
      </c>
      <c r="AK35" s="5" t="s">
        <v>20</v>
      </c>
      <c r="AL35" s="1">
        <f t="shared" si="37"/>
        <v>0</v>
      </c>
      <c r="AM35" s="1">
        <f t="shared" si="37"/>
        <v>0</v>
      </c>
      <c r="AN35" s="1">
        <f t="shared" si="37"/>
        <v>0</v>
      </c>
      <c r="AO35" s="1">
        <f t="shared" si="37"/>
        <v>0</v>
      </c>
      <c r="AP35" s="1">
        <f t="shared" si="37"/>
        <v>0</v>
      </c>
      <c r="AR35" s="5" t="s">
        <v>20</v>
      </c>
      <c r="AS35" s="1">
        <f t="shared" si="38"/>
        <v>0</v>
      </c>
      <c r="AT35" s="1">
        <f t="shared" si="38"/>
        <v>0</v>
      </c>
      <c r="AU35" s="1">
        <f t="shared" si="38"/>
        <v>0</v>
      </c>
      <c r="AV35" s="1">
        <f t="shared" si="38"/>
        <v>0</v>
      </c>
      <c r="AW35" s="1">
        <f t="shared" si="38"/>
        <v>1</v>
      </c>
      <c r="AY35" s="5" t="s">
        <v>20</v>
      </c>
      <c r="AZ35" s="1">
        <f t="shared" si="39"/>
        <v>0</v>
      </c>
      <c r="BA35" s="1">
        <f t="shared" si="39"/>
        <v>1</v>
      </c>
      <c r="BB35" s="1">
        <f t="shared" si="39"/>
        <v>0</v>
      </c>
      <c r="BC35" s="1">
        <f t="shared" si="39"/>
        <v>0</v>
      </c>
      <c r="BD35" s="1">
        <f t="shared" si="39"/>
        <v>0</v>
      </c>
      <c r="BF35" s="5" t="s">
        <v>20</v>
      </c>
      <c r="BG35" s="1">
        <f t="shared" si="40"/>
        <v>0</v>
      </c>
      <c r="BH35" s="1">
        <f t="shared" si="40"/>
        <v>0</v>
      </c>
      <c r="BI35" s="1">
        <f t="shared" si="40"/>
        <v>0</v>
      </c>
      <c r="BJ35" s="1">
        <f t="shared" si="40"/>
        <v>0</v>
      </c>
      <c r="BK35" s="1">
        <f t="shared" si="40"/>
        <v>0</v>
      </c>
      <c r="BM35" s="5" t="s">
        <v>20</v>
      </c>
      <c r="BN35" s="1">
        <f t="shared" si="41"/>
        <v>0</v>
      </c>
      <c r="BP35"/>
      <c r="BQ35"/>
    </row>
    <row r="36" spans="5:69" x14ac:dyDescent="0.2">
      <c r="E36" s="5" t="s">
        <v>25</v>
      </c>
      <c r="F36" s="1">
        <f t="shared" si="32"/>
        <v>0</v>
      </c>
      <c r="G36" s="1">
        <f t="shared" si="32"/>
        <v>0</v>
      </c>
      <c r="I36" s="5" t="s">
        <v>25</v>
      </c>
      <c r="J36" s="1">
        <f t="shared" si="33"/>
        <v>0</v>
      </c>
      <c r="K36" s="1">
        <f t="shared" si="33"/>
        <v>0</v>
      </c>
      <c r="L36" s="1">
        <f t="shared" si="33"/>
        <v>0</v>
      </c>
      <c r="M36" s="1">
        <f t="shared" si="33"/>
        <v>0</v>
      </c>
      <c r="N36" s="1">
        <f t="shared" si="33"/>
        <v>0</v>
      </c>
      <c r="P36" s="5" t="s">
        <v>25</v>
      </c>
      <c r="Q36" s="1">
        <f t="shared" si="34"/>
        <v>0</v>
      </c>
      <c r="R36" s="1">
        <f t="shared" si="34"/>
        <v>0</v>
      </c>
      <c r="S36" s="1">
        <f t="shared" si="34"/>
        <v>1</v>
      </c>
      <c r="T36" s="1">
        <f t="shared" si="34"/>
        <v>0</v>
      </c>
      <c r="U36" s="1">
        <f t="shared" si="34"/>
        <v>0</v>
      </c>
      <c r="W36" s="5" t="s">
        <v>25</v>
      </c>
      <c r="X36" s="1">
        <f t="shared" si="35"/>
        <v>0</v>
      </c>
      <c r="Y36" s="1">
        <f t="shared" si="35"/>
        <v>0</v>
      </c>
      <c r="Z36" s="1">
        <f t="shared" si="35"/>
        <v>0</v>
      </c>
      <c r="AA36" s="1">
        <f t="shared" si="35"/>
        <v>1</v>
      </c>
      <c r="AB36" s="1">
        <f t="shared" si="35"/>
        <v>0</v>
      </c>
      <c r="AD36" s="5" t="s">
        <v>25</v>
      </c>
      <c r="AE36" s="1">
        <f t="shared" si="36"/>
        <v>0</v>
      </c>
      <c r="AF36" s="1">
        <f t="shared" si="36"/>
        <v>0</v>
      </c>
      <c r="AG36" s="1">
        <f t="shared" si="36"/>
        <v>0</v>
      </c>
      <c r="AH36" s="1">
        <f t="shared" si="36"/>
        <v>0</v>
      </c>
      <c r="AI36" s="1">
        <f t="shared" si="36"/>
        <v>0</v>
      </c>
      <c r="AK36" s="5" t="s">
        <v>25</v>
      </c>
      <c r="AL36" s="1">
        <f t="shared" si="37"/>
        <v>0</v>
      </c>
      <c r="AM36" s="1">
        <f t="shared" si="37"/>
        <v>1</v>
      </c>
      <c r="AN36" s="1">
        <f t="shared" si="37"/>
        <v>0</v>
      </c>
      <c r="AO36" s="1">
        <f t="shared" si="37"/>
        <v>0</v>
      </c>
      <c r="AP36" s="1">
        <f t="shared" si="37"/>
        <v>0</v>
      </c>
      <c r="AR36" s="5" t="s">
        <v>25</v>
      </c>
      <c r="AS36" s="1">
        <f t="shared" si="38"/>
        <v>0</v>
      </c>
      <c r="AT36" s="1">
        <f t="shared" si="38"/>
        <v>0</v>
      </c>
      <c r="AU36" s="1">
        <f t="shared" si="38"/>
        <v>0</v>
      </c>
      <c r="AV36" s="1">
        <f t="shared" si="38"/>
        <v>0</v>
      </c>
      <c r="AW36" s="1">
        <f t="shared" si="38"/>
        <v>0</v>
      </c>
      <c r="AY36" s="5" t="s">
        <v>25</v>
      </c>
      <c r="AZ36" s="1">
        <f t="shared" si="39"/>
        <v>0</v>
      </c>
      <c r="BA36" s="1">
        <f t="shared" si="39"/>
        <v>0</v>
      </c>
      <c r="BB36" s="1">
        <f t="shared" si="39"/>
        <v>0</v>
      </c>
      <c r="BC36" s="1">
        <f t="shared" si="39"/>
        <v>0</v>
      </c>
      <c r="BD36" s="1">
        <f t="shared" si="39"/>
        <v>0</v>
      </c>
      <c r="BF36" s="5" t="s">
        <v>25</v>
      </c>
      <c r="BG36" s="1">
        <f t="shared" si="40"/>
        <v>0</v>
      </c>
      <c r="BH36" s="1">
        <f t="shared" si="40"/>
        <v>0</v>
      </c>
      <c r="BI36" s="1">
        <f t="shared" si="40"/>
        <v>1</v>
      </c>
      <c r="BJ36" s="1">
        <f t="shared" si="40"/>
        <v>0</v>
      </c>
      <c r="BK36" s="1">
        <f t="shared" si="40"/>
        <v>0</v>
      </c>
      <c r="BM36" s="5" t="s">
        <v>25</v>
      </c>
      <c r="BN36" s="1">
        <f t="shared" si="41"/>
        <v>0</v>
      </c>
      <c r="BP36"/>
      <c r="BQ36"/>
    </row>
    <row r="37" spans="5:69" x14ac:dyDescent="0.2">
      <c r="E37" s="5" t="s">
        <v>22</v>
      </c>
      <c r="F37" s="1">
        <f t="shared" si="32"/>
        <v>0</v>
      </c>
      <c r="G37" s="1">
        <f t="shared" si="32"/>
        <v>0</v>
      </c>
      <c r="I37" s="5" t="s">
        <v>22</v>
      </c>
      <c r="J37" s="1">
        <f t="shared" si="33"/>
        <v>0</v>
      </c>
      <c r="K37" s="1">
        <f t="shared" si="33"/>
        <v>0</v>
      </c>
      <c r="L37" s="1">
        <f t="shared" si="33"/>
        <v>1</v>
      </c>
      <c r="M37" s="1">
        <f t="shared" si="33"/>
        <v>0</v>
      </c>
      <c r="N37" s="1">
        <f t="shared" si="33"/>
        <v>0</v>
      </c>
      <c r="P37" s="5" t="s">
        <v>22</v>
      </c>
      <c r="Q37" s="1">
        <f t="shared" si="34"/>
        <v>0</v>
      </c>
      <c r="R37" s="1">
        <f t="shared" si="34"/>
        <v>0</v>
      </c>
      <c r="S37" s="1">
        <f t="shared" si="34"/>
        <v>0</v>
      </c>
      <c r="T37" s="1">
        <f t="shared" si="34"/>
        <v>0</v>
      </c>
      <c r="U37" s="1">
        <f t="shared" si="34"/>
        <v>0</v>
      </c>
      <c r="W37" s="5" t="s">
        <v>22</v>
      </c>
      <c r="X37" s="1">
        <f t="shared" si="35"/>
        <v>0</v>
      </c>
      <c r="Y37" s="1">
        <f t="shared" si="35"/>
        <v>1</v>
      </c>
      <c r="Z37" s="1">
        <f t="shared" si="35"/>
        <v>0</v>
      </c>
      <c r="AA37" s="1">
        <f t="shared" si="35"/>
        <v>0</v>
      </c>
      <c r="AB37" s="1">
        <f t="shared" si="35"/>
        <v>0</v>
      </c>
      <c r="AD37" s="5" t="s">
        <v>22</v>
      </c>
      <c r="AE37" s="1">
        <f t="shared" si="36"/>
        <v>0</v>
      </c>
      <c r="AF37" s="1">
        <f t="shared" si="36"/>
        <v>0</v>
      </c>
      <c r="AG37" s="1">
        <f t="shared" si="36"/>
        <v>0</v>
      </c>
      <c r="AH37" s="1">
        <f t="shared" si="36"/>
        <v>0</v>
      </c>
      <c r="AI37" s="1">
        <f t="shared" si="36"/>
        <v>0</v>
      </c>
      <c r="AK37" s="5" t="s">
        <v>22</v>
      </c>
      <c r="AL37" s="1">
        <f t="shared" si="37"/>
        <v>0</v>
      </c>
      <c r="AM37" s="1">
        <f t="shared" si="37"/>
        <v>0</v>
      </c>
      <c r="AN37" s="1">
        <f t="shared" si="37"/>
        <v>0</v>
      </c>
      <c r="AO37" s="1">
        <f t="shared" si="37"/>
        <v>0</v>
      </c>
      <c r="AP37" s="1">
        <f t="shared" si="37"/>
        <v>0</v>
      </c>
      <c r="AR37" s="5" t="s">
        <v>22</v>
      </c>
      <c r="AS37" s="1">
        <f t="shared" si="38"/>
        <v>0</v>
      </c>
      <c r="AT37" s="1">
        <f t="shared" si="38"/>
        <v>0</v>
      </c>
      <c r="AU37" s="1">
        <f t="shared" si="38"/>
        <v>1</v>
      </c>
      <c r="AV37" s="1">
        <f t="shared" si="38"/>
        <v>0</v>
      </c>
      <c r="AW37" s="1">
        <f t="shared" si="38"/>
        <v>0</v>
      </c>
      <c r="AY37" s="5" t="s">
        <v>22</v>
      </c>
      <c r="AZ37" s="1">
        <f t="shared" si="39"/>
        <v>0</v>
      </c>
      <c r="BA37" s="1">
        <f t="shared" si="39"/>
        <v>0</v>
      </c>
      <c r="BB37" s="1">
        <f t="shared" si="39"/>
        <v>0</v>
      </c>
      <c r="BC37" s="1">
        <f t="shared" si="39"/>
        <v>0</v>
      </c>
      <c r="BD37" s="1">
        <f t="shared" si="39"/>
        <v>0</v>
      </c>
      <c r="BF37" s="5" t="s">
        <v>22</v>
      </c>
      <c r="BG37" s="1">
        <f t="shared" si="40"/>
        <v>1</v>
      </c>
      <c r="BH37" s="1">
        <f t="shared" si="40"/>
        <v>0</v>
      </c>
      <c r="BI37" s="1">
        <f t="shared" si="40"/>
        <v>0</v>
      </c>
      <c r="BJ37" s="1">
        <f t="shared" si="40"/>
        <v>0</v>
      </c>
      <c r="BK37" s="1">
        <f t="shared" si="40"/>
        <v>0</v>
      </c>
      <c r="BM37" s="5" t="s">
        <v>22</v>
      </c>
      <c r="BN37" s="1">
        <f t="shared" si="41"/>
        <v>1</v>
      </c>
      <c r="BP37"/>
      <c r="BQ37"/>
    </row>
  </sheetData>
  <conditionalFormatting sqref="A15:A20">
    <cfRule type="containsText" dxfId="2324" priority="573" operator="containsText" text="9ab">
      <formula>NOT(ISERROR(SEARCH("9ab",A15)))</formula>
    </cfRule>
    <cfRule type="cellIs" dxfId="2323" priority="574" stopIfTrue="1" operator="equal">
      <formula>"leave"</formula>
    </cfRule>
    <cfRule type="containsText" dxfId="2322" priority="575" operator="containsText" text="ds">
      <formula>NOT(ISERROR(SEARCH("ds",A15)))</formula>
    </cfRule>
    <cfRule type="containsText" dxfId="2321" priority="576" operator="containsText" text="subobs">
      <formula>NOT(ISERROR(SEARCH("subobs",A15)))</formula>
    </cfRule>
    <cfRule type="containsText" dxfId="2320" priority="577" operator="containsText" text="Call">
      <formula>NOT(ISERROR(SEARCH("Call",A15)))</formula>
    </cfRule>
    <cfRule type="containsText" dxfId="2318" priority="579" operator="containsText" text="9ab">
      <formula>NOT(ISERROR(SEARCH("9ab",A15)))</formula>
    </cfRule>
    <cfRule type="cellIs" dxfId="2317" priority="580" stopIfTrue="1" operator="equal">
      <formula>"leave"</formula>
    </cfRule>
    <cfRule type="containsText" dxfId="2316" priority="581" operator="containsText" text="ds">
      <formula>NOT(ISERROR(SEARCH("ds",A15)))</formula>
    </cfRule>
    <cfRule type="containsText" dxfId="2315" priority="582" operator="containsText" text="subobs">
      <formula>NOT(ISERROR(SEARCH("subobs",A15)))</formula>
    </cfRule>
    <cfRule type="containsText" dxfId="2314" priority="583" stopIfTrue="1" operator="containsText" text="(Call)">
      <formula>NOT(ISERROR(SEARCH("(Call)",A15)))</formula>
    </cfRule>
    <cfRule type="containsText" dxfId="2312" priority="585" operator="containsText" text="9ab">
      <formula>NOT(ISERROR(SEARCH("9ab",A15)))</formula>
    </cfRule>
    <cfRule type="cellIs" dxfId="2311" priority="586" stopIfTrue="1" operator="equal">
      <formula>"leave"</formula>
    </cfRule>
    <cfRule type="containsText" dxfId="2310" priority="587" operator="containsText" text="ds">
      <formula>NOT(ISERROR(SEARCH("ds",A15)))</formula>
    </cfRule>
    <cfRule type="containsText" dxfId="2309" priority="588" operator="containsText" text="subobs">
      <formula>NOT(ISERROR(SEARCH("subobs",A15)))</formula>
    </cfRule>
    <cfRule type="containsText" dxfId="2308" priority="589" operator="containsText" text="Call">
      <formula>NOT(ISERROR(SEARCH("Call",A15)))</formula>
    </cfRule>
    <cfRule type="cellIs" dxfId="2306" priority="591" operator="equal">
      <formula>0</formula>
    </cfRule>
    <cfRule type="containsText" dxfId="2305" priority="592" operator="containsText" text="9ab">
      <formula>NOT(ISERROR(SEARCH("9ab",A15)))</formula>
    </cfRule>
    <cfRule type="cellIs" dxfId="2304" priority="593" stopIfTrue="1" operator="equal">
      <formula>"leave"</formula>
    </cfRule>
    <cfRule type="containsText" dxfId="2303" priority="594" operator="containsText" text="ds">
      <formula>NOT(ISERROR(SEARCH("ds",A15)))</formula>
    </cfRule>
    <cfRule type="containsText" dxfId="2302" priority="595" operator="containsText" text="subobs">
      <formula>NOT(ISERROR(SEARCH("subobs",A15)))</formula>
    </cfRule>
    <cfRule type="containsText" dxfId="2301" priority="596" operator="containsText" text="Call">
      <formula>NOT(ISERROR(SEARCH("Call",A15)))</formula>
    </cfRule>
  </conditionalFormatting>
  <conditionalFormatting sqref="A15:A21">
    <cfRule type="containsText" dxfId="2299" priority="1092" operator="containsText" text="9ab">
      <formula>NOT(ISERROR(SEARCH("9ab",A15)))</formula>
    </cfRule>
    <cfRule type="cellIs" dxfId="2298" priority="1093" stopIfTrue="1" operator="equal">
      <formula>"leave"</formula>
    </cfRule>
    <cfRule type="containsText" dxfId="2297" priority="1094" operator="containsText" text="ds">
      <formula>NOT(ISERROR(SEARCH("ds",A15)))</formula>
    </cfRule>
    <cfRule type="containsText" dxfId="2296" priority="1095" operator="containsText" text="subobs">
      <formula>NOT(ISERROR(SEARCH("subobs",A15)))</formula>
    </cfRule>
    <cfRule type="containsText" dxfId="2295" priority="1096" operator="containsText" text="Call">
      <formula>NOT(ISERROR(SEARCH("Call",A15)))</formula>
    </cfRule>
  </conditionalFormatting>
  <conditionalFormatting sqref="A23:A30">
    <cfRule type="containsText" dxfId="2293" priority="854" operator="containsText" text="9ab">
      <formula>NOT(ISERROR(SEARCH("9ab",A23)))</formula>
    </cfRule>
    <cfRule type="cellIs" dxfId="2292" priority="855" stopIfTrue="1" operator="equal">
      <formula>"leave"</formula>
    </cfRule>
    <cfRule type="containsText" dxfId="2291" priority="856" operator="containsText" text="ds">
      <formula>NOT(ISERROR(SEARCH("ds",A23)))</formula>
    </cfRule>
    <cfRule type="containsText" dxfId="2290" priority="857" operator="containsText" text="subobs">
      <formula>NOT(ISERROR(SEARCH("subobs",A23)))</formula>
    </cfRule>
    <cfRule type="containsText" dxfId="2289" priority="858" operator="containsText" text="Call">
      <formula>NOT(ISERROR(SEARCH("Call",A23)))</formula>
    </cfRule>
  </conditionalFormatting>
  <conditionalFormatting sqref="A13:BP14 BQ2:BQ13 A15:BR21 A22:BP22 A23:BR30 A1:D12 F1:G12 I1:BP12">
    <cfRule type="containsText" dxfId="2287" priority="572" operator="containsText" text="(Call)">
      <formula>NOT(ISERROR(SEARCH("(Call)",A1)))</formula>
    </cfRule>
    <cfRule type="cellIs" dxfId="2286" priority="1072" operator="equal">
      <formula>0</formula>
    </cfRule>
    <cfRule type="containsText" dxfId="2285" priority="1117" stopIfTrue="1" operator="containsText" text="9ab">
      <formula>NOT(ISERROR(SEARCH("9ab",A1)))</formula>
    </cfRule>
    <cfRule type="containsText" dxfId="2284" priority="1119" stopIfTrue="1" operator="containsText" text="ds">
      <formula>NOT(ISERROR(SEARCH("ds",A1)))</formula>
    </cfRule>
    <cfRule type="containsText" dxfId="2283" priority="1120" stopIfTrue="1" operator="containsText" text="subobs">
      <formula>NOT(ISERROR(SEARCH("subobs",A1)))</formula>
    </cfRule>
  </conditionalFormatting>
  <conditionalFormatting sqref="A13:BQ30 BR15:BR21 BR23:BR30 A31:BR37 A38:BQ141 A1:D12 F1:G12 I1:BQ12">
    <cfRule type="cellIs" dxfId="2282" priority="1118" stopIfTrue="1" operator="equal">
      <formula>"leave"</formula>
    </cfRule>
  </conditionalFormatting>
  <conditionalFormatting sqref="A15:BR21 A13:BP14 BQ2:BQ13 A22:BP22 A23:BR30 A1:D12 F1:G12 I1:BP12">
    <cfRule type="containsText" dxfId="2281" priority="1085" stopIfTrue="1" operator="containsText" text="go">
      <formula>NOT(ISERROR(SEARCH("go",A1)))</formula>
    </cfRule>
    <cfRule type="cellIs" dxfId="2280" priority="1116" operator="equal">
      <formula>"ps_cover"</formula>
    </cfRule>
  </conditionalFormatting>
  <conditionalFormatting sqref="A15:BR21 BP2:BQ13 A23:BR30 BP14 A13:BO14 A22:BP22 A1:D12 F1:G12 BP1 I1:BO12">
    <cfRule type="containsText" dxfId="2279" priority="1071" operator="containsText" text="b1">
      <formula>NOT(ISERROR(SEARCH("b1",A1)))</formula>
    </cfRule>
  </conditionalFormatting>
  <conditionalFormatting sqref="E15:E20">
    <cfRule type="containsText" dxfId="2278" priority="598" operator="containsText" text="9ab">
      <formula>NOT(ISERROR(SEARCH("9ab",E15)))</formula>
    </cfRule>
    <cfRule type="cellIs" dxfId="2277" priority="599" stopIfTrue="1" operator="equal">
      <formula>"leave"</formula>
    </cfRule>
    <cfRule type="containsText" dxfId="2276" priority="600" operator="containsText" text="ds">
      <formula>NOT(ISERROR(SEARCH("ds",E15)))</formula>
    </cfRule>
    <cfRule type="containsText" dxfId="2275" priority="601" operator="containsText" text="subobs">
      <formula>NOT(ISERROR(SEARCH("subobs",E15)))</formula>
    </cfRule>
    <cfRule type="containsText" dxfId="2274" priority="602" operator="containsText" text="Call">
      <formula>NOT(ISERROR(SEARCH("Call",E15)))</formula>
    </cfRule>
    <cfRule type="containsText" dxfId="2272" priority="604" operator="containsText" text="9ab">
      <formula>NOT(ISERROR(SEARCH("9ab",E15)))</formula>
    </cfRule>
    <cfRule type="cellIs" dxfId="2271" priority="605" stopIfTrue="1" operator="equal">
      <formula>"leave"</formula>
    </cfRule>
    <cfRule type="containsText" dxfId="2270" priority="606" operator="containsText" text="ds">
      <formula>NOT(ISERROR(SEARCH("ds",E15)))</formula>
    </cfRule>
    <cfRule type="containsText" dxfId="2269" priority="607" operator="containsText" text="subobs">
      <formula>NOT(ISERROR(SEARCH("subobs",E15)))</formula>
    </cfRule>
    <cfRule type="containsText" dxfId="2268" priority="608" stopIfTrue="1" operator="containsText" text="(Call)">
      <formula>NOT(ISERROR(SEARCH("(Call)",E15)))</formula>
    </cfRule>
    <cfRule type="containsText" dxfId="2266" priority="610" operator="containsText" text="9ab">
      <formula>NOT(ISERROR(SEARCH("9ab",E15)))</formula>
    </cfRule>
    <cfRule type="cellIs" dxfId="2265" priority="611" stopIfTrue="1" operator="equal">
      <formula>"leave"</formula>
    </cfRule>
    <cfRule type="containsText" dxfId="2264" priority="612" operator="containsText" text="ds">
      <formula>NOT(ISERROR(SEARCH("ds",E15)))</formula>
    </cfRule>
    <cfRule type="containsText" dxfId="2263" priority="613" operator="containsText" text="subobs">
      <formula>NOT(ISERROR(SEARCH("subobs",E15)))</formula>
    </cfRule>
    <cfRule type="containsText" dxfId="2262" priority="614" operator="containsText" text="Call">
      <formula>NOT(ISERROR(SEARCH("Call",E15)))</formula>
    </cfRule>
    <cfRule type="containsText" dxfId="2260" priority="616" operator="containsText" text="9ab">
      <formula>NOT(ISERROR(SEARCH("9ab",E15)))</formula>
    </cfRule>
    <cfRule type="cellIs" dxfId="2259" priority="617" stopIfTrue="1" operator="equal">
      <formula>"leave"</formula>
    </cfRule>
    <cfRule type="containsText" dxfId="2258" priority="618" operator="containsText" text="ds">
      <formula>NOT(ISERROR(SEARCH("ds",E15)))</formula>
    </cfRule>
    <cfRule type="containsText" dxfId="2257" priority="619" operator="containsText" text="subobs">
      <formula>NOT(ISERROR(SEARCH("subobs",E15)))</formula>
    </cfRule>
    <cfRule type="containsText" dxfId="2256" priority="620" operator="containsText" text="Call">
      <formula>NOT(ISERROR(SEARCH("Call",E15)))</formula>
    </cfRule>
    <cfRule type="containsText" dxfId="2254" priority="622" operator="containsText" text="9ab">
      <formula>NOT(ISERROR(SEARCH("9ab",E15)))</formula>
    </cfRule>
    <cfRule type="cellIs" dxfId="2253" priority="623" stopIfTrue="1" operator="equal">
      <formula>"leave"</formula>
    </cfRule>
    <cfRule type="containsText" dxfId="2252" priority="624" operator="containsText" text="ds">
      <formula>NOT(ISERROR(SEARCH("ds",E15)))</formula>
    </cfRule>
    <cfRule type="containsText" dxfId="2251" priority="625" operator="containsText" text="subobs">
      <formula>NOT(ISERROR(SEARCH("subobs",E15)))</formula>
    </cfRule>
    <cfRule type="containsText" dxfId="2250" priority="626" operator="containsText" text="Call">
      <formula>NOT(ISERROR(SEARCH("Call",E15)))</formula>
    </cfRule>
    <cfRule type="containsText" dxfId="2248" priority="1079" operator="containsText" text="9ab">
      <formula>NOT(ISERROR(SEARCH("9ab",E15)))</formula>
    </cfRule>
    <cfRule type="cellIs" dxfId="2247" priority="1080" stopIfTrue="1" operator="equal">
      <formula>"leave"</formula>
    </cfRule>
    <cfRule type="containsText" dxfId="2246" priority="1081" operator="containsText" text="ds">
      <formula>NOT(ISERROR(SEARCH("ds",E15)))</formula>
    </cfRule>
    <cfRule type="containsText" dxfId="2245" priority="1082" operator="containsText" text="subobs">
      <formula>NOT(ISERROR(SEARCH("subobs",E15)))</formula>
    </cfRule>
    <cfRule type="containsText" dxfId="2244" priority="1083" operator="containsText" text="Call">
      <formula>NOT(ISERROR(SEARCH("Call",E15)))</formula>
    </cfRule>
  </conditionalFormatting>
  <conditionalFormatting sqref="E15:E21">
    <cfRule type="containsText" dxfId="2242" priority="1086" operator="containsText" text="9ab">
      <formula>NOT(ISERROR(SEARCH("9ab",E15)))</formula>
    </cfRule>
    <cfRule type="cellIs" dxfId="2241" priority="1087" stopIfTrue="1" operator="equal">
      <formula>"leave"</formula>
    </cfRule>
    <cfRule type="containsText" dxfId="2240" priority="1088" operator="containsText" text="ds">
      <formula>NOT(ISERROR(SEARCH("ds",E15)))</formula>
    </cfRule>
    <cfRule type="containsText" dxfId="2239" priority="1089" operator="containsText" text="subobs">
      <formula>NOT(ISERROR(SEARCH("subobs",E15)))</formula>
    </cfRule>
    <cfRule type="containsText" dxfId="2238" priority="1090" stopIfTrue="1" operator="containsText" text="(Call)">
      <formula>NOT(ISERROR(SEARCH("(Call)",E15)))</formula>
    </cfRule>
  </conditionalFormatting>
  <conditionalFormatting sqref="E23:E28">
    <cfRule type="containsText" dxfId="2236" priority="841" operator="containsText" text="9ab">
      <formula>NOT(ISERROR(SEARCH("9ab",E23)))</formula>
    </cfRule>
    <cfRule type="cellIs" dxfId="2235" priority="842" stopIfTrue="1" operator="equal">
      <formula>"leave"</formula>
    </cfRule>
    <cfRule type="containsText" dxfId="2234" priority="843" operator="containsText" text="ds">
      <formula>NOT(ISERROR(SEARCH("ds",E23)))</formula>
    </cfRule>
    <cfRule type="containsText" dxfId="2233" priority="844" operator="containsText" text="subobs">
      <formula>NOT(ISERROR(SEARCH("subobs",E23)))</formula>
    </cfRule>
    <cfRule type="containsText" dxfId="2232" priority="845" operator="containsText" text="Call">
      <formula>NOT(ISERROR(SEARCH("Call",E23)))</formula>
    </cfRule>
  </conditionalFormatting>
  <conditionalFormatting sqref="E23:E30">
    <cfRule type="containsText" dxfId="2230" priority="848" operator="containsText" text="9ab">
      <formula>NOT(ISERROR(SEARCH("9ab",E23)))</formula>
    </cfRule>
    <cfRule type="cellIs" dxfId="2229" priority="849" stopIfTrue="1" operator="equal">
      <formula>"leave"</formula>
    </cfRule>
    <cfRule type="containsText" dxfId="2228" priority="850" operator="containsText" text="ds">
      <formula>NOT(ISERROR(SEARCH("ds",E23)))</formula>
    </cfRule>
    <cfRule type="containsText" dxfId="2227" priority="851" operator="containsText" text="subobs">
      <formula>NOT(ISERROR(SEARCH("subobs",E23)))</formula>
    </cfRule>
    <cfRule type="containsText" dxfId="2226" priority="852" stopIfTrue="1" operator="containsText" text="(Call)">
      <formula>NOT(ISERROR(SEARCH("(Call)",E23)))</formula>
    </cfRule>
  </conditionalFormatting>
  <conditionalFormatting sqref="E32:E37">
    <cfRule type="containsText" dxfId="2224" priority="522" operator="containsText" text="9ab">
      <formula>NOT(ISERROR(SEARCH("9ab",E32)))</formula>
    </cfRule>
    <cfRule type="cellIs" dxfId="2223" priority="523" stopIfTrue="1" operator="equal">
      <formula>"leave"</formula>
    </cfRule>
    <cfRule type="containsText" dxfId="2222" priority="524" operator="containsText" text="ds">
      <formula>NOT(ISERROR(SEARCH("ds",E32)))</formula>
    </cfRule>
    <cfRule type="containsText" dxfId="2221" priority="525" operator="containsText" text="subobs">
      <formula>NOT(ISERROR(SEARCH("subobs",E32)))</formula>
    </cfRule>
    <cfRule type="containsText" dxfId="2220" priority="526" operator="containsText" text="Call">
      <formula>NOT(ISERROR(SEARCH("Call",E32)))</formula>
    </cfRule>
    <cfRule type="containsText" dxfId="2218" priority="528" operator="containsText" text="9ab">
      <formula>NOT(ISERROR(SEARCH("9ab",E32)))</formula>
    </cfRule>
    <cfRule type="cellIs" dxfId="2217" priority="529" stopIfTrue="1" operator="equal">
      <formula>"leave"</formula>
    </cfRule>
    <cfRule type="containsText" dxfId="2216" priority="530" operator="containsText" text="ds">
      <formula>NOT(ISERROR(SEARCH("ds",E32)))</formula>
    </cfRule>
    <cfRule type="containsText" dxfId="2215" priority="531" operator="containsText" text="subobs">
      <formula>NOT(ISERROR(SEARCH("subobs",E32)))</formula>
    </cfRule>
    <cfRule type="containsText" dxfId="2214" priority="532" stopIfTrue="1" operator="containsText" text="(Call)">
      <formula>NOT(ISERROR(SEARCH("(Call)",E32)))</formula>
    </cfRule>
    <cfRule type="containsText" dxfId="2212" priority="534" operator="containsText" text="9ab">
      <formula>NOT(ISERROR(SEARCH("9ab",E32)))</formula>
    </cfRule>
    <cfRule type="cellIs" dxfId="2211" priority="535" stopIfTrue="1" operator="equal">
      <formula>"leave"</formula>
    </cfRule>
    <cfRule type="containsText" dxfId="2210" priority="536" operator="containsText" text="ds">
      <formula>NOT(ISERROR(SEARCH("ds",E32)))</formula>
    </cfRule>
    <cfRule type="containsText" dxfId="2209" priority="537" operator="containsText" text="subobs">
      <formula>NOT(ISERROR(SEARCH("subobs",E32)))</formula>
    </cfRule>
    <cfRule type="containsText" dxfId="2208" priority="538" operator="containsText" text="Call">
      <formula>NOT(ISERROR(SEARCH("Call",E32)))</formula>
    </cfRule>
    <cfRule type="containsText" dxfId="2206" priority="540" operator="containsText" text="9ab">
      <formula>NOT(ISERROR(SEARCH("9ab",E32)))</formula>
    </cfRule>
    <cfRule type="cellIs" dxfId="2205" priority="541" stopIfTrue="1" operator="equal">
      <formula>"leave"</formula>
    </cfRule>
    <cfRule type="containsText" dxfId="2204" priority="542" operator="containsText" text="ds">
      <formula>NOT(ISERROR(SEARCH("ds",E32)))</formula>
    </cfRule>
    <cfRule type="containsText" dxfId="2203" priority="543" operator="containsText" text="subobs">
      <formula>NOT(ISERROR(SEARCH("subobs",E32)))</formula>
    </cfRule>
    <cfRule type="containsText" dxfId="2202" priority="544" operator="containsText" text="Call">
      <formula>NOT(ISERROR(SEARCH("Call",E32)))</formula>
    </cfRule>
    <cfRule type="containsText" dxfId="2200" priority="546" operator="containsText" text="9ab">
      <formula>NOT(ISERROR(SEARCH("9ab",E32)))</formula>
    </cfRule>
    <cfRule type="cellIs" dxfId="2199" priority="547" stopIfTrue="1" operator="equal">
      <formula>"leave"</formula>
    </cfRule>
    <cfRule type="containsText" dxfId="2198" priority="548" operator="containsText" text="ds">
      <formula>NOT(ISERROR(SEARCH("ds",E32)))</formula>
    </cfRule>
    <cfRule type="containsText" dxfId="2197" priority="549" operator="containsText" text="subobs">
      <formula>NOT(ISERROR(SEARCH("subobs",E32)))</formula>
    </cfRule>
    <cfRule type="containsText" dxfId="2196" priority="550" operator="containsText" text="Call">
      <formula>NOT(ISERROR(SEARCH("Call",E32)))</formula>
    </cfRule>
    <cfRule type="containsText" dxfId="2194" priority="554" operator="containsText" text="9ab">
      <formula>NOT(ISERROR(SEARCH("9ab",E32)))</formula>
    </cfRule>
    <cfRule type="cellIs" dxfId="2193" priority="555" stopIfTrue="1" operator="equal">
      <formula>"leave"</formula>
    </cfRule>
    <cfRule type="containsText" dxfId="2192" priority="556" operator="containsText" text="ds">
      <formula>NOT(ISERROR(SEARCH("ds",E32)))</formula>
    </cfRule>
    <cfRule type="containsText" dxfId="2191" priority="557" operator="containsText" text="subobs">
      <formula>NOT(ISERROR(SEARCH("subobs",E32)))</formula>
    </cfRule>
    <cfRule type="containsText" dxfId="2190" priority="558" operator="containsText" text="Call">
      <formula>NOT(ISERROR(SEARCH("Call",E32)))</formula>
    </cfRule>
    <cfRule type="containsText" dxfId="2188" priority="561" operator="containsText" text="9ab">
      <formula>NOT(ISERROR(SEARCH("9ab",E32)))</formula>
    </cfRule>
    <cfRule type="cellIs" dxfId="2187" priority="562" stopIfTrue="1" operator="equal">
      <formula>"leave"</formula>
    </cfRule>
    <cfRule type="containsText" dxfId="2186" priority="563" operator="containsText" text="ds">
      <formula>NOT(ISERROR(SEARCH("ds",E32)))</formula>
    </cfRule>
    <cfRule type="containsText" dxfId="2185" priority="564" operator="containsText" text="subobs">
      <formula>NOT(ISERROR(SEARCH("subobs",E32)))</formula>
    </cfRule>
    <cfRule type="containsText" dxfId="2184" priority="565" stopIfTrue="1" operator="containsText" text="(Call)">
      <formula>NOT(ISERROR(SEARCH("(Call)",E32)))</formula>
    </cfRule>
  </conditionalFormatting>
  <conditionalFormatting sqref="E31:F37">
    <cfRule type="containsText" dxfId="2182" priority="552" operator="containsText" text="b1">
      <formula>NOT(ISERROR(SEARCH("b1",E31)))</formula>
    </cfRule>
    <cfRule type="cellIs" dxfId="2181" priority="553" operator="equal">
      <formula>0</formula>
    </cfRule>
    <cfRule type="containsText" dxfId="2180" priority="560" stopIfTrue="1" operator="containsText" text="go">
      <formula>NOT(ISERROR(SEARCH("go",E31)))</formula>
    </cfRule>
    <cfRule type="cellIs" dxfId="2179" priority="567" operator="equal">
      <formula>"ps_cover"</formula>
    </cfRule>
    <cfRule type="containsText" dxfId="2178" priority="568" stopIfTrue="1" operator="containsText" text="9ab">
      <formula>NOT(ISERROR(SEARCH("9ab",E31)))</formula>
    </cfRule>
    <cfRule type="containsText" dxfId="2177" priority="569" stopIfTrue="1" operator="containsText" text="ds">
      <formula>NOT(ISERROR(SEARCH("ds",E31)))</formula>
    </cfRule>
    <cfRule type="containsText" dxfId="2176" priority="570" stopIfTrue="1" operator="containsText" text="subobs">
      <formula>NOT(ISERROR(SEARCH("subobs",E31)))</formula>
    </cfRule>
  </conditionalFormatting>
  <conditionalFormatting sqref="E31:G37">
    <cfRule type="containsText" dxfId="2175" priority="514" operator="containsText" text="(Call)">
      <formula>NOT(ISERROR(SEARCH("(Call)",E31)))</formula>
    </cfRule>
  </conditionalFormatting>
  <conditionalFormatting sqref="E23:AI30">
    <cfRule type="cellIs" dxfId="2174" priority="847" operator="equal">
      <formula>0</formula>
    </cfRule>
  </conditionalFormatting>
  <conditionalFormatting sqref="G31:G37">
    <cfRule type="containsText" dxfId="2173" priority="515" operator="containsText" text="b1">
      <formula>NOT(ISERROR(SEARCH("b1",G31)))</formula>
    </cfRule>
    <cfRule type="cellIs" dxfId="2172" priority="516" operator="equal">
      <formula>0</formula>
    </cfRule>
    <cfRule type="containsText" dxfId="2171" priority="517" stopIfTrue="1" operator="containsText" text="go">
      <formula>NOT(ISERROR(SEARCH("go",G31)))</formula>
    </cfRule>
    <cfRule type="cellIs" dxfId="2170" priority="518" operator="equal">
      <formula>"ps_cover"</formula>
    </cfRule>
    <cfRule type="containsText" dxfId="2169" priority="519" stopIfTrue="1" operator="containsText" text="9ab">
      <formula>NOT(ISERROR(SEARCH("9ab",G31)))</formula>
    </cfRule>
    <cfRule type="containsText" dxfId="2168" priority="520" stopIfTrue="1" operator="containsText" text="ds">
      <formula>NOT(ISERROR(SEARCH("ds",G31)))</formula>
    </cfRule>
    <cfRule type="containsText" dxfId="2167" priority="521" stopIfTrue="1" operator="containsText" text="subobs">
      <formula>NOT(ISERROR(SEARCH("subobs",G31)))</formula>
    </cfRule>
  </conditionalFormatting>
  <conditionalFormatting sqref="I23:I28">
    <cfRule type="containsText" dxfId="2166" priority="817" operator="containsText" text="9ab">
      <formula>NOT(ISERROR(SEARCH("9ab",I23)))</formula>
    </cfRule>
    <cfRule type="cellIs" dxfId="2165" priority="818" stopIfTrue="1" operator="equal">
      <formula>"leave"</formula>
    </cfRule>
    <cfRule type="containsText" dxfId="2164" priority="819" operator="containsText" text="ds">
      <formula>NOT(ISERROR(SEARCH("ds",I23)))</formula>
    </cfRule>
    <cfRule type="containsText" dxfId="2163" priority="820" operator="containsText" text="subobs">
      <formula>NOT(ISERROR(SEARCH("subobs",I23)))</formula>
    </cfRule>
    <cfRule type="containsText" dxfId="2162" priority="821" operator="containsText" text="Call">
      <formula>NOT(ISERROR(SEARCH("Call",I23)))</formula>
    </cfRule>
    <cfRule type="containsText" dxfId="2160" priority="835" operator="containsText" text="9ab">
      <formula>NOT(ISERROR(SEARCH("9ab",I23)))</formula>
    </cfRule>
    <cfRule type="cellIs" dxfId="2159" priority="836" stopIfTrue="1" operator="equal">
      <formula>"leave"</formula>
    </cfRule>
    <cfRule type="containsText" dxfId="2158" priority="837" operator="containsText" text="ds">
      <formula>NOT(ISERROR(SEARCH("ds",I23)))</formula>
    </cfRule>
    <cfRule type="containsText" dxfId="2157" priority="838" operator="containsText" text="subobs">
      <formula>NOT(ISERROR(SEARCH("subobs",I23)))</formula>
    </cfRule>
    <cfRule type="containsText" dxfId="2156" priority="839" operator="containsText" text="Call">
      <formula>NOT(ISERROR(SEARCH("Call",I23)))</formula>
    </cfRule>
  </conditionalFormatting>
  <conditionalFormatting sqref="I23:I30">
    <cfRule type="containsText" dxfId="2154" priority="823" operator="containsText" text="9ab">
      <formula>NOT(ISERROR(SEARCH("9ab",I23)))</formula>
    </cfRule>
    <cfRule type="cellIs" dxfId="2153" priority="824" stopIfTrue="1" operator="equal">
      <formula>"leave"</formula>
    </cfRule>
    <cfRule type="containsText" dxfId="2152" priority="825" operator="containsText" text="ds">
      <formula>NOT(ISERROR(SEARCH("ds",I23)))</formula>
    </cfRule>
    <cfRule type="containsText" dxfId="2151" priority="826" operator="containsText" text="subobs">
      <formula>NOT(ISERROR(SEARCH("subobs",I23)))</formula>
    </cfRule>
    <cfRule type="containsText" dxfId="2150" priority="827" stopIfTrue="1" operator="containsText" text="(Call)">
      <formula>NOT(ISERROR(SEARCH("(Call)",I23)))</formula>
    </cfRule>
  </conditionalFormatting>
  <conditionalFormatting sqref="I32:I37">
    <cfRule type="containsText" dxfId="2148" priority="465" operator="containsText" text="9ab">
      <formula>NOT(ISERROR(SEARCH("9ab",I32)))</formula>
    </cfRule>
    <cfRule type="cellIs" dxfId="2147" priority="466" stopIfTrue="1" operator="equal">
      <formula>"leave"</formula>
    </cfRule>
    <cfRule type="containsText" dxfId="2146" priority="467" operator="containsText" text="ds">
      <formula>NOT(ISERROR(SEARCH("ds",I32)))</formula>
    </cfRule>
    <cfRule type="containsText" dxfId="2145" priority="468" operator="containsText" text="subobs">
      <formula>NOT(ISERROR(SEARCH("subobs",I32)))</formula>
    </cfRule>
    <cfRule type="containsText" dxfId="2144" priority="469" operator="containsText" text="Call">
      <formula>NOT(ISERROR(SEARCH("Call",I32)))</formula>
    </cfRule>
    <cfRule type="containsText" dxfId="2142" priority="471" operator="containsText" text="9ab">
      <formula>NOT(ISERROR(SEARCH("9ab",I32)))</formula>
    </cfRule>
    <cfRule type="cellIs" dxfId="2141" priority="472" stopIfTrue="1" operator="equal">
      <formula>"leave"</formula>
    </cfRule>
    <cfRule type="containsText" dxfId="2140" priority="473" operator="containsText" text="ds">
      <formula>NOT(ISERROR(SEARCH("ds",I32)))</formula>
    </cfRule>
    <cfRule type="containsText" dxfId="2139" priority="474" operator="containsText" text="subobs">
      <formula>NOT(ISERROR(SEARCH("subobs",I32)))</formula>
    </cfRule>
    <cfRule type="containsText" dxfId="2138" priority="475" stopIfTrue="1" operator="containsText" text="(Call)">
      <formula>NOT(ISERROR(SEARCH("(Call)",I32)))</formula>
    </cfRule>
    <cfRule type="containsText" dxfId="2136" priority="477" operator="containsText" text="9ab">
      <formula>NOT(ISERROR(SEARCH("9ab",I32)))</formula>
    </cfRule>
    <cfRule type="cellIs" dxfId="2135" priority="478" stopIfTrue="1" operator="equal">
      <formula>"leave"</formula>
    </cfRule>
    <cfRule type="containsText" dxfId="2134" priority="479" operator="containsText" text="ds">
      <formula>NOT(ISERROR(SEARCH("ds",I32)))</formula>
    </cfRule>
    <cfRule type="containsText" dxfId="2133" priority="480" operator="containsText" text="subobs">
      <formula>NOT(ISERROR(SEARCH("subobs",I32)))</formula>
    </cfRule>
    <cfRule type="containsText" dxfId="2132" priority="481" operator="containsText" text="Call">
      <formula>NOT(ISERROR(SEARCH("Call",I32)))</formula>
    </cfRule>
    <cfRule type="containsText" dxfId="2130" priority="483" operator="containsText" text="9ab">
      <formula>NOT(ISERROR(SEARCH("9ab",I32)))</formula>
    </cfRule>
    <cfRule type="cellIs" dxfId="2129" priority="484" stopIfTrue="1" operator="equal">
      <formula>"leave"</formula>
    </cfRule>
    <cfRule type="containsText" dxfId="2128" priority="485" operator="containsText" text="ds">
      <formula>NOT(ISERROR(SEARCH("ds",I32)))</formula>
    </cfRule>
    <cfRule type="containsText" dxfId="2127" priority="486" operator="containsText" text="subobs">
      <formula>NOT(ISERROR(SEARCH("subobs",I32)))</formula>
    </cfRule>
    <cfRule type="containsText" dxfId="2126" priority="487" operator="containsText" text="Call">
      <formula>NOT(ISERROR(SEARCH("Call",I32)))</formula>
    </cfRule>
    <cfRule type="containsText" dxfId="2124" priority="489" operator="containsText" text="9ab">
      <formula>NOT(ISERROR(SEARCH("9ab",I32)))</formula>
    </cfRule>
    <cfRule type="cellIs" dxfId="2123" priority="490" stopIfTrue="1" operator="equal">
      <formula>"leave"</formula>
    </cfRule>
    <cfRule type="containsText" dxfId="2122" priority="491" operator="containsText" text="ds">
      <formula>NOT(ISERROR(SEARCH("ds",I32)))</formula>
    </cfRule>
    <cfRule type="containsText" dxfId="2121" priority="492" operator="containsText" text="subobs">
      <formula>NOT(ISERROR(SEARCH("subobs",I32)))</formula>
    </cfRule>
    <cfRule type="containsText" dxfId="2120" priority="493" operator="containsText" text="Call">
      <formula>NOT(ISERROR(SEARCH("Call",I32)))</formula>
    </cfRule>
    <cfRule type="containsText" dxfId="2118" priority="497" operator="containsText" text="9ab">
      <formula>NOT(ISERROR(SEARCH("9ab",I32)))</formula>
    </cfRule>
    <cfRule type="cellIs" dxfId="2117" priority="498" stopIfTrue="1" operator="equal">
      <formula>"leave"</formula>
    </cfRule>
    <cfRule type="containsText" dxfId="2116" priority="499" operator="containsText" text="ds">
      <formula>NOT(ISERROR(SEARCH("ds",I32)))</formula>
    </cfRule>
    <cfRule type="containsText" dxfId="2115" priority="500" operator="containsText" text="subobs">
      <formula>NOT(ISERROR(SEARCH("subobs",I32)))</formula>
    </cfRule>
    <cfRule type="containsText" dxfId="2114" priority="501" operator="containsText" text="Call">
      <formula>NOT(ISERROR(SEARCH("Call",I32)))</formula>
    </cfRule>
    <cfRule type="containsText" dxfId="2112" priority="504" operator="containsText" text="9ab">
      <formula>NOT(ISERROR(SEARCH("9ab",I32)))</formula>
    </cfRule>
    <cfRule type="cellIs" dxfId="2111" priority="505" stopIfTrue="1" operator="equal">
      <formula>"leave"</formula>
    </cfRule>
    <cfRule type="containsText" dxfId="2110" priority="506" operator="containsText" text="ds">
      <formula>NOT(ISERROR(SEARCH("ds",I32)))</formula>
    </cfRule>
    <cfRule type="containsText" dxfId="2109" priority="507" operator="containsText" text="subobs">
      <formula>NOT(ISERROR(SEARCH("subobs",I32)))</formula>
    </cfRule>
    <cfRule type="containsText" dxfId="2108" priority="508" stopIfTrue="1" operator="containsText" text="(Call)">
      <formula>NOT(ISERROR(SEARCH("(Call)",I32)))</formula>
    </cfRule>
  </conditionalFormatting>
  <conditionalFormatting sqref="I31:J37">
    <cfRule type="containsText" dxfId="2106" priority="495" operator="containsText" text="b1">
      <formula>NOT(ISERROR(SEARCH("b1",I31)))</formula>
    </cfRule>
    <cfRule type="cellIs" dxfId="2105" priority="496" operator="equal">
      <formula>0</formula>
    </cfRule>
    <cfRule type="containsText" dxfId="2104" priority="503" stopIfTrue="1" operator="containsText" text="go">
      <formula>NOT(ISERROR(SEARCH("go",I31)))</formula>
    </cfRule>
    <cfRule type="cellIs" dxfId="2103" priority="510" operator="equal">
      <formula>"ps_cover"</formula>
    </cfRule>
    <cfRule type="containsText" dxfId="2102" priority="511" stopIfTrue="1" operator="containsText" text="9ab">
      <formula>NOT(ISERROR(SEARCH("9ab",I31)))</formula>
    </cfRule>
    <cfRule type="containsText" dxfId="2101" priority="512" stopIfTrue="1" operator="containsText" text="ds">
      <formula>NOT(ISERROR(SEARCH("ds",I31)))</formula>
    </cfRule>
    <cfRule type="containsText" dxfId="2100" priority="513" stopIfTrue="1" operator="containsText" text="subobs">
      <formula>NOT(ISERROR(SEARCH("subobs",I31)))</formula>
    </cfRule>
  </conditionalFormatting>
  <conditionalFormatting sqref="I31:N37">
    <cfRule type="containsText" dxfId="2099" priority="457" operator="containsText" text="(Call)">
      <formula>NOT(ISERROR(SEARCH("(Call)",I31)))</formula>
    </cfRule>
  </conditionalFormatting>
  <conditionalFormatting sqref="K31:N37">
    <cfRule type="containsText" dxfId="2098" priority="458" operator="containsText" text="b1">
      <formula>NOT(ISERROR(SEARCH("b1",K31)))</formula>
    </cfRule>
    <cfRule type="cellIs" dxfId="2097" priority="459" operator="equal">
      <formula>0</formula>
    </cfRule>
    <cfRule type="containsText" dxfId="2096" priority="460" stopIfTrue="1" operator="containsText" text="go">
      <formula>NOT(ISERROR(SEARCH("go",K31)))</formula>
    </cfRule>
    <cfRule type="cellIs" dxfId="2095" priority="461" operator="equal">
      <formula>"ps_cover"</formula>
    </cfRule>
    <cfRule type="containsText" dxfId="2094" priority="462" stopIfTrue="1" operator="containsText" text="9ab">
      <formula>NOT(ISERROR(SEARCH("9ab",K31)))</formula>
    </cfRule>
    <cfRule type="containsText" dxfId="2093" priority="463" stopIfTrue="1" operator="containsText" text="ds">
      <formula>NOT(ISERROR(SEARCH("ds",K31)))</formula>
    </cfRule>
    <cfRule type="containsText" dxfId="2092" priority="464" stopIfTrue="1" operator="containsText" text="subobs">
      <formula>NOT(ISERROR(SEARCH("subobs",K31)))</formula>
    </cfRule>
  </conditionalFormatting>
  <conditionalFormatting sqref="P15:P20">
    <cfRule type="containsText" dxfId="2091" priority="1059" operator="containsText" text="9ab">
      <formula>NOT(ISERROR(SEARCH("9ab",P15)))</formula>
    </cfRule>
    <cfRule type="cellIs" dxfId="2090" priority="1060" stopIfTrue="1" operator="equal">
      <formula>"leave"</formula>
    </cfRule>
    <cfRule type="containsText" dxfId="2089" priority="1061" operator="containsText" text="ds">
      <formula>NOT(ISERROR(SEARCH("ds",P15)))</formula>
    </cfRule>
    <cfRule type="containsText" dxfId="2088" priority="1062" operator="containsText" text="subobs">
      <formula>NOT(ISERROR(SEARCH("subobs",P15)))</formula>
    </cfRule>
    <cfRule type="containsText" dxfId="2087" priority="1063" operator="containsText" text="Call">
      <formula>NOT(ISERROR(SEARCH("Call",P15)))</formula>
    </cfRule>
    <cfRule type="containsText" dxfId="2085" priority="1073" operator="containsText" text="9ab">
      <formula>NOT(ISERROR(SEARCH("9ab",P15)))</formula>
    </cfRule>
    <cfRule type="cellIs" dxfId="2084" priority="1074" stopIfTrue="1" operator="equal">
      <formula>"leave"</formula>
    </cfRule>
    <cfRule type="containsText" dxfId="2083" priority="1075" operator="containsText" text="ds">
      <formula>NOT(ISERROR(SEARCH("ds",P15)))</formula>
    </cfRule>
    <cfRule type="containsText" dxfId="2082" priority="1076" operator="containsText" text="subobs">
      <formula>NOT(ISERROR(SEARCH("subobs",P15)))</formula>
    </cfRule>
    <cfRule type="containsText" dxfId="2081" priority="1077" operator="containsText" text="Call">
      <formula>NOT(ISERROR(SEARCH("Call",P15)))</formula>
    </cfRule>
  </conditionalFormatting>
  <conditionalFormatting sqref="P15:P21">
    <cfRule type="containsText" dxfId="2079" priority="1065" operator="containsText" text="9ab">
      <formula>NOT(ISERROR(SEARCH("9ab",P15)))</formula>
    </cfRule>
    <cfRule type="cellIs" dxfId="2078" priority="1066" stopIfTrue="1" operator="equal">
      <formula>"leave"</formula>
    </cfRule>
    <cfRule type="containsText" dxfId="2077" priority="1067" operator="containsText" text="ds">
      <formula>NOT(ISERROR(SEARCH("ds",P15)))</formula>
    </cfRule>
    <cfRule type="containsText" dxfId="2076" priority="1068" operator="containsText" text="subobs">
      <formula>NOT(ISERROR(SEARCH("subobs",P15)))</formula>
    </cfRule>
    <cfRule type="containsText" dxfId="2075" priority="1069" stopIfTrue="1" operator="containsText" text="(Call)">
      <formula>NOT(ISERROR(SEARCH("(Call)",P15)))</formula>
    </cfRule>
    <cfRule type="containsText" dxfId="2073" priority="1110" operator="containsText" text="9ab">
      <formula>NOT(ISERROR(SEARCH("9ab",P15)))</formula>
    </cfRule>
    <cfRule type="cellIs" dxfId="2072" priority="1111" stopIfTrue="1" operator="equal">
      <formula>"leave"</formula>
    </cfRule>
    <cfRule type="containsText" dxfId="2071" priority="1112" operator="containsText" text="ds">
      <formula>NOT(ISERROR(SEARCH("ds",P15)))</formula>
    </cfRule>
    <cfRule type="containsText" dxfId="2070" priority="1113" operator="containsText" text="subobs">
      <formula>NOT(ISERROR(SEARCH("subobs",P15)))</formula>
    </cfRule>
    <cfRule type="containsText" dxfId="2069" priority="1114" operator="containsText" text="Call">
      <formula>NOT(ISERROR(SEARCH("Call",P15)))</formula>
    </cfRule>
  </conditionalFormatting>
  <conditionalFormatting sqref="P23:P28">
    <cfRule type="containsText" dxfId="2067" priority="805" operator="containsText" text="9ab">
      <formula>NOT(ISERROR(SEARCH("9ab",P23)))</formula>
    </cfRule>
    <cfRule type="cellIs" dxfId="2066" priority="806" stopIfTrue="1" operator="equal">
      <formula>"leave"</formula>
    </cfRule>
    <cfRule type="containsText" dxfId="2065" priority="807" operator="containsText" text="ds">
      <formula>NOT(ISERROR(SEARCH("ds",P23)))</formula>
    </cfRule>
    <cfRule type="containsText" dxfId="2064" priority="808" operator="containsText" text="subobs">
      <formula>NOT(ISERROR(SEARCH("subobs",P23)))</formula>
    </cfRule>
    <cfRule type="containsText" dxfId="2063" priority="809" operator="containsText" text="Call">
      <formula>NOT(ISERROR(SEARCH("Call",P23)))</formula>
    </cfRule>
    <cfRule type="containsText" dxfId="2061" priority="829" operator="containsText" text="9ab">
      <formula>NOT(ISERROR(SEARCH("9ab",P23)))</formula>
    </cfRule>
    <cfRule type="cellIs" dxfId="2060" priority="830" stopIfTrue="1" operator="equal">
      <formula>"leave"</formula>
    </cfRule>
    <cfRule type="containsText" dxfId="2059" priority="831" operator="containsText" text="ds">
      <formula>NOT(ISERROR(SEARCH("ds",P23)))</formula>
    </cfRule>
    <cfRule type="containsText" dxfId="2058" priority="832" operator="containsText" text="subobs">
      <formula>NOT(ISERROR(SEARCH("subobs",P23)))</formula>
    </cfRule>
    <cfRule type="containsText" dxfId="2057" priority="833" operator="containsText" text="Call">
      <formula>NOT(ISERROR(SEARCH("Call",P23)))</formula>
    </cfRule>
  </conditionalFormatting>
  <conditionalFormatting sqref="P23:P30">
    <cfRule type="containsText" dxfId="2055" priority="811" operator="containsText" text="9ab">
      <formula>NOT(ISERROR(SEARCH("9ab",P23)))</formula>
    </cfRule>
    <cfRule type="cellIs" dxfId="2054" priority="812" stopIfTrue="1" operator="equal">
      <formula>"leave"</formula>
    </cfRule>
    <cfRule type="containsText" dxfId="2053" priority="813" operator="containsText" text="ds">
      <formula>NOT(ISERROR(SEARCH("ds",P23)))</formula>
    </cfRule>
    <cfRule type="containsText" dxfId="2052" priority="814" operator="containsText" text="subobs">
      <formula>NOT(ISERROR(SEARCH("subobs",P23)))</formula>
    </cfRule>
    <cfRule type="containsText" dxfId="2051" priority="815" stopIfTrue="1" operator="containsText" text="(Call)">
      <formula>NOT(ISERROR(SEARCH("(Call)",P23)))</formula>
    </cfRule>
    <cfRule type="containsText" dxfId="2049" priority="872" operator="containsText" text="9ab">
      <formula>NOT(ISERROR(SEARCH("9ab",P23)))</formula>
    </cfRule>
    <cfRule type="cellIs" dxfId="2048" priority="873" stopIfTrue="1" operator="equal">
      <formula>"leave"</formula>
    </cfRule>
    <cfRule type="containsText" dxfId="2047" priority="874" operator="containsText" text="ds">
      <formula>NOT(ISERROR(SEARCH("ds",P23)))</formula>
    </cfRule>
    <cfRule type="containsText" dxfId="2046" priority="875" operator="containsText" text="subobs">
      <formula>NOT(ISERROR(SEARCH("subobs",P23)))</formula>
    </cfRule>
    <cfRule type="containsText" dxfId="2045" priority="876" operator="containsText" text="Call">
      <formula>NOT(ISERROR(SEARCH("Call",P23)))</formula>
    </cfRule>
  </conditionalFormatting>
  <conditionalFormatting sqref="P32:P37">
    <cfRule type="containsText" dxfId="2043" priority="408" operator="containsText" text="9ab">
      <formula>NOT(ISERROR(SEARCH("9ab",P32)))</formula>
    </cfRule>
    <cfRule type="cellIs" dxfId="2042" priority="409" stopIfTrue="1" operator="equal">
      <formula>"leave"</formula>
    </cfRule>
    <cfRule type="containsText" dxfId="2041" priority="410" operator="containsText" text="ds">
      <formula>NOT(ISERROR(SEARCH("ds",P32)))</formula>
    </cfRule>
    <cfRule type="containsText" dxfId="2040" priority="411" operator="containsText" text="subobs">
      <formula>NOT(ISERROR(SEARCH("subobs",P32)))</formula>
    </cfRule>
    <cfRule type="containsText" dxfId="2039" priority="412" operator="containsText" text="Call">
      <formula>NOT(ISERROR(SEARCH("Call",P32)))</formula>
    </cfRule>
    <cfRule type="containsText" dxfId="2037" priority="414" operator="containsText" text="9ab">
      <formula>NOT(ISERROR(SEARCH("9ab",P32)))</formula>
    </cfRule>
    <cfRule type="cellIs" dxfId="2036" priority="415" stopIfTrue="1" operator="equal">
      <formula>"leave"</formula>
    </cfRule>
    <cfRule type="containsText" dxfId="2035" priority="416" operator="containsText" text="ds">
      <formula>NOT(ISERROR(SEARCH("ds",P32)))</formula>
    </cfRule>
    <cfRule type="containsText" dxfId="2034" priority="417" operator="containsText" text="subobs">
      <formula>NOT(ISERROR(SEARCH("subobs",P32)))</formula>
    </cfRule>
    <cfRule type="containsText" dxfId="2033" priority="418" stopIfTrue="1" operator="containsText" text="(Call)">
      <formula>NOT(ISERROR(SEARCH("(Call)",P32)))</formula>
    </cfRule>
    <cfRule type="containsText" dxfId="2031" priority="420" operator="containsText" text="9ab">
      <formula>NOT(ISERROR(SEARCH("9ab",P32)))</formula>
    </cfRule>
    <cfRule type="cellIs" dxfId="2030" priority="421" stopIfTrue="1" operator="equal">
      <formula>"leave"</formula>
    </cfRule>
    <cfRule type="containsText" dxfId="2029" priority="422" operator="containsText" text="ds">
      <formula>NOT(ISERROR(SEARCH("ds",P32)))</formula>
    </cfRule>
    <cfRule type="containsText" dxfId="2028" priority="423" operator="containsText" text="subobs">
      <formula>NOT(ISERROR(SEARCH("subobs",P32)))</formula>
    </cfRule>
    <cfRule type="containsText" dxfId="2027" priority="424" operator="containsText" text="Call">
      <formula>NOT(ISERROR(SEARCH("Call",P32)))</formula>
    </cfRule>
    <cfRule type="containsText" dxfId="2025" priority="426" operator="containsText" text="9ab">
      <formula>NOT(ISERROR(SEARCH("9ab",P32)))</formula>
    </cfRule>
    <cfRule type="cellIs" dxfId="2024" priority="427" stopIfTrue="1" operator="equal">
      <formula>"leave"</formula>
    </cfRule>
    <cfRule type="containsText" dxfId="2023" priority="428" operator="containsText" text="ds">
      <formula>NOT(ISERROR(SEARCH("ds",P32)))</formula>
    </cfRule>
    <cfRule type="containsText" dxfId="2022" priority="429" operator="containsText" text="subobs">
      <formula>NOT(ISERROR(SEARCH("subobs",P32)))</formula>
    </cfRule>
    <cfRule type="containsText" dxfId="2021" priority="430" operator="containsText" text="Call">
      <formula>NOT(ISERROR(SEARCH("Call",P32)))</formula>
    </cfRule>
    <cfRule type="containsText" dxfId="2019" priority="432" operator="containsText" text="9ab">
      <formula>NOT(ISERROR(SEARCH("9ab",P32)))</formula>
    </cfRule>
    <cfRule type="cellIs" dxfId="2018" priority="433" stopIfTrue="1" operator="equal">
      <formula>"leave"</formula>
    </cfRule>
    <cfRule type="containsText" dxfId="2017" priority="434" operator="containsText" text="ds">
      <formula>NOT(ISERROR(SEARCH("ds",P32)))</formula>
    </cfRule>
    <cfRule type="containsText" dxfId="2016" priority="435" operator="containsText" text="subobs">
      <formula>NOT(ISERROR(SEARCH("subobs",P32)))</formula>
    </cfRule>
    <cfRule type="containsText" dxfId="2015" priority="436" operator="containsText" text="Call">
      <formula>NOT(ISERROR(SEARCH("Call",P32)))</formula>
    </cfRule>
    <cfRule type="containsText" dxfId="2013" priority="440" operator="containsText" text="9ab">
      <formula>NOT(ISERROR(SEARCH("9ab",P32)))</formula>
    </cfRule>
    <cfRule type="cellIs" dxfId="2012" priority="441" stopIfTrue="1" operator="equal">
      <formula>"leave"</formula>
    </cfRule>
    <cfRule type="containsText" dxfId="2011" priority="442" operator="containsText" text="ds">
      <formula>NOT(ISERROR(SEARCH("ds",P32)))</formula>
    </cfRule>
    <cfRule type="containsText" dxfId="2010" priority="443" operator="containsText" text="subobs">
      <formula>NOT(ISERROR(SEARCH("subobs",P32)))</formula>
    </cfRule>
    <cfRule type="containsText" dxfId="2009" priority="444" operator="containsText" text="Call">
      <formula>NOT(ISERROR(SEARCH("Call",P32)))</formula>
    </cfRule>
    <cfRule type="containsText" dxfId="2007" priority="447" operator="containsText" text="9ab">
      <formula>NOT(ISERROR(SEARCH("9ab",P32)))</formula>
    </cfRule>
    <cfRule type="cellIs" dxfId="2006" priority="448" stopIfTrue="1" operator="equal">
      <formula>"leave"</formula>
    </cfRule>
    <cfRule type="containsText" dxfId="2005" priority="449" operator="containsText" text="ds">
      <formula>NOT(ISERROR(SEARCH("ds",P32)))</formula>
    </cfRule>
    <cfRule type="containsText" dxfId="2004" priority="450" operator="containsText" text="subobs">
      <formula>NOT(ISERROR(SEARCH("subobs",P32)))</formula>
    </cfRule>
    <cfRule type="containsText" dxfId="2003" priority="451" stopIfTrue="1" operator="containsText" text="(Call)">
      <formula>NOT(ISERROR(SEARCH("(Call)",P32)))</formula>
    </cfRule>
  </conditionalFormatting>
  <conditionalFormatting sqref="P31:Q37">
    <cfRule type="containsText" dxfId="2001" priority="438" operator="containsText" text="b1">
      <formula>NOT(ISERROR(SEARCH("b1",P31)))</formula>
    </cfRule>
    <cfRule type="cellIs" dxfId="2000" priority="439" operator="equal">
      <formula>0</formula>
    </cfRule>
    <cfRule type="containsText" dxfId="1999" priority="446" stopIfTrue="1" operator="containsText" text="go">
      <formula>NOT(ISERROR(SEARCH("go",P31)))</formula>
    </cfRule>
    <cfRule type="cellIs" dxfId="1998" priority="453" operator="equal">
      <formula>"ps_cover"</formula>
    </cfRule>
    <cfRule type="containsText" dxfId="1997" priority="454" stopIfTrue="1" operator="containsText" text="9ab">
      <formula>NOT(ISERROR(SEARCH("9ab",P31)))</formula>
    </cfRule>
    <cfRule type="containsText" dxfId="1996" priority="455" stopIfTrue="1" operator="containsText" text="ds">
      <formula>NOT(ISERROR(SEARCH("ds",P31)))</formula>
    </cfRule>
    <cfRule type="containsText" dxfId="1995" priority="456" stopIfTrue="1" operator="containsText" text="subobs">
      <formula>NOT(ISERROR(SEARCH("subobs",P31)))</formula>
    </cfRule>
  </conditionalFormatting>
  <conditionalFormatting sqref="P31:U37">
    <cfRule type="containsText" dxfId="1994" priority="400" operator="containsText" text="(Call)">
      <formula>NOT(ISERROR(SEARCH("(Call)",P31)))</formula>
    </cfRule>
  </conditionalFormatting>
  <conditionalFormatting sqref="R31:U37">
    <cfRule type="containsText" dxfId="1993" priority="401" operator="containsText" text="b1">
      <formula>NOT(ISERROR(SEARCH("b1",R31)))</formula>
    </cfRule>
    <cfRule type="cellIs" dxfId="1992" priority="402" operator="equal">
      <formula>0</formula>
    </cfRule>
    <cfRule type="containsText" dxfId="1991" priority="403" stopIfTrue="1" operator="containsText" text="go">
      <formula>NOT(ISERROR(SEARCH("go",R31)))</formula>
    </cfRule>
    <cfRule type="cellIs" dxfId="1990" priority="404" operator="equal">
      <formula>"ps_cover"</formula>
    </cfRule>
    <cfRule type="containsText" dxfId="1989" priority="405" stopIfTrue="1" operator="containsText" text="9ab">
      <formula>NOT(ISERROR(SEARCH("9ab",R31)))</formula>
    </cfRule>
    <cfRule type="containsText" dxfId="1988" priority="406" stopIfTrue="1" operator="containsText" text="ds">
      <formula>NOT(ISERROR(SEARCH("ds",R31)))</formula>
    </cfRule>
    <cfRule type="containsText" dxfId="1987" priority="407" stopIfTrue="1" operator="containsText" text="subobs">
      <formula>NOT(ISERROR(SEARCH("subobs",R31)))</formula>
    </cfRule>
  </conditionalFormatting>
  <conditionalFormatting sqref="W15:W20">
    <cfRule type="containsText" dxfId="1986" priority="1035" operator="containsText" text="9ab">
      <formula>NOT(ISERROR(SEARCH("9ab",W15)))</formula>
    </cfRule>
    <cfRule type="cellIs" dxfId="1985" priority="1036" stopIfTrue="1" operator="equal">
      <formula>"leave"</formula>
    </cfRule>
    <cfRule type="containsText" dxfId="1984" priority="1037" operator="containsText" text="ds">
      <formula>NOT(ISERROR(SEARCH("ds",W15)))</formula>
    </cfRule>
    <cfRule type="containsText" dxfId="1983" priority="1038" operator="containsText" text="subobs">
      <formula>NOT(ISERROR(SEARCH("subobs",W15)))</formula>
    </cfRule>
    <cfRule type="containsText" dxfId="1982" priority="1039" operator="containsText" text="Call">
      <formula>NOT(ISERROR(SEARCH("Call",W15)))</formula>
    </cfRule>
    <cfRule type="containsText" dxfId="1980" priority="1047" operator="containsText" text="9ab">
      <formula>NOT(ISERROR(SEARCH("9ab",W15)))</formula>
    </cfRule>
    <cfRule type="cellIs" dxfId="1979" priority="1048" stopIfTrue="1" operator="equal">
      <formula>"leave"</formula>
    </cfRule>
    <cfRule type="containsText" dxfId="1978" priority="1049" operator="containsText" text="ds">
      <formula>NOT(ISERROR(SEARCH("ds",W15)))</formula>
    </cfRule>
    <cfRule type="containsText" dxfId="1977" priority="1050" operator="containsText" text="subobs">
      <formula>NOT(ISERROR(SEARCH("subobs",W15)))</formula>
    </cfRule>
    <cfRule type="containsText" dxfId="1976" priority="1051" operator="containsText" text="Call">
      <formula>NOT(ISERROR(SEARCH("Call",W15)))</formula>
    </cfRule>
  </conditionalFormatting>
  <conditionalFormatting sqref="W15:W21">
    <cfRule type="containsText" dxfId="1974" priority="1041" operator="containsText" text="9ab">
      <formula>NOT(ISERROR(SEARCH("9ab",W15)))</formula>
    </cfRule>
    <cfRule type="cellIs" dxfId="1973" priority="1042" stopIfTrue="1" operator="equal">
      <formula>"leave"</formula>
    </cfRule>
    <cfRule type="containsText" dxfId="1972" priority="1043" operator="containsText" text="ds">
      <formula>NOT(ISERROR(SEARCH("ds",W15)))</formula>
    </cfRule>
    <cfRule type="containsText" dxfId="1971" priority="1044" operator="containsText" text="subobs">
      <formula>NOT(ISERROR(SEARCH("subobs",W15)))</formula>
    </cfRule>
    <cfRule type="containsText" dxfId="1970" priority="1045" stopIfTrue="1" operator="containsText" text="(Call)">
      <formula>NOT(ISERROR(SEARCH("(Call)",W15)))</formula>
    </cfRule>
    <cfRule type="containsText" dxfId="1968" priority="1053" operator="containsText" text="9ab">
      <formula>NOT(ISERROR(SEARCH("9ab",W15)))</formula>
    </cfRule>
    <cfRule type="cellIs" dxfId="1967" priority="1054" stopIfTrue="1" operator="equal">
      <formula>"leave"</formula>
    </cfRule>
    <cfRule type="containsText" dxfId="1966" priority="1055" operator="containsText" text="ds">
      <formula>NOT(ISERROR(SEARCH("ds",W15)))</formula>
    </cfRule>
    <cfRule type="containsText" dxfId="1965" priority="1056" operator="containsText" text="subobs">
      <formula>NOT(ISERROR(SEARCH("subobs",W15)))</formula>
    </cfRule>
    <cfRule type="containsText" dxfId="1964" priority="1057" operator="containsText" text="Call">
      <formula>NOT(ISERROR(SEARCH("Call",W15)))</formula>
    </cfRule>
    <cfRule type="containsText" dxfId="1962" priority="1104" operator="containsText" text="9ab">
      <formula>NOT(ISERROR(SEARCH("9ab",W15)))</formula>
    </cfRule>
    <cfRule type="cellIs" dxfId="1961" priority="1105" stopIfTrue="1" operator="equal">
      <formula>"leave"</formula>
    </cfRule>
    <cfRule type="containsText" dxfId="1960" priority="1106" operator="containsText" text="ds">
      <formula>NOT(ISERROR(SEARCH("ds",W15)))</formula>
    </cfRule>
    <cfRule type="containsText" dxfId="1959" priority="1107" operator="containsText" text="subobs">
      <formula>NOT(ISERROR(SEARCH("subobs",W15)))</formula>
    </cfRule>
    <cfRule type="containsText" dxfId="1958" priority="1108" operator="containsText" text="Call">
      <formula>NOT(ISERROR(SEARCH("Call",W15)))</formula>
    </cfRule>
  </conditionalFormatting>
  <conditionalFormatting sqref="W23:W28">
    <cfRule type="containsText" dxfId="1956" priority="781" operator="containsText" text="9ab">
      <formula>NOT(ISERROR(SEARCH("9ab",W23)))</formula>
    </cfRule>
    <cfRule type="cellIs" dxfId="1955" priority="782" stopIfTrue="1" operator="equal">
      <formula>"leave"</formula>
    </cfRule>
    <cfRule type="containsText" dxfId="1954" priority="783" operator="containsText" text="ds">
      <formula>NOT(ISERROR(SEARCH("ds",W23)))</formula>
    </cfRule>
    <cfRule type="containsText" dxfId="1953" priority="784" operator="containsText" text="subobs">
      <formula>NOT(ISERROR(SEARCH("subobs",W23)))</formula>
    </cfRule>
    <cfRule type="containsText" dxfId="1952" priority="785" operator="containsText" text="Call">
      <formula>NOT(ISERROR(SEARCH("Call",W23)))</formula>
    </cfRule>
    <cfRule type="containsText" dxfId="1950" priority="793" operator="containsText" text="9ab">
      <formula>NOT(ISERROR(SEARCH("9ab",W23)))</formula>
    </cfRule>
    <cfRule type="cellIs" dxfId="1949" priority="794" stopIfTrue="1" operator="equal">
      <formula>"leave"</formula>
    </cfRule>
    <cfRule type="containsText" dxfId="1948" priority="795" operator="containsText" text="ds">
      <formula>NOT(ISERROR(SEARCH("ds",W23)))</formula>
    </cfRule>
    <cfRule type="containsText" dxfId="1947" priority="796" operator="containsText" text="subobs">
      <formula>NOT(ISERROR(SEARCH("subobs",W23)))</formula>
    </cfRule>
    <cfRule type="containsText" dxfId="1946" priority="797" operator="containsText" text="Call">
      <formula>NOT(ISERROR(SEARCH("Call",W23)))</formula>
    </cfRule>
  </conditionalFormatting>
  <conditionalFormatting sqref="W23:W30">
    <cfRule type="containsText" dxfId="1944" priority="787" operator="containsText" text="9ab">
      <formula>NOT(ISERROR(SEARCH("9ab",W23)))</formula>
    </cfRule>
    <cfRule type="cellIs" dxfId="1943" priority="788" stopIfTrue="1" operator="equal">
      <formula>"leave"</formula>
    </cfRule>
    <cfRule type="containsText" dxfId="1942" priority="789" operator="containsText" text="ds">
      <formula>NOT(ISERROR(SEARCH("ds",W23)))</formula>
    </cfRule>
    <cfRule type="containsText" dxfId="1941" priority="790" operator="containsText" text="subobs">
      <formula>NOT(ISERROR(SEARCH("subobs",W23)))</formula>
    </cfRule>
    <cfRule type="containsText" dxfId="1940" priority="791" stopIfTrue="1" operator="containsText" text="(Call)">
      <formula>NOT(ISERROR(SEARCH("(Call)",W23)))</formula>
    </cfRule>
    <cfRule type="containsText" dxfId="1938" priority="799" operator="containsText" text="9ab">
      <formula>NOT(ISERROR(SEARCH("9ab",W23)))</formula>
    </cfRule>
    <cfRule type="cellIs" dxfId="1937" priority="800" stopIfTrue="1" operator="equal">
      <formula>"leave"</formula>
    </cfRule>
    <cfRule type="containsText" dxfId="1936" priority="801" operator="containsText" text="ds">
      <formula>NOT(ISERROR(SEARCH("ds",W23)))</formula>
    </cfRule>
    <cfRule type="containsText" dxfId="1935" priority="802" operator="containsText" text="subobs">
      <formula>NOT(ISERROR(SEARCH("subobs",W23)))</formula>
    </cfRule>
    <cfRule type="containsText" dxfId="1934" priority="803" operator="containsText" text="Call">
      <formula>NOT(ISERROR(SEARCH("Call",W23)))</formula>
    </cfRule>
    <cfRule type="containsText" dxfId="1932" priority="866" operator="containsText" text="9ab">
      <formula>NOT(ISERROR(SEARCH("9ab",W23)))</formula>
    </cfRule>
    <cfRule type="cellIs" dxfId="1931" priority="867" stopIfTrue="1" operator="equal">
      <formula>"leave"</formula>
    </cfRule>
    <cfRule type="containsText" dxfId="1930" priority="868" operator="containsText" text="ds">
      <formula>NOT(ISERROR(SEARCH("ds",W23)))</formula>
    </cfRule>
    <cfRule type="containsText" dxfId="1929" priority="869" operator="containsText" text="subobs">
      <formula>NOT(ISERROR(SEARCH("subobs",W23)))</formula>
    </cfRule>
    <cfRule type="containsText" dxfId="1928" priority="870" operator="containsText" text="Call">
      <formula>NOT(ISERROR(SEARCH("Call",W23)))</formula>
    </cfRule>
  </conditionalFormatting>
  <conditionalFormatting sqref="W32:W37">
    <cfRule type="containsText" dxfId="1926" priority="351" operator="containsText" text="9ab">
      <formula>NOT(ISERROR(SEARCH("9ab",W32)))</formula>
    </cfRule>
    <cfRule type="cellIs" dxfId="1925" priority="352" stopIfTrue="1" operator="equal">
      <formula>"leave"</formula>
    </cfRule>
    <cfRule type="containsText" dxfId="1924" priority="353" operator="containsText" text="ds">
      <formula>NOT(ISERROR(SEARCH("ds",W32)))</formula>
    </cfRule>
    <cfRule type="containsText" dxfId="1923" priority="354" operator="containsText" text="subobs">
      <formula>NOT(ISERROR(SEARCH("subobs",W32)))</formula>
    </cfRule>
    <cfRule type="containsText" dxfId="1922" priority="355" operator="containsText" text="Call">
      <formula>NOT(ISERROR(SEARCH("Call",W32)))</formula>
    </cfRule>
    <cfRule type="containsText" dxfId="1920" priority="357" operator="containsText" text="9ab">
      <formula>NOT(ISERROR(SEARCH("9ab",W32)))</formula>
    </cfRule>
    <cfRule type="cellIs" dxfId="1919" priority="358" stopIfTrue="1" operator="equal">
      <formula>"leave"</formula>
    </cfRule>
    <cfRule type="containsText" dxfId="1918" priority="359" operator="containsText" text="ds">
      <formula>NOT(ISERROR(SEARCH("ds",W32)))</formula>
    </cfRule>
    <cfRule type="containsText" dxfId="1917" priority="360" operator="containsText" text="subobs">
      <formula>NOT(ISERROR(SEARCH("subobs",W32)))</formula>
    </cfRule>
    <cfRule type="containsText" dxfId="1916" priority="361" stopIfTrue="1" operator="containsText" text="(Call)">
      <formula>NOT(ISERROR(SEARCH("(Call)",W32)))</formula>
    </cfRule>
    <cfRule type="containsText" dxfId="1914" priority="363" operator="containsText" text="9ab">
      <formula>NOT(ISERROR(SEARCH("9ab",W32)))</formula>
    </cfRule>
    <cfRule type="cellIs" dxfId="1913" priority="364" stopIfTrue="1" operator="equal">
      <formula>"leave"</formula>
    </cfRule>
    <cfRule type="containsText" dxfId="1912" priority="365" operator="containsText" text="ds">
      <formula>NOT(ISERROR(SEARCH("ds",W32)))</formula>
    </cfRule>
    <cfRule type="containsText" dxfId="1911" priority="366" operator="containsText" text="subobs">
      <formula>NOT(ISERROR(SEARCH("subobs",W32)))</formula>
    </cfRule>
    <cfRule type="containsText" dxfId="1910" priority="367" operator="containsText" text="Call">
      <formula>NOT(ISERROR(SEARCH("Call",W32)))</formula>
    </cfRule>
    <cfRule type="containsText" dxfId="1908" priority="369" operator="containsText" text="9ab">
      <formula>NOT(ISERROR(SEARCH("9ab",W32)))</formula>
    </cfRule>
    <cfRule type="cellIs" dxfId="1907" priority="370" stopIfTrue="1" operator="equal">
      <formula>"leave"</formula>
    </cfRule>
    <cfRule type="containsText" dxfId="1906" priority="371" operator="containsText" text="ds">
      <formula>NOT(ISERROR(SEARCH("ds",W32)))</formula>
    </cfRule>
    <cfRule type="containsText" dxfId="1905" priority="372" operator="containsText" text="subobs">
      <formula>NOT(ISERROR(SEARCH("subobs",W32)))</formula>
    </cfRule>
    <cfRule type="containsText" dxfId="1904" priority="373" operator="containsText" text="Call">
      <formula>NOT(ISERROR(SEARCH("Call",W32)))</formula>
    </cfRule>
    <cfRule type="containsText" dxfId="1902" priority="375" operator="containsText" text="9ab">
      <formula>NOT(ISERROR(SEARCH("9ab",W32)))</formula>
    </cfRule>
    <cfRule type="cellIs" dxfId="1901" priority="376" stopIfTrue="1" operator="equal">
      <formula>"leave"</formula>
    </cfRule>
    <cfRule type="containsText" dxfId="1900" priority="377" operator="containsText" text="ds">
      <formula>NOT(ISERROR(SEARCH("ds",W32)))</formula>
    </cfRule>
    <cfRule type="containsText" dxfId="1899" priority="378" operator="containsText" text="subobs">
      <formula>NOT(ISERROR(SEARCH("subobs",W32)))</formula>
    </cfRule>
    <cfRule type="containsText" dxfId="1898" priority="379" operator="containsText" text="Call">
      <formula>NOT(ISERROR(SEARCH("Call",W32)))</formula>
    </cfRule>
    <cfRule type="containsText" dxfId="1896" priority="383" operator="containsText" text="9ab">
      <formula>NOT(ISERROR(SEARCH("9ab",W32)))</formula>
    </cfRule>
    <cfRule type="cellIs" dxfId="1895" priority="384" stopIfTrue="1" operator="equal">
      <formula>"leave"</formula>
    </cfRule>
    <cfRule type="containsText" dxfId="1894" priority="385" operator="containsText" text="ds">
      <formula>NOT(ISERROR(SEARCH("ds",W32)))</formula>
    </cfRule>
    <cfRule type="containsText" dxfId="1893" priority="386" operator="containsText" text="subobs">
      <formula>NOT(ISERROR(SEARCH("subobs",W32)))</formula>
    </cfRule>
    <cfRule type="containsText" dxfId="1892" priority="387" operator="containsText" text="Call">
      <formula>NOT(ISERROR(SEARCH("Call",W32)))</formula>
    </cfRule>
    <cfRule type="containsText" dxfId="1890" priority="390" operator="containsText" text="9ab">
      <formula>NOT(ISERROR(SEARCH("9ab",W32)))</formula>
    </cfRule>
    <cfRule type="cellIs" dxfId="1889" priority="391" stopIfTrue="1" operator="equal">
      <formula>"leave"</formula>
    </cfRule>
    <cfRule type="containsText" dxfId="1888" priority="392" operator="containsText" text="ds">
      <formula>NOT(ISERROR(SEARCH("ds",W32)))</formula>
    </cfRule>
    <cfRule type="containsText" dxfId="1887" priority="393" operator="containsText" text="subobs">
      <formula>NOT(ISERROR(SEARCH("subobs",W32)))</formula>
    </cfRule>
    <cfRule type="containsText" dxfId="1886" priority="394" stopIfTrue="1" operator="containsText" text="(Call)">
      <formula>NOT(ISERROR(SEARCH("(Call)",W32)))</formula>
    </cfRule>
  </conditionalFormatting>
  <conditionalFormatting sqref="W31:X37">
    <cfRule type="containsText" dxfId="1884" priority="381" operator="containsText" text="b1">
      <formula>NOT(ISERROR(SEARCH("b1",W31)))</formula>
    </cfRule>
    <cfRule type="cellIs" dxfId="1883" priority="382" operator="equal">
      <formula>0</formula>
    </cfRule>
    <cfRule type="containsText" dxfId="1882" priority="389" stopIfTrue="1" operator="containsText" text="go">
      <formula>NOT(ISERROR(SEARCH("go",W31)))</formula>
    </cfRule>
    <cfRule type="cellIs" dxfId="1881" priority="396" operator="equal">
      <formula>"ps_cover"</formula>
    </cfRule>
    <cfRule type="containsText" dxfId="1880" priority="397" stopIfTrue="1" operator="containsText" text="9ab">
      <formula>NOT(ISERROR(SEARCH("9ab",W31)))</formula>
    </cfRule>
    <cfRule type="containsText" dxfId="1879" priority="398" stopIfTrue="1" operator="containsText" text="ds">
      <formula>NOT(ISERROR(SEARCH("ds",W31)))</formula>
    </cfRule>
    <cfRule type="containsText" dxfId="1878" priority="399" stopIfTrue="1" operator="containsText" text="subobs">
      <formula>NOT(ISERROR(SEARCH("subobs",W31)))</formula>
    </cfRule>
  </conditionalFormatting>
  <conditionalFormatting sqref="W31:AB37">
    <cfRule type="containsText" dxfId="1877" priority="343" operator="containsText" text="(Call)">
      <formula>NOT(ISERROR(SEARCH("(Call)",W31)))</formula>
    </cfRule>
  </conditionalFormatting>
  <conditionalFormatting sqref="Y31:AB37">
    <cfRule type="containsText" dxfId="1876" priority="344" operator="containsText" text="b1">
      <formula>NOT(ISERROR(SEARCH("b1",Y31)))</formula>
    </cfRule>
    <cfRule type="cellIs" dxfId="1875" priority="345" operator="equal">
      <formula>0</formula>
    </cfRule>
    <cfRule type="containsText" dxfId="1874" priority="346" stopIfTrue="1" operator="containsText" text="go">
      <formula>NOT(ISERROR(SEARCH("go",Y31)))</formula>
    </cfRule>
    <cfRule type="cellIs" dxfId="1873" priority="347" operator="equal">
      <formula>"ps_cover"</formula>
    </cfRule>
    <cfRule type="containsText" dxfId="1872" priority="348" stopIfTrue="1" operator="containsText" text="9ab">
      <formula>NOT(ISERROR(SEARCH("9ab",Y31)))</formula>
    </cfRule>
    <cfRule type="containsText" dxfId="1871" priority="349" stopIfTrue="1" operator="containsText" text="ds">
      <formula>NOT(ISERROR(SEARCH("ds",Y31)))</formula>
    </cfRule>
    <cfRule type="containsText" dxfId="1870" priority="350" stopIfTrue="1" operator="containsText" text="subobs">
      <formula>NOT(ISERROR(SEARCH("subobs",Y31)))</formula>
    </cfRule>
  </conditionalFormatting>
  <conditionalFormatting sqref="AD15:AD20">
    <cfRule type="containsText" dxfId="1869" priority="1011" operator="containsText" text="9ab">
      <formula>NOT(ISERROR(SEARCH("9ab",AD15)))</formula>
    </cfRule>
    <cfRule type="cellIs" dxfId="1868" priority="1012" stopIfTrue="1" operator="equal">
      <formula>"leave"</formula>
    </cfRule>
    <cfRule type="containsText" dxfId="1867" priority="1013" operator="containsText" text="ds">
      <formula>NOT(ISERROR(SEARCH("ds",AD15)))</formula>
    </cfRule>
    <cfRule type="containsText" dxfId="1866" priority="1014" operator="containsText" text="subobs">
      <formula>NOT(ISERROR(SEARCH("subobs",AD15)))</formula>
    </cfRule>
    <cfRule type="containsText" dxfId="1865" priority="1015" operator="containsText" text="Call">
      <formula>NOT(ISERROR(SEARCH("Call",AD15)))</formula>
    </cfRule>
    <cfRule type="containsText" dxfId="1863" priority="1023" operator="containsText" text="9ab">
      <formula>NOT(ISERROR(SEARCH("9ab",AD15)))</formula>
    </cfRule>
    <cfRule type="cellIs" dxfId="1862" priority="1024" stopIfTrue="1" operator="equal">
      <formula>"leave"</formula>
    </cfRule>
    <cfRule type="containsText" dxfId="1861" priority="1025" operator="containsText" text="ds">
      <formula>NOT(ISERROR(SEARCH("ds",AD15)))</formula>
    </cfRule>
    <cfRule type="containsText" dxfId="1860" priority="1026" operator="containsText" text="subobs">
      <formula>NOT(ISERROR(SEARCH("subobs",AD15)))</formula>
    </cfRule>
    <cfRule type="containsText" dxfId="1859" priority="1027" operator="containsText" text="Call">
      <formula>NOT(ISERROR(SEARCH("Call",AD15)))</formula>
    </cfRule>
  </conditionalFormatting>
  <conditionalFormatting sqref="AD15:AD21">
    <cfRule type="containsText" dxfId="1857" priority="1017" operator="containsText" text="9ab">
      <formula>NOT(ISERROR(SEARCH("9ab",AD15)))</formula>
    </cfRule>
    <cfRule type="cellIs" dxfId="1856" priority="1018" stopIfTrue="1" operator="equal">
      <formula>"leave"</formula>
    </cfRule>
    <cfRule type="containsText" dxfId="1855" priority="1019" operator="containsText" text="ds">
      <formula>NOT(ISERROR(SEARCH("ds",AD15)))</formula>
    </cfRule>
    <cfRule type="containsText" dxfId="1854" priority="1020" operator="containsText" text="subobs">
      <formula>NOT(ISERROR(SEARCH("subobs",AD15)))</formula>
    </cfRule>
    <cfRule type="containsText" dxfId="1853" priority="1021" stopIfTrue="1" operator="containsText" text="(Call)">
      <formula>NOT(ISERROR(SEARCH("(Call)",AD15)))</formula>
    </cfRule>
    <cfRule type="containsText" dxfId="1851" priority="1029" operator="containsText" text="9ab">
      <formula>NOT(ISERROR(SEARCH("9ab",AD15)))</formula>
    </cfRule>
    <cfRule type="cellIs" dxfId="1850" priority="1030" stopIfTrue="1" operator="equal">
      <formula>"leave"</formula>
    </cfRule>
    <cfRule type="containsText" dxfId="1849" priority="1031" operator="containsText" text="ds">
      <formula>NOT(ISERROR(SEARCH("ds",AD15)))</formula>
    </cfRule>
    <cfRule type="containsText" dxfId="1848" priority="1032" operator="containsText" text="subobs">
      <formula>NOT(ISERROR(SEARCH("subobs",AD15)))</formula>
    </cfRule>
    <cfRule type="containsText" dxfId="1847" priority="1033" operator="containsText" text="Call">
      <formula>NOT(ISERROR(SEARCH("Call",AD15)))</formula>
    </cfRule>
    <cfRule type="containsText" dxfId="1845" priority="1098" operator="containsText" text="9ab">
      <formula>NOT(ISERROR(SEARCH("9ab",AD15)))</formula>
    </cfRule>
    <cfRule type="cellIs" dxfId="1844" priority="1099" stopIfTrue="1" operator="equal">
      <formula>"leave"</formula>
    </cfRule>
    <cfRule type="containsText" dxfId="1843" priority="1100" operator="containsText" text="ds">
      <formula>NOT(ISERROR(SEARCH("ds",AD15)))</formula>
    </cfRule>
    <cfRule type="containsText" dxfId="1842" priority="1101" operator="containsText" text="subobs">
      <formula>NOT(ISERROR(SEARCH("subobs",AD15)))</formula>
    </cfRule>
    <cfRule type="containsText" dxfId="1841" priority="1102" operator="containsText" text="Call">
      <formula>NOT(ISERROR(SEARCH("Call",AD15)))</formula>
    </cfRule>
  </conditionalFormatting>
  <conditionalFormatting sqref="AD23:AD28">
    <cfRule type="containsText" dxfId="1839" priority="757" operator="containsText" text="9ab">
      <formula>NOT(ISERROR(SEARCH("9ab",AD23)))</formula>
    </cfRule>
    <cfRule type="cellIs" dxfId="1838" priority="758" stopIfTrue="1" operator="equal">
      <formula>"leave"</formula>
    </cfRule>
    <cfRule type="containsText" dxfId="1837" priority="759" operator="containsText" text="ds">
      <formula>NOT(ISERROR(SEARCH("ds",AD23)))</formula>
    </cfRule>
    <cfRule type="containsText" dxfId="1836" priority="760" operator="containsText" text="subobs">
      <formula>NOT(ISERROR(SEARCH("subobs",AD23)))</formula>
    </cfRule>
    <cfRule type="containsText" dxfId="1835" priority="761" operator="containsText" text="Call">
      <formula>NOT(ISERROR(SEARCH("Call",AD23)))</formula>
    </cfRule>
    <cfRule type="containsText" dxfId="1833" priority="769" operator="containsText" text="9ab">
      <formula>NOT(ISERROR(SEARCH("9ab",AD23)))</formula>
    </cfRule>
    <cfRule type="cellIs" dxfId="1832" priority="770" stopIfTrue="1" operator="equal">
      <formula>"leave"</formula>
    </cfRule>
    <cfRule type="containsText" dxfId="1831" priority="771" operator="containsText" text="ds">
      <formula>NOT(ISERROR(SEARCH("ds",AD23)))</formula>
    </cfRule>
    <cfRule type="containsText" dxfId="1830" priority="772" operator="containsText" text="subobs">
      <formula>NOT(ISERROR(SEARCH("subobs",AD23)))</formula>
    </cfRule>
    <cfRule type="containsText" dxfId="1829" priority="773" operator="containsText" text="Call">
      <formula>NOT(ISERROR(SEARCH("Call",AD23)))</formula>
    </cfRule>
  </conditionalFormatting>
  <conditionalFormatting sqref="AD23:AD30">
    <cfRule type="containsText" dxfId="1827" priority="763" operator="containsText" text="9ab">
      <formula>NOT(ISERROR(SEARCH("9ab",AD23)))</formula>
    </cfRule>
    <cfRule type="cellIs" dxfId="1826" priority="764" stopIfTrue="1" operator="equal">
      <formula>"leave"</formula>
    </cfRule>
    <cfRule type="containsText" dxfId="1825" priority="765" operator="containsText" text="ds">
      <formula>NOT(ISERROR(SEARCH("ds",AD23)))</formula>
    </cfRule>
    <cfRule type="containsText" dxfId="1824" priority="766" operator="containsText" text="subobs">
      <formula>NOT(ISERROR(SEARCH("subobs",AD23)))</formula>
    </cfRule>
    <cfRule type="containsText" dxfId="1823" priority="767" stopIfTrue="1" operator="containsText" text="(Call)">
      <formula>NOT(ISERROR(SEARCH("(Call)",AD23)))</formula>
    </cfRule>
    <cfRule type="containsText" dxfId="1821" priority="775" operator="containsText" text="9ab">
      <formula>NOT(ISERROR(SEARCH("9ab",AD23)))</formula>
    </cfRule>
    <cfRule type="cellIs" dxfId="1820" priority="776" stopIfTrue="1" operator="equal">
      <formula>"leave"</formula>
    </cfRule>
    <cfRule type="containsText" dxfId="1819" priority="777" operator="containsText" text="ds">
      <formula>NOT(ISERROR(SEARCH("ds",AD23)))</formula>
    </cfRule>
    <cfRule type="containsText" dxfId="1818" priority="778" operator="containsText" text="subobs">
      <formula>NOT(ISERROR(SEARCH("subobs",AD23)))</formula>
    </cfRule>
    <cfRule type="containsText" dxfId="1817" priority="779" operator="containsText" text="Call">
      <formula>NOT(ISERROR(SEARCH("Call",AD23)))</formula>
    </cfRule>
    <cfRule type="containsText" dxfId="1815" priority="860" operator="containsText" text="9ab">
      <formula>NOT(ISERROR(SEARCH("9ab",AD23)))</formula>
    </cfRule>
    <cfRule type="cellIs" dxfId="1814" priority="861" stopIfTrue="1" operator="equal">
      <formula>"leave"</formula>
    </cfRule>
    <cfRule type="containsText" dxfId="1813" priority="862" operator="containsText" text="ds">
      <formula>NOT(ISERROR(SEARCH("ds",AD23)))</formula>
    </cfRule>
    <cfRule type="containsText" dxfId="1812" priority="863" operator="containsText" text="subobs">
      <formula>NOT(ISERROR(SEARCH("subobs",AD23)))</formula>
    </cfRule>
    <cfRule type="containsText" dxfId="1811" priority="864" operator="containsText" text="Call">
      <formula>NOT(ISERROR(SEARCH("Call",AD23)))</formula>
    </cfRule>
  </conditionalFormatting>
  <conditionalFormatting sqref="AD32:AD37">
    <cfRule type="containsText" dxfId="1809" priority="294" operator="containsText" text="9ab">
      <formula>NOT(ISERROR(SEARCH("9ab",AD32)))</formula>
    </cfRule>
    <cfRule type="cellIs" dxfId="1808" priority="295" stopIfTrue="1" operator="equal">
      <formula>"leave"</formula>
    </cfRule>
    <cfRule type="containsText" dxfId="1807" priority="296" operator="containsText" text="ds">
      <formula>NOT(ISERROR(SEARCH("ds",AD32)))</formula>
    </cfRule>
    <cfRule type="containsText" dxfId="1806" priority="297" operator="containsText" text="subobs">
      <formula>NOT(ISERROR(SEARCH("subobs",AD32)))</formula>
    </cfRule>
    <cfRule type="containsText" dxfId="1805" priority="298" operator="containsText" text="Call">
      <formula>NOT(ISERROR(SEARCH("Call",AD32)))</formula>
    </cfRule>
    <cfRule type="containsText" dxfId="1803" priority="300" operator="containsText" text="9ab">
      <formula>NOT(ISERROR(SEARCH("9ab",AD32)))</formula>
    </cfRule>
    <cfRule type="cellIs" dxfId="1802" priority="301" stopIfTrue="1" operator="equal">
      <formula>"leave"</formula>
    </cfRule>
    <cfRule type="containsText" dxfId="1801" priority="302" operator="containsText" text="ds">
      <formula>NOT(ISERROR(SEARCH("ds",AD32)))</formula>
    </cfRule>
    <cfRule type="containsText" dxfId="1800" priority="303" operator="containsText" text="subobs">
      <formula>NOT(ISERROR(SEARCH("subobs",AD32)))</formula>
    </cfRule>
    <cfRule type="containsText" dxfId="1799" priority="304" stopIfTrue="1" operator="containsText" text="(Call)">
      <formula>NOT(ISERROR(SEARCH("(Call)",AD32)))</formula>
    </cfRule>
    <cfRule type="containsText" dxfId="1797" priority="306" operator="containsText" text="9ab">
      <formula>NOT(ISERROR(SEARCH("9ab",AD32)))</formula>
    </cfRule>
    <cfRule type="cellIs" dxfId="1796" priority="307" stopIfTrue="1" operator="equal">
      <formula>"leave"</formula>
    </cfRule>
    <cfRule type="containsText" dxfId="1795" priority="308" operator="containsText" text="ds">
      <formula>NOT(ISERROR(SEARCH("ds",AD32)))</formula>
    </cfRule>
    <cfRule type="containsText" dxfId="1794" priority="309" operator="containsText" text="subobs">
      <formula>NOT(ISERROR(SEARCH("subobs",AD32)))</formula>
    </cfRule>
    <cfRule type="containsText" dxfId="1793" priority="310" operator="containsText" text="Call">
      <formula>NOT(ISERROR(SEARCH("Call",AD32)))</formula>
    </cfRule>
    <cfRule type="containsText" dxfId="1791" priority="312" operator="containsText" text="9ab">
      <formula>NOT(ISERROR(SEARCH("9ab",AD32)))</formula>
    </cfRule>
    <cfRule type="cellIs" dxfId="1790" priority="313" stopIfTrue="1" operator="equal">
      <formula>"leave"</formula>
    </cfRule>
    <cfRule type="containsText" dxfId="1789" priority="314" operator="containsText" text="ds">
      <formula>NOT(ISERROR(SEARCH("ds",AD32)))</formula>
    </cfRule>
    <cfRule type="containsText" dxfId="1788" priority="315" operator="containsText" text="subobs">
      <formula>NOT(ISERROR(SEARCH("subobs",AD32)))</formula>
    </cfRule>
    <cfRule type="containsText" dxfId="1787" priority="316" operator="containsText" text="Call">
      <formula>NOT(ISERROR(SEARCH("Call",AD32)))</formula>
    </cfRule>
    <cfRule type="containsText" dxfId="1785" priority="318" operator="containsText" text="9ab">
      <formula>NOT(ISERROR(SEARCH("9ab",AD32)))</formula>
    </cfRule>
    <cfRule type="cellIs" dxfId="1784" priority="319" stopIfTrue="1" operator="equal">
      <formula>"leave"</formula>
    </cfRule>
    <cfRule type="containsText" dxfId="1783" priority="320" operator="containsText" text="ds">
      <formula>NOT(ISERROR(SEARCH("ds",AD32)))</formula>
    </cfRule>
    <cfRule type="containsText" dxfId="1782" priority="321" operator="containsText" text="subobs">
      <formula>NOT(ISERROR(SEARCH("subobs",AD32)))</formula>
    </cfRule>
    <cfRule type="containsText" dxfId="1781" priority="322" operator="containsText" text="Call">
      <formula>NOT(ISERROR(SEARCH("Call",AD32)))</formula>
    </cfRule>
    <cfRule type="containsText" dxfId="1779" priority="326" operator="containsText" text="9ab">
      <formula>NOT(ISERROR(SEARCH("9ab",AD32)))</formula>
    </cfRule>
    <cfRule type="cellIs" dxfId="1778" priority="327" stopIfTrue="1" operator="equal">
      <formula>"leave"</formula>
    </cfRule>
    <cfRule type="containsText" dxfId="1777" priority="328" operator="containsText" text="ds">
      <formula>NOT(ISERROR(SEARCH("ds",AD32)))</formula>
    </cfRule>
    <cfRule type="containsText" dxfId="1776" priority="329" operator="containsText" text="subobs">
      <formula>NOT(ISERROR(SEARCH("subobs",AD32)))</formula>
    </cfRule>
    <cfRule type="containsText" dxfId="1775" priority="330" operator="containsText" text="Call">
      <formula>NOT(ISERROR(SEARCH("Call",AD32)))</formula>
    </cfRule>
    <cfRule type="containsText" dxfId="1773" priority="333" operator="containsText" text="9ab">
      <formula>NOT(ISERROR(SEARCH("9ab",AD32)))</formula>
    </cfRule>
    <cfRule type="cellIs" dxfId="1772" priority="334" stopIfTrue="1" operator="equal">
      <formula>"leave"</formula>
    </cfRule>
    <cfRule type="containsText" dxfId="1771" priority="335" operator="containsText" text="ds">
      <formula>NOT(ISERROR(SEARCH("ds",AD32)))</formula>
    </cfRule>
    <cfRule type="containsText" dxfId="1770" priority="336" operator="containsText" text="subobs">
      <formula>NOT(ISERROR(SEARCH("subobs",AD32)))</formula>
    </cfRule>
    <cfRule type="containsText" dxfId="1769" priority="337" stopIfTrue="1" operator="containsText" text="(Call)">
      <formula>NOT(ISERROR(SEARCH("(Call)",AD32)))</formula>
    </cfRule>
  </conditionalFormatting>
  <conditionalFormatting sqref="AD31:AE37">
    <cfRule type="containsText" dxfId="1767" priority="324" operator="containsText" text="b1">
      <formula>NOT(ISERROR(SEARCH("b1",AD31)))</formula>
    </cfRule>
    <cfRule type="cellIs" dxfId="1766" priority="325" operator="equal">
      <formula>0</formula>
    </cfRule>
    <cfRule type="containsText" dxfId="1765" priority="332" stopIfTrue="1" operator="containsText" text="go">
      <formula>NOT(ISERROR(SEARCH("go",AD31)))</formula>
    </cfRule>
    <cfRule type="cellIs" dxfId="1764" priority="339" operator="equal">
      <formula>"ps_cover"</formula>
    </cfRule>
    <cfRule type="containsText" dxfId="1763" priority="340" stopIfTrue="1" operator="containsText" text="9ab">
      <formula>NOT(ISERROR(SEARCH("9ab",AD31)))</formula>
    </cfRule>
    <cfRule type="containsText" dxfId="1762" priority="341" stopIfTrue="1" operator="containsText" text="ds">
      <formula>NOT(ISERROR(SEARCH("ds",AD31)))</formula>
    </cfRule>
    <cfRule type="containsText" dxfId="1761" priority="342" stopIfTrue="1" operator="containsText" text="subobs">
      <formula>NOT(ISERROR(SEARCH("subobs",AD31)))</formula>
    </cfRule>
  </conditionalFormatting>
  <conditionalFormatting sqref="AD31:AI37">
    <cfRule type="containsText" dxfId="1760" priority="286" operator="containsText" text="(Call)">
      <formula>NOT(ISERROR(SEARCH("(Call)",AD31)))</formula>
    </cfRule>
  </conditionalFormatting>
  <conditionalFormatting sqref="AF31:AI37">
    <cfRule type="containsText" dxfId="1759" priority="287" operator="containsText" text="b1">
      <formula>NOT(ISERROR(SEARCH("b1",AF31)))</formula>
    </cfRule>
    <cfRule type="cellIs" dxfId="1758" priority="288" operator="equal">
      <formula>0</formula>
    </cfRule>
    <cfRule type="containsText" dxfId="1757" priority="289" stopIfTrue="1" operator="containsText" text="go">
      <formula>NOT(ISERROR(SEARCH("go",AF31)))</formula>
    </cfRule>
    <cfRule type="cellIs" dxfId="1756" priority="290" operator="equal">
      <formula>"ps_cover"</formula>
    </cfRule>
    <cfRule type="containsText" dxfId="1755" priority="291" stopIfTrue="1" operator="containsText" text="9ab">
      <formula>NOT(ISERROR(SEARCH("9ab",AF31)))</formula>
    </cfRule>
    <cfRule type="containsText" dxfId="1754" priority="292" stopIfTrue="1" operator="containsText" text="ds">
      <formula>NOT(ISERROR(SEARCH("ds",AF31)))</formula>
    </cfRule>
    <cfRule type="containsText" dxfId="1753" priority="293" stopIfTrue="1" operator="containsText" text="subobs">
      <formula>NOT(ISERROR(SEARCH("subobs",AF31)))</formula>
    </cfRule>
  </conditionalFormatting>
  <conditionalFormatting sqref="AJ15:AP21">
    <cfRule type="cellIs" dxfId="1752" priority="1004" operator="equal">
      <formula>0</formula>
    </cfRule>
  </conditionalFormatting>
  <conditionalFormatting sqref="AJ23:AP30">
    <cfRule type="cellIs" dxfId="1751" priority="750" operator="equal">
      <formula>0</formula>
    </cfRule>
  </conditionalFormatting>
  <conditionalFormatting sqref="AK15:AK20">
    <cfRule type="containsText" dxfId="1750" priority="986" operator="containsText" text="9ab">
      <formula>NOT(ISERROR(SEARCH("9ab",AK15)))</formula>
    </cfRule>
    <cfRule type="cellIs" dxfId="1749" priority="987" stopIfTrue="1" operator="equal">
      <formula>"leave"</formula>
    </cfRule>
    <cfRule type="containsText" dxfId="1748" priority="988" operator="containsText" text="ds">
      <formula>NOT(ISERROR(SEARCH("ds",AK15)))</formula>
    </cfRule>
    <cfRule type="containsText" dxfId="1747" priority="989" operator="containsText" text="subobs">
      <formula>NOT(ISERROR(SEARCH("subobs",AK15)))</formula>
    </cfRule>
    <cfRule type="containsText" dxfId="1746" priority="990" operator="containsText" text="Call">
      <formula>NOT(ISERROR(SEARCH("Call",AK15)))</formula>
    </cfRule>
    <cfRule type="containsText" dxfId="1744" priority="998" operator="containsText" text="9ab">
      <formula>NOT(ISERROR(SEARCH("9ab",AK15)))</formula>
    </cfRule>
    <cfRule type="cellIs" dxfId="1743" priority="999" stopIfTrue="1" operator="equal">
      <formula>"leave"</formula>
    </cfRule>
    <cfRule type="containsText" dxfId="1742" priority="1000" operator="containsText" text="ds">
      <formula>NOT(ISERROR(SEARCH("ds",AK15)))</formula>
    </cfRule>
    <cfRule type="containsText" dxfId="1741" priority="1001" operator="containsText" text="subobs">
      <formula>NOT(ISERROR(SEARCH("subobs",AK15)))</formula>
    </cfRule>
    <cfRule type="containsText" dxfId="1740" priority="1002" operator="containsText" text="Call">
      <formula>NOT(ISERROR(SEARCH("Call",AK15)))</formula>
    </cfRule>
  </conditionalFormatting>
  <conditionalFormatting sqref="AK15:AK21">
    <cfRule type="containsText" dxfId="1738" priority="992" operator="containsText" text="9ab">
      <formula>NOT(ISERROR(SEARCH("9ab",AK15)))</formula>
    </cfRule>
    <cfRule type="cellIs" dxfId="1737" priority="993" stopIfTrue="1" operator="equal">
      <formula>"leave"</formula>
    </cfRule>
    <cfRule type="containsText" dxfId="1736" priority="994" operator="containsText" text="ds">
      <formula>NOT(ISERROR(SEARCH("ds",AK15)))</formula>
    </cfRule>
    <cfRule type="containsText" dxfId="1735" priority="995" operator="containsText" text="subobs">
      <formula>NOT(ISERROR(SEARCH("subobs",AK15)))</formula>
    </cfRule>
    <cfRule type="containsText" dxfId="1734" priority="996" stopIfTrue="1" operator="containsText" text="(Call)">
      <formula>NOT(ISERROR(SEARCH("(Call)",AK15)))</formula>
    </cfRule>
    <cfRule type="containsText" dxfId="1732" priority="1005" operator="containsText" text="9ab">
      <formula>NOT(ISERROR(SEARCH("9ab",AK15)))</formula>
    </cfRule>
    <cfRule type="cellIs" dxfId="1731" priority="1006" stopIfTrue="1" operator="equal">
      <formula>"leave"</formula>
    </cfRule>
    <cfRule type="containsText" dxfId="1730" priority="1007" operator="containsText" text="ds">
      <formula>NOT(ISERROR(SEARCH("ds",AK15)))</formula>
    </cfRule>
    <cfRule type="containsText" dxfId="1729" priority="1008" operator="containsText" text="subobs">
      <formula>NOT(ISERROR(SEARCH("subobs",AK15)))</formula>
    </cfRule>
    <cfRule type="containsText" dxfId="1728" priority="1009" operator="containsText" text="Call">
      <formula>NOT(ISERROR(SEARCH("Call",AK15)))</formula>
    </cfRule>
  </conditionalFormatting>
  <conditionalFormatting sqref="AK23:AK28">
    <cfRule type="containsText" dxfId="1726" priority="732" operator="containsText" text="9ab">
      <formula>NOT(ISERROR(SEARCH("9ab",AK23)))</formula>
    </cfRule>
    <cfRule type="cellIs" dxfId="1725" priority="733" stopIfTrue="1" operator="equal">
      <formula>"leave"</formula>
    </cfRule>
    <cfRule type="containsText" dxfId="1724" priority="734" operator="containsText" text="ds">
      <formula>NOT(ISERROR(SEARCH("ds",AK23)))</formula>
    </cfRule>
    <cfRule type="containsText" dxfId="1723" priority="735" operator="containsText" text="subobs">
      <formula>NOT(ISERROR(SEARCH("subobs",AK23)))</formula>
    </cfRule>
    <cfRule type="containsText" dxfId="1722" priority="736" operator="containsText" text="Call">
      <formula>NOT(ISERROR(SEARCH("Call",AK23)))</formula>
    </cfRule>
    <cfRule type="containsText" dxfId="1720" priority="744" operator="containsText" text="9ab">
      <formula>NOT(ISERROR(SEARCH("9ab",AK23)))</formula>
    </cfRule>
    <cfRule type="cellIs" dxfId="1719" priority="745" stopIfTrue="1" operator="equal">
      <formula>"leave"</formula>
    </cfRule>
    <cfRule type="containsText" dxfId="1718" priority="746" operator="containsText" text="ds">
      <formula>NOT(ISERROR(SEARCH("ds",AK23)))</formula>
    </cfRule>
    <cfRule type="containsText" dxfId="1717" priority="747" operator="containsText" text="subobs">
      <formula>NOT(ISERROR(SEARCH("subobs",AK23)))</formula>
    </cfRule>
    <cfRule type="containsText" dxfId="1716" priority="748" operator="containsText" text="Call">
      <formula>NOT(ISERROR(SEARCH("Call",AK23)))</formula>
    </cfRule>
  </conditionalFormatting>
  <conditionalFormatting sqref="AK23:AK30">
    <cfRule type="containsText" dxfId="1714" priority="738" operator="containsText" text="9ab">
      <formula>NOT(ISERROR(SEARCH("9ab",AK23)))</formula>
    </cfRule>
    <cfRule type="cellIs" dxfId="1713" priority="739" stopIfTrue="1" operator="equal">
      <formula>"leave"</formula>
    </cfRule>
    <cfRule type="containsText" dxfId="1712" priority="740" operator="containsText" text="ds">
      <formula>NOT(ISERROR(SEARCH("ds",AK23)))</formula>
    </cfRule>
    <cfRule type="containsText" dxfId="1711" priority="741" operator="containsText" text="subobs">
      <formula>NOT(ISERROR(SEARCH("subobs",AK23)))</formula>
    </cfRule>
    <cfRule type="containsText" dxfId="1710" priority="742" stopIfTrue="1" operator="containsText" text="(Call)">
      <formula>NOT(ISERROR(SEARCH("(Call)",AK23)))</formula>
    </cfRule>
    <cfRule type="containsText" dxfId="1708" priority="751" operator="containsText" text="9ab">
      <formula>NOT(ISERROR(SEARCH("9ab",AK23)))</formula>
    </cfRule>
    <cfRule type="cellIs" dxfId="1707" priority="752" stopIfTrue="1" operator="equal">
      <formula>"leave"</formula>
    </cfRule>
    <cfRule type="containsText" dxfId="1706" priority="753" operator="containsText" text="ds">
      <formula>NOT(ISERROR(SEARCH("ds",AK23)))</formula>
    </cfRule>
    <cfRule type="containsText" dxfId="1705" priority="754" operator="containsText" text="subobs">
      <formula>NOT(ISERROR(SEARCH("subobs",AK23)))</formula>
    </cfRule>
    <cfRule type="containsText" dxfId="1704" priority="755" operator="containsText" text="Call">
      <formula>NOT(ISERROR(SEARCH("Call",AK23)))</formula>
    </cfRule>
  </conditionalFormatting>
  <conditionalFormatting sqref="AK32:AK37">
    <cfRule type="containsText" dxfId="1702" priority="237" operator="containsText" text="9ab">
      <formula>NOT(ISERROR(SEARCH("9ab",AK32)))</formula>
    </cfRule>
    <cfRule type="cellIs" dxfId="1701" priority="238" stopIfTrue="1" operator="equal">
      <formula>"leave"</formula>
    </cfRule>
    <cfRule type="containsText" dxfId="1700" priority="239" operator="containsText" text="ds">
      <formula>NOT(ISERROR(SEARCH("ds",AK32)))</formula>
    </cfRule>
    <cfRule type="containsText" dxfId="1699" priority="240" operator="containsText" text="subobs">
      <formula>NOT(ISERROR(SEARCH("subobs",AK32)))</formula>
    </cfRule>
    <cfRule type="containsText" dxfId="1698" priority="241" operator="containsText" text="Call">
      <formula>NOT(ISERROR(SEARCH("Call",AK32)))</formula>
    </cfRule>
    <cfRule type="containsText" dxfId="1696" priority="243" operator="containsText" text="9ab">
      <formula>NOT(ISERROR(SEARCH("9ab",AK32)))</formula>
    </cfRule>
    <cfRule type="cellIs" dxfId="1695" priority="244" stopIfTrue="1" operator="equal">
      <formula>"leave"</formula>
    </cfRule>
    <cfRule type="containsText" dxfId="1694" priority="245" operator="containsText" text="ds">
      <formula>NOT(ISERROR(SEARCH("ds",AK32)))</formula>
    </cfRule>
    <cfRule type="containsText" dxfId="1693" priority="246" operator="containsText" text="subobs">
      <formula>NOT(ISERROR(SEARCH("subobs",AK32)))</formula>
    </cfRule>
    <cfRule type="containsText" dxfId="1692" priority="247" stopIfTrue="1" operator="containsText" text="(Call)">
      <formula>NOT(ISERROR(SEARCH("(Call)",AK32)))</formula>
    </cfRule>
    <cfRule type="containsText" dxfId="1690" priority="249" operator="containsText" text="9ab">
      <formula>NOT(ISERROR(SEARCH("9ab",AK32)))</formula>
    </cfRule>
    <cfRule type="cellIs" dxfId="1689" priority="250" stopIfTrue="1" operator="equal">
      <formula>"leave"</formula>
    </cfRule>
    <cfRule type="containsText" dxfId="1688" priority="251" operator="containsText" text="ds">
      <formula>NOT(ISERROR(SEARCH("ds",AK32)))</formula>
    </cfRule>
    <cfRule type="containsText" dxfId="1687" priority="252" operator="containsText" text="subobs">
      <formula>NOT(ISERROR(SEARCH("subobs",AK32)))</formula>
    </cfRule>
    <cfRule type="containsText" dxfId="1686" priority="253" operator="containsText" text="Call">
      <formula>NOT(ISERROR(SEARCH("Call",AK32)))</formula>
    </cfRule>
    <cfRule type="containsText" dxfId="1684" priority="255" operator="containsText" text="9ab">
      <formula>NOT(ISERROR(SEARCH("9ab",AK32)))</formula>
    </cfRule>
    <cfRule type="cellIs" dxfId="1683" priority="256" stopIfTrue="1" operator="equal">
      <formula>"leave"</formula>
    </cfRule>
    <cfRule type="containsText" dxfId="1682" priority="257" operator="containsText" text="ds">
      <formula>NOT(ISERROR(SEARCH("ds",AK32)))</formula>
    </cfRule>
    <cfRule type="containsText" dxfId="1681" priority="258" operator="containsText" text="subobs">
      <formula>NOT(ISERROR(SEARCH("subobs",AK32)))</formula>
    </cfRule>
    <cfRule type="containsText" dxfId="1680" priority="259" operator="containsText" text="Call">
      <formula>NOT(ISERROR(SEARCH("Call",AK32)))</formula>
    </cfRule>
    <cfRule type="containsText" dxfId="1678" priority="261" operator="containsText" text="9ab">
      <formula>NOT(ISERROR(SEARCH("9ab",AK32)))</formula>
    </cfRule>
    <cfRule type="cellIs" dxfId="1677" priority="262" stopIfTrue="1" operator="equal">
      <formula>"leave"</formula>
    </cfRule>
    <cfRule type="containsText" dxfId="1676" priority="263" operator="containsText" text="ds">
      <formula>NOT(ISERROR(SEARCH("ds",AK32)))</formula>
    </cfRule>
    <cfRule type="containsText" dxfId="1675" priority="264" operator="containsText" text="subobs">
      <formula>NOT(ISERROR(SEARCH("subobs",AK32)))</formula>
    </cfRule>
    <cfRule type="containsText" dxfId="1674" priority="265" operator="containsText" text="Call">
      <formula>NOT(ISERROR(SEARCH("Call",AK32)))</formula>
    </cfRule>
    <cfRule type="containsText" dxfId="1672" priority="269" operator="containsText" text="9ab">
      <formula>NOT(ISERROR(SEARCH("9ab",AK32)))</formula>
    </cfRule>
    <cfRule type="cellIs" dxfId="1671" priority="270" stopIfTrue="1" operator="equal">
      <formula>"leave"</formula>
    </cfRule>
    <cfRule type="containsText" dxfId="1670" priority="271" operator="containsText" text="ds">
      <formula>NOT(ISERROR(SEARCH("ds",AK32)))</formula>
    </cfRule>
    <cfRule type="containsText" dxfId="1669" priority="272" operator="containsText" text="subobs">
      <formula>NOT(ISERROR(SEARCH("subobs",AK32)))</formula>
    </cfRule>
    <cfRule type="containsText" dxfId="1668" priority="273" operator="containsText" text="Call">
      <formula>NOT(ISERROR(SEARCH("Call",AK32)))</formula>
    </cfRule>
    <cfRule type="containsText" dxfId="1666" priority="276" operator="containsText" text="9ab">
      <formula>NOT(ISERROR(SEARCH("9ab",AK32)))</formula>
    </cfRule>
    <cfRule type="cellIs" dxfId="1665" priority="277" stopIfTrue="1" operator="equal">
      <formula>"leave"</formula>
    </cfRule>
    <cfRule type="containsText" dxfId="1664" priority="278" operator="containsText" text="ds">
      <formula>NOT(ISERROR(SEARCH("ds",AK32)))</formula>
    </cfRule>
    <cfRule type="containsText" dxfId="1663" priority="279" operator="containsText" text="subobs">
      <formula>NOT(ISERROR(SEARCH("subobs",AK32)))</formula>
    </cfRule>
    <cfRule type="containsText" dxfId="1662" priority="280" stopIfTrue="1" operator="containsText" text="(Call)">
      <formula>NOT(ISERROR(SEARCH("(Call)",AK32)))</formula>
    </cfRule>
  </conditionalFormatting>
  <conditionalFormatting sqref="AK31:AL37">
    <cfRule type="containsText" dxfId="1660" priority="267" operator="containsText" text="b1">
      <formula>NOT(ISERROR(SEARCH("b1",AK31)))</formula>
    </cfRule>
    <cfRule type="cellIs" dxfId="1659" priority="268" operator="equal">
      <formula>0</formula>
    </cfRule>
    <cfRule type="containsText" dxfId="1658" priority="275" stopIfTrue="1" operator="containsText" text="go">
      <formula>NOT(ISERROR(SEARCH("go",AK31)))</formula>
    </cfRule>
    <cfRule type="cellIs" dxfId="1657" priority="282" operator="equal">
      <formula>"ps_cover"</formula>
    </cfRule>
    <cfRule type="containsText" dxfId="1656" priority="283" stopIfTrue="1" operator="containsText" text="9ab">
      <formula>NOT(ISERROR(SEARCH("9ab",AK31)))</formula>
    </cfRule>
    <cfRule type="containsText" dxfId="1655" priority="284" stopIfTrue="1" operator="containsText" text="ds">
      <formula>NOT(ISERROR(SEARCH("ds",AK31)))</formula>
    </cfRule>
    <cfRule type="containsText" dxfId="1654" priority="285" stopIfTrue="1" operator="containsText" text="subobs">
      <formula>NOT(ISERROR(SEARCH("subobs",AK31)))</formula>
    </cfRule>
  </conditionalFormatting>
  <conditionalFormatting sqref="AK31:AP37">
    <cfRule type="containsText" dxfId="1653" priority="229" operator="containsText" text="(Call)">
      <formula>NOT(ISERROR(SEARCH("(Call)",AK31)))</formula>
    </cfRule>
  </conditionalFormatting>
  <conditionalFormatting sqref="AL15:AP20">
    <cfRule type="cellIs" dxfId="1652" priority="631" operator="equal">
      <formula>0</formula>
    </cfRule>
  </conditionalFormatting>
  <conditionalFormatting sqref="AM31:AP37">
    <cfRule type="containsText" dxfId="1651" priority="230" operator="containsText" text="b1">
      <formula>NOT(ISERROR(SEARCH("b1",AM31)))</formula>
    </cfRule>
    <cfRule type="cellIs" dxfId="1650" priority="231" operator="equal">
      <formula>0</formula>
    </cfRule>
    <cfRule type="containsText" dxfId="1649" priority="232" stopIfTrue="1" operator="containsText" text="go">
      <formula>NOT(ISERROR(SEARCH("go",AM31)))</formula>
    </cfRule>
    <cfRule type="cellIs" dxfId="1648" priority="233" operator="equal">
      <formula>"ps_cover"</formula>
    </cfRule>
    <cfRule type="containsText" dxfId="1647" priority="234" stopIfTrue="1" operator="containsText" text="9ab">
      <formula>NOT(ISERROR(SEARCH("9ab",AM31)))</formula>
    </cfRule>
    <cfRule type="containsText" dxfId="1646" priority="235" stopIfTrue="1" operator="containsText" text="ds">
      <formula>NOT(ISERROR(SEARCH("ds",AM31)))</formula>
    </cfRule>
    <cfRule type="containsText" dxfId="1645" priority="236" stopIfTrue="1" operator="containsText" text="subobs">
      <formula>NOT(ISERROR(SEARCH("subobs",AM31)))</formula>
    </cfRule>
  </conditionalFormatting>
  <conditionalFormatting sqref="AQ15:AW21">
    <cfRule type="cellIs" dxfId="1644" priority="979" operator="equal">
      <formula>0</formula>
    </cfRule>
  </conditionalFormatting>
  <conditionalFormatting sqref="AQ23:AW30">
    <cfRule type="cellIs" dxfId="1643" priority="725" operator="equal">
      <formula>0</formula>
    </cfRule>
  </conditionalFormatting>
  <conditionalFormatting sqref="AR15:AR20">
    <cfRule type="containsText" dxfId="1642" priority="961" operator="containsText" text="9ab">
      <formula>NOT(ISERROR(SEARCH("9ab",AR15)))</formula>
    </cfRule>
    <cfRule type="cellIs" dxfId="1641" priority="962" stopIfTrue="1" operator="equal">
      <formula>"leave"</formula>
    </cfRule>
    <cfRule type="containsText" dxfId="1640" priority="963" operator="containsText" text="ds">
      <formula>NOT(ISERROR(SEARCH("ds",AR15)))</formula>
    </cfRule>
    <cfRule type="containsText" dxfId="1639" priority="964" operator="containsText" text="subobs">
      <formula>NOT(ISERROR(SEARCH("subobs",AR15)))</formula>
    </cfRule>
    <cfRule type="containsText" dxfId="1638" priority="965" operator="containsText" text="Call">
      <formula>NOT(ISERROR(SEARCH("Call",AR15)))</formula>
    </cfRule>
    <cfRule type="containsText" dxfId="1636" priority="973" operator="containsText" text="9ab">
      <formula>NOT(ISERROR(SEARCH("9ab",AR15)))</formula>
    </cfRule>
    <cfRule type="cellIs" dxfId="1635" priority="974" stopIfTrue="1" operator="equal">
      <formula>"leave"</formula>
    </cfRule>
    <cfRule type="containsText" dxfId="1634" priority="975" operator="containsText" text="ds">
      <formula>NOT(ISERROR(SEARCH("ds",AR15)))</formula>
    </cfRule>
    <cfRule type="containsText" dxfId="1633" priority="976" operator="containsText" text="subobs">
      <formula>NOT(ISERROR(SEARCH("subobs",AR15)))</formula>
    </cfRule>
    <cfRule type="containsText" dxfId="1632" priority="977" operator="containsText" text="Call">
      <formula>NOT(ISERROR(SEARCH("Call",AR15)))</formula>
    </cfRule>
  </conditionalFormatting>
  <conditionalFormatting sqref="AR15:AR21">
    <cfRule type="containsText" dxfId="1630" priority="967" operator="containsText" text="9ab">
      <formula>NOT(ISERROR(SEARCH("9ab",AR15)))</formula>
    </cfRule>
    <cfRule type="cellIs" dxfId="1629" priority="968" stopIfTrue="1" operator="equal">
      <formula>"leave"</formula>
    </cfRule>
    <cfRule type="containsText" dxfId="1628" priority="969" operator="containsText" text="ds">
      <formula>NOT(ISERROR(SEARCH("ds",AR15)))</formula>
    </cfRule>
    <cfRule type="containsText" dxfId="1627" priority="970" operator="containsText" text="subobs">
      <formula>NOT(ISERROR(SEARCH("subobs",AR15)))</formula>
    </cfRule>
    <cfRule type="containsText" dxfId="1626" priority="971" stopIfTrue="1" operator="containsText" text="(Call)">
      <formula>NOT(ISERROR(SEARCH("(Call)",AR15)))</formula>
    </cfRule>
    <cfRule type="containsText" dxfId="1624" priority="980" operator="containsText" text="9ab">
      <formula>NOT(ISERROR(SEARCH("9ab",AR15)))</formula>
    </cfRule>
    <cfRule type="cellIs" dxfId="1623" priority="981" stopIfTrue="1" operator="equal">
      <formula>"leave"</formula>
    </cfRule>
    <cfRule type="containsText" dxfId="1622" priority="982" operator="containsText" text="ds">
      <formula>NOT(ISERROR(SEARCH("ds",AR15)))</formula>
    </cfRule>
    <cfRule type="containsText" dxfId="1621" priority="983" operator="containsText" text="subobs">
      <formula>NOT(ISERROR(SEARCH("subobs",AR15)))</formula>
    </cfRule>
    <cfRule type="containsText" dxfId="1620" priority="984" operator="containsText" text="Call">
      <formula>NOT(ISERROR(SEARCH("Call",AR15)))</formula>
    </cfRule>
  </conditionalFormatting>
  <conditionalFormatting sqref="AR23:AR28">
    <cfRule type="containsText" dxfId="1618" priority="707" operator="containsText" text="9ab">
      <formula>NOT(ISERROR(SEARCH("9ab",AR23)))</formula>
    </cfRule>
    <cfRule type="cellIs" dxfId="1617" priority="708" stopIfTrue="1" operator="equal">
      <formula>"leave"</formula>
    </cfRule>
    <cfRule type="containsText" dxfId="1616" priority="709" operator="containsText" text="ds">
      <formula>NOT(ISERROR(SEARCH("ds",AR23)))</formula>
    </cfRule>
    <cfRule type="containsText" dxfId="1615" priority="710" operator="containsText" text="subobs">
      <formula>NOT(ISERROR(SEARCH("subobs",AR23)))</formula>
    </cfRule>
    <cfRule type="containsText" dxfId="1614" priority="711" operator="containsText" text="Call">
      <formula>NOT(ISERROR(SEARCH("Call",AR23)))</formula>
    </cfRule>
    <cfRule type="containsText" dxfId="1612" priority="719" operator="containsText" text="9ab">
      <formula>NOT(ISERROR(SEARCH("9ab",AR23)))</formula>
    </cfRule>
    <cfRule type="cellIs" dxfId="1611" priority="720" stopIfTrue="1" operator="equal">
      <formula>"leave"</formula>
    </cfRule>
    <cfRule type="containsText" dxfId="1610" priority="721" operator="containsText" text="ds">
      <formula>NOT(ISERROR(SEARCH("ds",AR23)))</formula>
    </cfRule>
    <cfRule type="containsText" dxfId="1609" priority="722" operator="containsText" text="subobs">
      <formula>NOT(ISERROR(SEARCH("subobs",AR23)))</formula>
    </cfRule>
    <cfRule type="containsText" dxfId="1608" priority="723" operator="containsText" text="Call">
      <formula>NOT(ISERROR(SEARCH("Call",AR23)))</formula>
    </cfRule>
  </conditionalFormatting>
  <conditionalFormatting sqref="AR23:AR30">
    <cfRule type="containsText" dxfId="1606" priority="713" operator="containsText" text="9ab">
      <formula>NOT(ISERROR(SEARCH("9ab",AR23)))</formula>
    </cfRule>
    <cfRule type="cellIs" dxfId="1605" priority="714" stopIfTrue="1" operator="equal">
      <formula>"leave"</formula>
    </cfRule>
    <cfRule type="containsText" dxfId="1604" priority="715" operator="containsText" text="ds">
      <formula>NOT(ISERROR(SEARCH("ds",AR23)))</formula>
    </cfRule>
    <cfRule type="containsText" dxfId="1603" priority="716" operator="containsText" text="subobs">
      <formula>NOT(ISERROR(SEARCH("subobs",AR23)))</formula>
    </cfRule>
    <cfRule type="containsText" dxfId="1602" priority="717" stopIfTrue="1" operator="containsText" text="(Call)">
      <formula>NOT(ISERROR(SEARCH("(Call)",AR23)))</formula>
    </cfRule>
    <cfRule type="containsText" dxfId="1600" priority="726" operator="containsText" text="9ab">
      <formula>NOT(ISERROR(SEARCH("9ab",AR23)))</formula>
    </cfRule>
    <cfRule type="cellIs" dxfId="1599" priority="727" stopIfTrue="1" operator="equal">
      <formula>"leave"</formula>
    </cfRule>
    <cfRule type="containsText" dxfId="1598" priority="728" operator="containsText" text="ds">
      <formula>NOT(ISERROR(SEARCH("ds",AR23)))</formula>
    </cfRule>
    <cfRule type="containsText" dxfId="1597" priority="729" operator="containsText" text="subobs">
      <formula>NOT(ISERROR(SEARCH("subobs",AR23)))</formula>
    </cfRule>
    <cfRule type="containsText" dxfId="1596" priority="730" operator="containsText" text="Call">
      <formula>NOT(ISERROR(SEARCH("Call",AR23)))</formula>
    </cfRule>
  </conditionalFormatting>
  <conditionalFormatting sqref="AR32:AR37">
    <cfRule type="containsText" dxfId="1594" priority="180" operator="containsText" text="9ab">
      <formula>NOT(ISERROR(SEARCH("9ab",AR32)))</formula>
    </cfRule>
    <cfRule type="cellIs" dxfId="1593" priority="181" stopIfTrue="1" operator="equal">
      <formula>"leave"</formula>
    </cfRule>
    <cfRule type="containsText" dxfId="1592" priority="182" operator="containsText" text="ds">
      <formula>NOT(ISERROR(SEARCH("ds",AR32)))</formula>
    </cfRule>
    <cfRule type="containsText" dxfId="1591" priority="183" operator="containsText" text="subobs">
      <formula>NOT(ISERROR(SEARCH("subobs",AR32)))</formula>
    </cfRule>
    <cfRule type="containsText" dxfId="1590" priority="184" operator="containsText" text="Call">
      <formula>NOT(ISERROR(SEARCH("Call",AR32)))</formula>
    </cfRule>
    <cfRule type="containsText" dxfId="1588" priority="186" operator="containsText" text="9ab">
      <formula>NOT(ISERROR(SEARCH("9ab",AR32)))</formula>
    </cfRule>
    <cfRule type="cellIs" dxfId="1587" priority="187" stopIfTrue="1" operator="equal">
      <formula>"leave"</formula>
    </cfRule>
    <cfRule type="containsText" dxfId="1586" priority="188" operator="containsText" text="ds">
      <formula>NOT(ISERROR(SEARCH("ds",AR32)))</formula>
    </cfRule>
    <cfRule type="containsText" dxfId="1585" priority="189" operator="containsText" text="subobs">
      <formula>NOT(ISERROR(SEARCH("subobs",AR32)))</formula>
    </cfRule>
    <cfRule type="containsText" dxfId="1584" priority="190" stopIfTrue="1" operator="containsText" text="(Call)">
      <formula>NOT(ISERROR(SEARCH("(Call)",AR32)))</formula>
    </cfRule>
    <cfRule type="containsText" dxfId="1582" priority="192" operator="containsText" text="9ab">
      <formula>NOT(ISERROR(SEARCH("9ab",AR32)))</formula>
    </cfRule>
    <cfRule type="cellIs" dxfId="1581" priority="193" stopIfTrue="1" operator="equal">
      <formula>"leave"</formula>
    </cfRule>
    <cfRule type="containsText" dxfId="1580" priority="194" operator="containsText" text="ds">
      <formula>NOT(ISERROR(SEARCH("ds",AR32)))</formula>
    </cfRule>
    <cfRule type="containsText" dxfId="1579" priority="195" operator="containsText" text="subobs">
      <formula>NOT(ISERROR(SEARCH("subobs",AR32)))</formula>
    </cfRule>
    <cfRule type="containsText" dxfId="1578" priority="196" operator="containsText" text="Call">
      <formula>NOT(ISERROR(SEARCH("Call",AR32)))</formula>
    </cfRule>
    <cfRule type="containsText" dxfId="1576" priority="198" operator="containsText" text="9ab">
      <formula>NOT(ISERROR(SEARCH("9ab",AR32)))</formula>
    </cfRule>
    <cfRule type="cellIs" dxfId="1575" priority="199" stopIfTrue="1" operator="equal">
      <formula>"leave"</formula>
    </cfRule>
    <cfRule type="containsText" dxfId="1574" priority="200" operator="containsText" text="ds">
      <formula>NOT(ISERROR(SEARCH("ds",AR32)))</formula>
    </cfRule>
    <cfRule type="containsText" dxfId="1573" priority="201" operator="containsText" text="subobs">
      <formula>NOT(ISERROR(SEARCH("subobs",AR32)))</formula>
    </cfRule>
    <cfRule type="containsText" dxfId="1572" priority="202" operator="containsText" text="Call">
      <formula>NOT(ISERROR(SEARCH("Call",AR32)))</formula>
    </cfRule>
    <cfRule type="containsText" dxfId="1570" priority="204" operator="containsText" text="9ab">
      <formula>NOT(ISERROR(SEARCH("9ab",AR32)))</formula>
    </cfRule>
    <cfRule type="cellIs" dxfId="1569" priority="205" stopIfTrue="1" operator="equal">
      <formula>"leave"</formula>
    </cfRule>
    <cfRule type="containsText" dxfId="1568" priority="206" operator="containsText" text="ds">
      <formula>NOT(ISERROR(SEARCH("ds",AR32)))</formula>
    </cfRule>
    <cfRule type="containsText" dxfId="1567" priority="207" operator="containsText" text="subobs">
      <formula>NOT(ISERROR(SEARCH("subobs",AR32)))</formula>
    </cfRule>
    <cfRule type="containsText" dxfId="1566" priority="208" operator="containsText" text="Call">
      <formula>NOT(ISERROR(SEARCH("Call",AR32)))</formula>
    </cfRule>
    <cfRule type="containsText" dxfId="1564" priority="212" operator="containsText" text="9ab">
      <formula>NOT(ISERROR(SEARCH("9ab",AR32)))</formula>
    </cfRule>
    <cfRule type="cellIs" dxfId="1563" priority="213" stopIfTrue="1" operator="equal">
      <formula>"leave"</formula>
    </cfRule>
    <cfRule type="containsText" dxfId="1562" priority="214" operator="containsText" text="ds">
      <formula>NOT(ISERROR(SEARCH("ds",AR32)))</formula>
    </cfRule>
    <cfRule type="containsText" dxfId="1561" priority="215" operator="containsText" text="subobs">
      <formula>NOT(ISERROR(SEARCH("subobs",AR32)))</formula>
    </cfRule>
    <cfRule type="containsText" dxfId="1560" priority="216" operator="containsText" text="Call">
      <formula>NOT(ISERROR(SEARCH("Call",AR32)))</formula>
    </cfRule>
    <cfRule type="containsText" dxfId="1558" priority="219" operator="containsText" text="9ab">
      <formula>NOT(ISERROR(SEARCH("9ab",AR32)))</formula>
    </cfRule>
    <cfRule type="cellIs" dxfId="1557" priority="220" stopIfTrue="1" operator="equal">
      <formula>"leave"</formula>
    </cfRule>
    <cfRule type="containsText" dxfId="1556" priority="221" operator="containsText" text="ds">
      <formula>NOT(ISERROR(SEARCH("ds",AR32)))</formula>
    </cfRule>
    <cfRule type="containsText" dxfId="1555" priority="222" operator="containsText" text="subobs">
      <formula>NOT(ISERROR(SEARCH("subobs",AR32)))</formula>
    </cfRule>
    <cfRule type="containsText" dxfId="1554" priority="223" stopIfTrue="1" operator="containsText" text="(Call)">
      <formula>NOT(ISERROR(SEARCH("(Call)",AR32)))</formula>
    </cfRule>
  </conditionalFormatting>
  <conditionalFormatting sqref="AR31:AS37">
    <cfRule type="containsText" dxfId="1552" priority="210" operator="containsText" text="b1">
      <formula>NOT(ISERROR(SEARCH("b1",AR31)))</formula>
    </cfRule>
    <cfRule type="cellIs" dxfId="1551" priority="211" operator="equal">
      <formula>0</formula>
    </cfRule>
    <cfRule type="containsText" dxfId="1550" priority="218" stopIfTrue="1" operator="containsText" text="go">
      <formula>NOT(ISERROR(SEARCH("go",AR31)))</formula>
    </cfRule>
    <cfRule type="cellIs" dxfId="1549" priority="225" operator="equal">
      <formula>"ps_cover"</formula>
    </cfRule>
    <cfRule type="containsText" dxfId="1548" priority="226" stopIfTrue="1" operator="containsText" text="9ab">
      <formula>NOT(ISERROR(SEARCH("9ab",AR31)))</formula>
    </cfRule>
    <cfRule type="containsText" dxfId="1547" priority="227" stopIfTrue="1" operator="containsText" text="ds">
      <formula>NOT(ISERROR(SEARCH("ds",AR31)))</formula>
    </cfRule>
    <cfRule type="containsText" dxfId="1546" priority="228" stopIfTrue="1" operator="containsText" text="subobs">
      <formula>NOT(ISERROR(SEARCH("subobs",AR31)))</formula>
    </cfRule>
  </conditionalFormatting>
  <conditionalFormatting sqref="AR31:AW37">
    <cfRule type="containsText" dxfId="1545" priority="172" operator="containsText" text="(Call)">
      <formula>NOT(ISERROR(SEARCH("(Call)",AR31)))</formula>
    </cfRule>
  </conditionalFormatting>
  <conditionalFormatting sqref="AS15:AW20">
    <cfRule type="cellIs" dxfId="1544" priority="630" operator="equal">
      <formula>0</formula>
    </cfRule>
  </conditionalFormatting>
  <conditionalFormatting sqref="AT31:AW37">
    <cfRule type="containsText" dxfId="1543" priority="173" operator="containsText" text="b1">
      <formula>NOT(ISERROR(SEARCH("b1",AT31)))</formula>
    </cfRule>
    <cfRule type="cellIs" dxfId="1542" priority="174" operator="equal">
      <formula>0</formula>
    </cfRule>
    <cfRule type="containsText" dxfId="1541" priority="175" stopIfTrue="1" operator="containsText" text="go">
      <formula>NOT(ISERROR(SEARCH("go",AT31)))</formula>
    </cfRule>
    <cfRule type="cellIs" dxfId="1540" priority="176" operator="equal">
      <formula>"ps_cover"</formula>
    </cfRule>
    <cfRule type="containsText" dxfId="1539" priority="177" stopIfTrue="1" operator="containsText" text="9ab">
      <formula>NOT(ISERROR(SEARCH("9ab",AT31)))</formula>
    </cfRule>
    <cfRule type="containsText" dxfId="1538" priority="178" stopIfTrue="1" operator="containsText" text="ds">
      <formula>NOT(ISERROR(SEARCH("ds",AT31)))</formula>
    </cfRule>
    <cfRule type="containsText" dxfId="1537" priority="179" stopIfTrue="1" operator="containsText" text="subobs">
      <formula>NOT(ISERROR(SEARCH("subobs",AT31)))</formula>
    </cfRule>
  </conditionalFormatting>
  <conditionalFormatting sqref="AX15:BD21">
    <cfRule type="cellIs" dxfId="1536" priority="954" operator="equal">
      <formula>0</formula>
    </cfRule>
  </conditionalFormatting>
  <conditionalFormatting sqref="AX23:BD30">
    <cfRule type="cellIs" dxfId="1535" priority="700" operator="equal">
      <formula>0</formula>
    </cfRule>
  </conditionalFormatting>
  <conditionalFormatting sqref="AY15:AY20">
    <cfRule type="containsText" dxfId="1534" priority="936" operator="containsText" text="9ab">
      <formula>NOT(ISERROR(SEARCH("9ab",AY15)))</formula>
    </cfRule>
    <cfRule type="cellIs" dxfId="1533" priority="937" stopIfTrue="1" operator="equal">
      <formula>"leave"</formula>
    </cfRule>
    <cfRule type="containsText" dxfId="1532" priority="938" operator="containsText" text="ds">
      <formula>NOT(ISERROR(SEARCH("ds",AY15)))</formula>
    </cfRule>
    <cfRule type="containsText" dxfId="1531" priority="939" operator="containsText" text="subobs">
      <formula>NOT(ISERROR(SEARCH("subobs",AY15)))</formula>
    </cfRule>
    <cfRule type="containsText" dxfId="1530" priority="940" operator="containsText" text="Call">
      <formula>NOT(ISERROR(SEARCH("Call",AY15)))</formula>
    </cfRule>
    <cfRule type="containsText" dxfId="1528" priority="948" operator="containsText" text="9ab">
      <formula>NOT(ISERROR(SEARCH("9ab",AY15)))</formula>
    </cfRule>
    <cfRule type="cellIs" dxfId="1527" priority="949" stopIfTrue="1" operator="equal">
      <formula>"leave"</formula>
    </cfRule>
    <cfRule type="containsText" dxfId="1526" priority="950" operator="containsText" text="ds">
      <formula>NOT(ISERROR(SEARCH("ds",AY15)))</formula>
    </cfRule>
    <cfRule type="containsText" dxfId="1525" priority="951" operator="containsText" text="subobs">
      <formula>NOT(ISERROR(SEARCH("subobs",AY15)))</formula>
    </cfRule>
    <cfRule type="containsText" dxfId="1524" priority="952" operator="containsText" text="Call">
      <formula>NOT(ISERROR(SEARCH("Call",AY15)))</formula>
    </cfRule>
  </conditionalFormatting>
  <conditionalFormatting sqref="AY15:AY21">
    <cfRule type="containsText" dxfId="1522" priority="942" operator="containsText" text="9ab">
      <formula>NOT(ISERROR(SEARCH("9ab",AY15)))</formula>
    </cfRule>
    <cfRule type="cellIs" dxfId="1521" priority="943" stopIfTrue="1" operator="equal">
      <formula>"leave"</formula>
    </cfRule>
    <cfRule type="containsText" dxfId="1520" priority="944" operator="containsText" text="ds">
      <formula>NOT(ISERROR(SEARCH("ds",AY15)))</formula>
    </cfRule>
    <cfRule type="containsText" dxfId="1519" priority="945" operator="containsText" text="subobs">
      <formula>NOT(ISERROR(SEARCH("subobs",AY15)))</formula>
    </cfRule>
    <cfRule type="containsText" dxfId="1518" priority="946" stopIfTrue="1" operator="containsText" text="(Call)">
      <formula>NOT(ISERROR(SEARCH("(Call)",AY15)))</formula>
    </cfRule>
    <cfRule type="containsText" dxfId="1516" priority="955" operator="containsText" text="9ab">
      <formula>NOT(ISERROR(SEARCH("9ab",AY15)))</formula>
    </cfRule>
    <cfRule type="cellIs" dxfId="1515" priority="956" stopIfTrue="1" operator="equal">
      <formula>"leave"</formula>
    </cfRule>
    <cfRule type="containsText" dxfId="1514" priority="957" operator="containsText" text="ds">
      <formula>NOT(ISERROR(SEARCH("ds",AY15)))</formula>
    </cfRule>
    <cfRule type="containsText" dxfId="1513" priority="958" operator="containsText" text="subobs">
      <formula>NOT(ISERROR(SEARCH("subobs",AY15)))</formula>
    </cfRule>
    <cfRule type="containsText" dxfId="1512" priority="959" operator="containsText" text="Call">
      <formula>NOT(ISERROR(SEARCH("Call",AY15)))</formula>
    </cfRule>
  </conditionalFormatting>
  <conditionalFormatting sqref="AY23:AY28">
    <cfRule type="containsText" dxfId="1510" priority="682" operator="containsText" text="9ab">
      <formula>NOT(ISERROR(SEARCH("9ab",AY23)))</formula>
    </cfRule>
    <cfRule type="cellIs" dxfId="1509" priority="683" stopIfTrue="1" operator="equal">
      <formula>"leave"</formula>
    </cfRule>
    <cfRule type="containsText" dxfId="1508" priority="684" operator="containsText" text="ds">
      <formula>NOT(ISERROR(SEARCH("ds",AY23)))</formula>
    </cfRule>
    <cfRule type="containsText" dxfId="1507" priority="685" operator="containsText" text="subobs">
      <formula>NOT(ISERROR(SEARCH("subobs",AY23)))</formula>
    </cfRule>
    <cfRule type="containsText" dxfId="1506" priority="686" operator="containsText" text="Call">
      <formula>NOT(ISERROR(SEARCH("Call",AY23)))</formula>
    </cfRule>
    <cfRule type="containsText" dxfId="1504" priority="694" operator="containsText" text="9ab">
      <formula>NOT(ISERROR(SEARCH("9ab",AY23)))</formula>
    </cfRule>
    <cfRule type="cellIs" dxfId="1503" priority="695" stopIfTrue="1" operator="equal">
      <formula>"leave"</formula>
    </cfRule>
    <cfRule type="containsText" dxfId="1502" priority="696" operator="containsText" text="ds">
      <formula>NOT(ISERROR(SEARCH("ds",AY23)))</formula>
    </cfRule>
    <cfRule type="containsText" dxfId="1501" priority="697" operator="containsText" text="subobs">
      <formula>NOT(ISERROR(SEARCH("subobs",AY23)))</formula>
    </cfRule>
    <cfRule type="containsText" dxfId="1500" priority="698" operator="containsText" text="Call">
      <formula>NOT(ISERROR(SEARCH("Call",AY23)))</formula>
    </cfRule>
  </conditionalFormatting>
  <conditionalFormatting sqref="AY23:AY30">
    <cfRule type="containsText" dxfId="1498" priority="688" operator="containsText" text="9ab">
      <formula>NOT(ISERROR(SEARCH("9ab",AY23)))</formula>
    </cfRule>
    <cfRule type="cellIs" dxfId="1497" priority="689" stopIfTrue="1" operator="equal">
      <formula>"leave"</formula>
    </cfRule>
    <cfRule type="containsText" dxfId="1496" priority="690" operator="containsText" text="ds">
      <formula>NOT(ISERROR(SEARCH("ds",AY23)))</formula>
    </cfRule>
    <cfRule type="containsText" dxfId="1495" priority="691" operator="containsText" text="subobs">
      <formula>NOT(ISERROR(SEARCH("subobs",AY23)))</formula>
    </cfRule>
    <cfRule type="containsText" dxfId="1494" priority="692" stopIfTrue="1" operator="containsText" text="(Call)">
      <formula>NOT(ISERROR(SEARCH("(Call)",AY23)))</formula>
    </cfRule>
    <cfRule type="containsText" dxfId="1492" priority="701" operator="containsText" text="9ab">
      <formula>NOT(ISERROR(SEARCH("9ab",AY23)))</formula>
    </cfRule>
    <cfRule type="cellIs" dxfId="1491" priority="702" stopIfTrue="1" operator="equal">
      <formula>"leave"</formula>
    </cfRule>
    <cfRule type="containsText" dxfId="1490" priority="703" operator="containsText" text="ds">
      <formula>NOT(ISERROR(SEARCH("ds",AY23)))</formula>
    </cfRule>
    <cfRule type="containsText" dxfId="1489" priority="704" operator="containsText" text="subobs">
      <formula>NOT(ISERROR(SEARCH("subobs",AY23)))</formula>
    </cfRule>
    <cfRule type="containsText" dxfId="1488" priority="705" operator="containsText" text="Call">
      <formula>NOT(ISERROR(SEARCH("Call",AY23)))</formula>
    </cfRule>
  </conditionalFormatting>
  <conditionalFormatting sqref="AY32:AY37">
    <cfRule type="containsText" dxfId="1486" priority="123" operator="containsText" text="9ab">
      <formula>NOT(ISERROR(SEARCH("9ab",AY32)))</formula>
    </cfRule>
    <cfRule type="cellIs" dxfId="1485" priority="124" stopIfTrue="1" operator="equal">
      <formula>"leave"</formula>
    </cfRule>
    <cfRule type="containsText" dxfId="1484" priority="125" operator="containsText" text="ds">
      <formula>NOT(ISERROR(SEARCH("ds",AY32)))</formula>
    </cfRule>
    <cfRule type="containsText" dxfId="1483" priority="126" operator="containsText" text="subobs">
      <formula>NOT(ISERROR(SEARCH("subobs",AY32)))</formula>
    </cfRule>
    <cfRule type="containsText" dxfId="1482" priority="127" operator="containsText" text="Call">
      <formula>NOT(ISERROR(SEARCH("Call",AY32)))</formula>
    </cfRule>
    <cfRule type="containsText" dxfId="1480" priority="129" operator="containsText" text="9ab">
      <formula>NOT(ISERROR(SEARCH("9ab",AY32)))</formula>
    </cfRule>
    <cfRule type="cellIs" dxfId="1479" priority="130" stopIfTrue="1" operator="equal">
      <formula>"leave"</formula>
    </cfRule>
    <cfRule type="containsText" dxfId="1478" priority="131" operator="containsText" text="ds">
      <formula>NOT(ISERROR(SEARCH("ds",AY32)))</formula>
    </cfRule>
    <cfRule type="containsText" dxfId="1477" priority="132" operator="containsText" text="subobs">
      <formula>NOT(ISERROR(SEARCH("subobs",AY32)))</formula>
    </cfRule>
    <cfRule type="containsText" dxfId="1476" priority="133" stopIfTrue="1" operator="containsText" text="(Call)">
      <formula>NOT(ISERROR(SEARCH("(Call)",AY32)))</formula>
    </cfRule>
    <cfRule type="containsText" dxfId="1474" priority="135" operator="containsText" text="9ab">
      <formula>NOT(ISERROR(SEARCH("9ab",AY32)))</formula>
    </cfRule>
    <cfRule type="cellIs" dxfId="1473" priority="136" stopIfTrue="1" operator="equal">
      <formula>"leave"</formula>
    </cfRule>
    <cfRule type="containsText" dxfId="1472" priority="137" operator="containsText" text="ds">
      <formula>NOT(ISERROR(SEARCH("ds",AY32)))</formula>
    </cfRule>
    <cfRule type="containsText" dxfId="1471" priority="138" operator="containsText" text="subobs">
      <formula>NOT(ISERROR(SEARCH("subobs",AY32)))</formula>
    </cfRule>
    <cfRule type="containsText" dxfId="1470" priority="139" operator="containsText" text="Call">
      <formula>NOT(ISERROR(SEARCH("Call",AY32)))</formula>
    </cfRule>
    <cfRule type="containsText" dxfId="1468" priority="141" operator="containsText" text="9ab">
      <formula>NOT(ISERROR(SEARCH("9ab",AY32)))</formula>
    </cfRule>
    <cfRule type="cellIs" dxfId="1467" priority="142" stopIfTrue="1" operator="equal">
      <formula>"leave"</formula>
    </cfRule>
    <cfRule type="containsText" dxfId="1466" priority="143" operator="containsText" text="ds">
      <formula>NOT(ISERROR(SEARCH("ds",AY32)))</formula>
    </cfRule>
    <cfRule type="containsText" dxfId="1465" priority="144" operator="containsText" text="subobs">
      <formula>NOT(ISERROR(SEARCH("subobs",AY32)))</formula>
    </cfRule>
    <cfRule type="containsText" dxfId="1464" priority="145" operator="containsText" text="Call">
      <formula>NOT(ISERROR(SEARCH("Call",AY32)))</formula>
    </cfRule>
    <cfRule type="containsText" dxfId="1462" priority="147" operator="containsText" text="9ab">
      <formula>NOT(ISERROR(SEARCH("9ab",AY32)))</formula>
    </cfRule>
    <cfRule type="cellIs" dxfId="1461" priority="148" stopIfTrue="1" operator="equal">
      <formula>"leave"</formula>
    </cfRule>
    <cfRule type="containsText" dxfId="1460" priority="149" operator="containsText" text="ds">
      <formula>NOT(ISERROR(SEARCH("ds",AY32)))</formula>
    </cfRule>
    <cfRule type="containsText" dxfId="1459" priority="150" operator="containsText" text="subobs">
      <formula>NOT(ISERROR(SEARCH("subobs",AY32)))</formula>
    </cfRule>
    <cfRule type="containsText" dxfId="1458" priority="151" operator="containsText" text="Call">
      <formula>NOT(ISERROR(SEARCH("Call",AY32)))</formula>
    </cfRule>
    <cfRule type="containsText" dxfId="1456" priority="155" operator="containsText" text="9ab">
      <formula>NOT(ISERROR(SEARCH("9ab",AY32)))</formula>
    </cfRule>
    <cfRule type="cellIs" dxfId="1455" priority="156" stopIfTrue="1" operator="equal">
      <formula>"leave"</formula>
    </cfRule>
    <cfRule type="containsText" dxfId="1454" priority="157" operator="containsText" text="ds">
      <formula>NOT(ISERROR(SEARCH("ds",AY32)))</formula>
    </cfRule>
    <cfRule type="containsText" dxfId="1453" priority="158" operator="containsText" text="subobs">
      <formula>NOT(ISERROR(SEARCH("subobs",AY32)))</formula>
    </cfRule>
    <cfRule type="containsText" dxfId="1452" priority="159" operator="containsText" text="Call">
      <formula>NOT(ISERROR(SEARCH("Call",AY32)))</formula>
    </cfRule>
    <cfRule type="containsText" dxfId="1450" priority="162" operator="containsText" text="9ab">
      <formula>NOT(ISERROR(SEARCH("9ab",AY32)))</formula>
    </cfRule>
    <cfRule type="cellIs" dxfId="1449" priority="163" stopIfTrue="1" operator="equal">
      <formula>"leave"</formula>
    </cfRule>
    <cfRule type="containsText" dxfId="1448" priority="164" operator="containsText" text="ds">
      <formula>NOT(ISERROR(SEARCH("ds",AY32)))</formula>
    </cfRule>
    <cfRule type="containsText" dxfId="1447" priority="165" operator="containsText" text="subobs">
      <formula>NOT(ISERROR(SEARCH("subobs",AY32)))</formula>
    </cfRule>
    <cfRule type="containsText" dxfId="1446" priority="166" stopIfTrue="1" operator="containsText" text="(Call)">
      <formula>NOT(ISERROR(SEARCH("(Call)",AY32)))</formula>
    </cfRule>
  </conditionalFormatting>
  <conditionalFormatting sqref="AY31:AZ37">
    <cfRule type="containsText" dxfId="1444" priority="153" operator="containsText" text="b1">
      <formula>NOT(ISERROR(SEARCH("b1",AY31)))</formula>
    </cfRule>
    <cfRule type="cellIs" dxfId="1443" priority="154" operator="equal">
      <formula>0</formula>
    </cfRule>
    <cfRule type="containsText" dxfId="1442" priority="161" stopIfTrue="1" operator="containsText" text="go">
      <formula>NOT(ISERROR(SEARCH("go",AY31)))</formula>
    </cfRule>
    <cfRule type="cellIs" dxfId="1441" priority="168" operator="equal">
      <formula>"ps_cover"</formula>
    </cfRule>
    <cfRule type="containsText" dxfId="1440" priority="169" stopIfTrue="1" operator="containsText" text="9ab">
      <formula>NOT(ISERROR(SEARCH("9ab",AY31)))</formula>
    </cfRule>
    <cfRule type="containsText" dxfId="1439" priority="170" stopIfTrue="1" operator="containsText" text="ds">
      <formula>NOT(ISERROR(SEARCH("ds",AY31)))</formula>
    </cfRule>
    <cfRule type="containsText" dxfId="1438" priority="171" stopIfTrue="1" operator="containsText" text="subobs">
      <formula>NOT(ISERROR(SEARCH("subobs",AY31)))</formula>
    </cfRule>
  </conditionalFormatting>
  <conditionalFormatting sqref="AY31:BD37">
    <cfRule type="containsText" dxfId="1437" priority="115" operator="containsText" text="(Call)">
      <formula>NOT(ISERROR(SEARCH("(Call)",AY31)))</formula>
    </cfRule>
  </conditionalFormatting>
  <conditionalFormatting sqref="AZ15:BD20">
    <cfRule type="cellIs" dxfId="1436" priority="629" operator="equal">
      <formula>0</formula>
    </cfRule>
  </conditionalFormatting>
  <conditionalFormatting sqref="BA31:BD37">
    <cfRule type="containsText" dxfId="1435" priority="116" operator="containsText" text="b1">
      <formula>NOT(ISERROR(SEARCH("b1",BA31)))</formula>
    </cfRule>
    <cfRule type="cellIs" dxfId="1434" priority="117" operator="equal">
      <formula>0</formula>
    </cfRule>
    <cfRule type="containsText" dxfId="1433" priority="118" stopIfTrue="1" operator="containsText" text="go">
      <formula>NOT(ISERROR(SEARCH("go",BA31)))</formula>
    </cfRule>
    <cfRule type="cellIs" dxfId="1432" priority="119" operator="equal">
      <formula>"ps_cover"</formula>
    </cfRule>
    <cfRule type="containsText" dxfId="1431" priority="120" stopIfTrue="1" operator="containsText" text="9ab">
      <formula>NOT(ISERROR(SEARCH("9ab",BA31)))</formula>
    </cfRule>
    <cfRule type="containsText" dxfId="1430" priority="121" stopIfTrue="1" operator="containsText" text="ds">
      <formula>NOT(ISERROR(SEARCH("ds",BA31)))</formula>
    </cfRule>
    <cfRule type="containsText" dxfId="1429" priority="122" stopIfTrue="1" operator="containsText" text="subobs">
      <formula>NOT(ISERROR(SEARCH("subobs",BA31)))</formula>
    </cfRule>
  </conditionalFormatting>
  <conditionalFormatting sqref="BE15:BK21">
    <cfRule type="cellIs" dxfId="1428" priority="929" operator="equal">
      <formula>0</formula>
    </cfRule>
  </conditionalFormatting>
  <conditionalFormatting sqref="BE23:BK30">
    <cfRule type="cellIs" dxfId="1427" priority="675" operator="equal">
      <formula>0</formula>
    </cfRule>
  </conditionalFormatting>
  <conditionalFormatting sqref="BF15:BF20">
    <cfRule type="containsText" dxfId="1426" priority="911" operator="containsText" text="9ab">
      <formula>NOT(ISERROR(SEARCH("9ab",BF15)))</formula>
    </cfRule>
    <cfRule type="cellIs" dxfId="1425" priority="912" stopIfTrue="1" operator="equal">
      <formula>"leave"</formula>
    </cfRule>
    <cfRule type="containsText" dxfId="1424" priority="913" operator="containsText" text="ds">
      <formula>NOT(ISERROR(SEARCH("ds",BF15)))</formula>
    </cfRule>
    <cfRule type="containsText" dxfId="1423" priority="914" operator="containsText" text="subobs">
      <formula>NOT(ISERROR(SEARCH("subobs",BF15)))</formula>
    </cfRule>
    <cfRule type="containsText" dxfId="1422" priority="915" operator="containsText" text="Call">
      <formula>NOT(ISERROR(SEARCH("Call",BF15)))</formula>
    </cfRule>
    <cfRule type="containsText" dxfId="1420" priority="923" operator="containsText" text="9ab">
      <formula>NOT(ISERROR(SEARCH("9ab",BF15)))</formula>
    </cfRule>
    <cfRule type="cellIs" dxfId="1419" priority="924" stopIfTrue="1" operator="equal">
      <formula>"leave"</formula>
    </cfRule>
    <cfRule type="containsText" dxfId="1418" priority="925" operator="containsText" text="ds">
      <formula>NOT(ISERROR(SEARCH("ds",BF15)))</formula>
    </cfRule>
    <cfRule type="containsText" dxfId="1417" priority="926" operator="containsText" text="subobs">
      <formula>NOT(ISERROR(SEARCH("subobs",BF15)))</formula>
    </cfRule>
    <cfRule type="containsText" dxfId="1416" priority="927" operator="containsText" text="Call">
      <formula>NOT(ISERROR(SEARCH("Call",BF15)))</formula>
    </cfRule>
  </conditionalFormatting>
  <conditionalFormatting sqref="BF15:BF21">
    <cfRule type="containsText" dxfId="1414" priority="917" operator="containsText" text="9ab">
      <formula>NOT(ISERROR(SEARCH("9ab",BF15)))</formula>
    </cfRule>
    <cfRule type="cellIs" dxfId="1413" priority="918" stopIfTrue="1" operator="equal">
      <formula>"leave"</formula>
    </cfRule>
    <cfRule type="containsText" dxfId="1412" priority="919" operator="containsText" text="ds">
      <formula>NOT(ISERROR(SEARCH("ds",BF15)))</formula>
    </cfRule>
    <cfRule type="containsText" dxfId="1411" priority="920" operator="containsText" text="subobs">
      <formula>NOT(ISERROR(SEARCH("subobs",BF15)))</formula>
    </cfRule>
    <cfRule type="containsText" dxfId="1410" priority="921" stopIfTrue="1" operator="containsText" text="(Call)">
      <formula>NOT(ISERROR(SEARCH("(Call)",BF15)))</formula>
    </cfRule>
    <cfRule type="containsText" dxfId="1408" priority="930" operator="containsText" text="9ab">
      <formula>NOT(ISERROR(SEARCH("9ab",BF15)))</formula>
    </cfRule>
    <cfRule type="cellIs" dxfId="1407" priority="931" stopIfTrue="1" operator="equal">
      <formula>"leave"</formula>
    </cfRule>
    <cfRule type="containsText" dxfId="1406" priority="932" operator="containsText" text="ds">
      <formula>NOT(ISERROR(SEARCH("ds",BF15)))</formula>
    </cfRule>
    <cfRule type="containsText" dxfId="1405" priority="933" operator="containsText" text="subobs">
      <formula>NOT(ISERROR(SEARCH("subobs",BF15)))</formula>
    </cfRule>
    <cfRule type="containsText" dxfId="1404" priority="934" operator="containsText" text="Call">
      <formula>NOT(ISERROR(SEARCH("Call",BF15)))</formula>
    </cfRule>
  </conditionalFormatting>
  <conditionalFormatting sqref="BF23:BF28">
    <cfRule type="containsText" dxfId="1402" priority="657" operator="containsText" text="9ab">
      <formula>NOT(ISERROR(SEARCH("9ab",BF23)))</formula>
    </cfRule>
    <cfRule type="cellIs" dxfId="1401" priority="658" stopIfTrue="1" operator="equal">
      <formula>"leave"</formula>
    </cfRule>
    <cfRule type="containsText" dxfId="1400" priority="659" operator="containsText" text="ds">
      <formula>NOT(ISERROR(SEARCH("ds",BF23)))</formula>
    </cfRule>
    <cfRule type="containsText" dxfId="1399" priority="660" operator="containsText" text="subobs">
      <formula>NOT(ISERROR(SEARCH("subobs",BF23)))</formula>
    </cfRule>
    <cfRule type="containsText" dxfId="1398" priority="661" operator="containsText" text="Call">
      <formula>NOT(ISERROR(SEARCH("Call",BF23)))</formula>
    </cfRule>
    <cfRule type="containsText" dxfId="1396" priority="669" operator="containsText" text="9ab">
      <formula>NOT(ISERROR(SEARCH("9ab",BF23)))</formula>
    </cfRule>
    <cfRule type="cellIs" dxfId="1395" priority="670" stopIfTrue="1" operator="equal">
      <formula>"leave"</formula>
    </cfRule>
    <cfRule type="containsText" dxfId="1394" priority="671" operator="containsText" text="ds">
      <formula>NOT(ISERROR(SEARCH("ds",BF23)))</formula>
    </cfRule>
    <cfRule type="containsText" dxfId="1393" priority="672" operator="containsText" text="subobs">
      <formula>NOT(ISERROR(SEARCH("subobs",BF23)))</formula>
    </cfRule>
    <cfRule type="containsText" dxfId="1392" priority="673" operator="containsText" text="Call">
      <formula>NOT(ISERROR(SEARCH("Call",BF23)))</formula>
    </cfRule>
  </conditionalFormatting>
  <conditionalFormatting sqref="BF23:BF30">
    <cfRule type="containsText" dxfId="1390" priority="663" operator="containsText" text="9ab">
      <formula>NOT(ISERROR(SEARCH("9ab",BF23)))</formula>
    </cfRule>
    <cfRule type="cellIs" dxfId="1389" priority="664" stopIfTrue="1" operator="equal">
      <formula>"leave"</formula>
    </cfRule>
    <cfRule type="containsText" dxfId="1388" priority="665" operator="containsText" text="ds">
      <formula>NOT(ISERROR(SEARCH("ds",BF23)))</formula>
    </cfRule>
    <cfRule type="containsText" dxfId="1387" priority="666" operator="containsText" text="subobs">
      <formula>NOT(ISERROR(SEARCH("subobs",BF23)))</formula>
    </cfRule>
    <cfRule type="containsText" dxfId="1386" priority="667" stopIfTrue="1" operator="containsText" text="(Call)">
      <formula>NOT(ISERROR(SEARCH("(Call)",BF23)))</formula>
    </cfRule>
    <cfRule type="containsText" dxfId="1384" priority="676" operator="containsText" text="9ab">
      <formula>NOT(ISERROR(SEARCH("9ab",BF23)))</formula>
    </cfRule>
    <cfRule type="cellIs" dxfId="1383" priority="677" stopIfTrue="1" operator="equal">
      <formula>"leave"</formula>
    </cfRule>
    <cfRule type="containsText" dxfId="1382" priority="678" operator="containsText" text="ds">
      <formula>NOT(ISERROR(SEARCH("ds",BF23)))</formula>
    </cfRule>
    <cfRule type="containsText" dxfId="1381" priority="679" operator="containsText" text="subobs">
      <formula>NOT(ISERROR(SEARCH("subobs",BF23)))</formula>
    </cfRule>
    <cfRule type="containsText" dxfId="1380" priority="680" operator="containsText" text="Call">
      <formula>NOT(ISERROR(SEARCH("Call",BF23)))</formula>
    </cfRule>
  </conditionalFormatting>
  <conditionalFormatting sqref="BF32:BF37">
    <cfRule type="containsText" dxfId="1378" priority="66" operator="containsText" text="9ab">
      <formula>NOT(ISERROR(SEARCH("9ab",BF32)))</formula>
    </cfRule>
    <cfRule type="cellIs" dxfId="1377" priority="67" stopIfTrue="1" operator="equal">
      <formula>"leave"</formula>
    </cfRule>
    <cfRule type="containsText" dxfId="1376" priority="68" operator="containsText" text="ds">
      <formula>NOT(ISERROR(SEARCH("ds",BF32)))</formula>
    </cfRule>
    <cfRule type="containsText" dxfId="1375" priority="69" operator="containsText" text="subobs">
      <formula>NOT(ISERROR(SEARCH("subobs",BF32)))</formula>
    </cfRule>
    <cfRule type="containsText" dxfId="1374" priority="70" operator="containsText" text="Call">
      <formula>NOT(ISERROR(SEARCH("Call",BF32)))</formula>
    </cfRule>
    <cfRule type="containsText" dxfId="1372" priority="72" operator="containsText" text="9ab">
      <formula>NOT(ISERROR(SEARCH("9ab",BF32)))</formula>
    </cfRule>
    <cfRule type="cellIs" dxfId="1371" priority="73" stopIfTrue="1" operator="equal">
      <formula>"leave"</formula>
    </cfRule>
    <cfRule type="containsText" dxfId="1370" priority="74" operator="containsText" text="ds">
      <formula>NOT(ISERROR(SEARCH("ds",BF32)))</formula>
    </cfRule>
    <cfRule type="containsText" dxfId="1369" priority="75" operator="containsText" text="subobs">
      <formula>NOT(ISERROR(SEARCH("subobs",BF32)))</formula>
    </cfRule>
    <cfRule type="containsText" dxfId="1368" priority="76" stopIfTrue="1" operator="containsText" text="(Call)">
      <formula>NOT(ISERROR(SEARCH("(Call)",BF32)))</formula>
    </cfRule>
    <cfRule type="containsText" dxfId="1366" priority="78" operator="containsText" text="9ab">
      <formula>NOT(ISERROR(SEARCH("9ab",BF32)))</formula>
    </cfRule>
    <cfRule type="cellIs" dxfId="1365" priority="79" stopIfTrue="1" operator="equal">
      <formula>"leave"</formula>
    </cfRule>
    <cfRule type="containsText" dxfId="1364" priority="80" operator="containsText" text="ds">
      <formula>NOT(ISERROR(SEARCH("ds",BF32)))</formula>
    </cfRule>
    <cfRule type="containsText" dxfId="1363" priority="81" operator="containsText" text="subobs">
      <formula>NOT(ISERROR(SEARCH("subobs",BF32)))</formula>
    </cfRule>
    <cfRule type="containsText" dxfId="1362" priority="82" operator="containsText" text="Call">
      <formula>NOT(ISERROR(SEARCH("Call",BF32)))</formula>
    </cfRule>
    <cfRule type="containsText" dxfId="1360" priority="84" operator="containsText" text="9ab">
      <formula>NOT(ISERROR(SEARCH("9ab",BF32)))</formula>
    </cfRule>
    <cfRule type="cellIs" dxfId="1359" priority="85" stopIfTrue="1" operator="equal">
      <formula>"leave"</formula>
    </cfRule>
    <cfRule type="containsText" dxfId="1358" priority="86" operator="containsText" text="ds">
      <formula>NOT(ISERROR(SEARCH("ds",BF32)))</formula>
    </cfRule>
    <cfRule type="containsText" dxfId="1357" priority="87" operator="containsText" text="subobs">
      <formula>NOT(ISERROR(SEARCH("subobs",BF32)))</formula>
    </cfRule>
    <cfRule type="containsText" dxfId="1356" priority="88" operator="containsText" text="Call">
      <formula>NOT(ISERROR(SEARCH("Call",BF32)))</formula>
    </cfRule>
    <cfRule type="containsText" dxfId="1354" priority="90" operator="containsText" text="9ab">
      <formula>NOT(ISERROR(SEARCH("9ab",BF32)))</formula>
    </cfRule>
    <cfRule type="cellIs" dxfId="1353" priority="91" stopIfTrue="1" operator="equal">
      <formula>"leave"</formula>
    </cfRule>
    <cfRule type="containsText" dxfId="1352" priority="92" operator="containsText" text="ds">
      <formula>NOT(ISERROR(SEARCH("ds",BF32)))</formula>
    </cfRule>
    <cfRule type="containsText" dxfId="1351" priority="93" operator="containsText" text="subobs">
      <formula>NOT(ISERROR(SEARCH("subobs",BF32)))</formula>
    </cfRule>
    <cfRule type="containsText" dxfId="1350" priority="94" operator="containsText" text="Call">
      <formula>NOT(ISERROR(SEARCH("Call",BF32)))</formula>
    </cfRule>
    <cfRule type="containsText" dxfId="1348" priority="98" operator="containsText" text="9ab">
      <formula>NOT(ISERROR(SEARCH("9ab",BF32)))</formula>
    </cfRule>
    <cfRule type="cellIs" dxfId="1347" priority="99" stopIfTrue="1" operator="equal">
      <formula>"leave"</formula>
    </cfRule>
    <cfRule type="containsText" dxfId="1346" priority="100" operator="containsText" text="ds">
      <formula>NOT(ISERROR(SEARCH("ds",BF32)))</formula>
    </cfRule>
    <cfRule type="containsText" dxfId="1345" priority="101" operator="containsText" text="subobs">
      <formula>NOT(ISERROR(SEARCH("subobs",BF32)))</formula>
    </cfRule>
    <cfRule type="containsText" dxfId="1344" priority="102" operator="containsText" text="Call">
      <formula>NOT(ISERROR(SEARCH("Call",BF32)))</formula>
    </cfRule>
    <cfRule type="containsText" dxfId="1342" priority="105" operator="containsText" text="9ab">
      <formula>NOT(ISERROR(SEARCH("9ab",BF32)))</formula>
    </cfRule>
    <cfRule type="cellIs" dxfId="1341" priority="106" stopIfTrue="1" operator="equal">
      <formula>"leave"</formula>
    </cfRule>
    <cfRule type="containsText" dxfId="1340" priority="107" operator="containsText" text="ds">
      <formula>NOT(ISERROR(SEARCH("ds",BF32)))</formula>
    </cfRule>
    <cfRule type="containsText" dxfId="1339" priority="108" operator="containsText" text="subobs">
      <formula>NOT(ISERROR(SEARCH("subobs",BF32)))</formula>
    </cfRule>
    <cfRule type="containsText" dxfId="1338" priority="109" stopIfTrue="1" operator="containsText" text="(Call)">
      <formula>NOT(ISERROR(SEARCH("(Call)",BF32)))</formula>
    </cfRule>
  </conditionalFormatting>
  <conditionalFormatting sqref="BF31:BG37">
    <cfRule type="containsText" dxfId="1336" priority="96" operator="containsText" text="b1">
      <formula>NOT(ISERROR(SEARCH("b1",BF31)))</formula>
    </cfRule>
    <cfRule type="cellIs" dxfId="1335" priority="97" operator="equal">
      <formula>0</formula>
    </cfRule>
    <cfRule type="containsText" dxfId="1334" priority="104" stopIfTrue="1" operator="containsText" text="go">
      <formula>NOT(ISERROR(SEARCH("go",BF31)))</formula>
    </cfRule>
    <cfRule type="cellIs" dxfId="1333" priority="111" operator="equal">
      <formula>"ps_cover"</formula>
    </cfRule>
    <cfRule type="containsText" dxfId="1332" priority="112" stopIfTrue="1" operator="containsText" text="9ab">
      <formula>NOT(ISERROR(SEARCH("9ab",BF31)))</formula>
    </cfRule>
    <cfRule type="containsText" dxfId="1331" priority="113" stopIfTrue="1" operator="containsText" text="ds">
      <formula>NOT(ISERROR(SEARCH("ds",BF31)))</formula>
    </cfRule>
    <cfRule type="containsText" dxfId="1330" priority="114" stopIfTrue="1" operator="containsText" text="subobs">
      <formula>NOT(ISERROR(SEARCH("subobs",BF31)))</formula>
    </cfRule>
  </conditionalFormatting>
  <conditionalFormatting sqref="BF31:BK37">
    <cfRule type="containsText" dxfId="1329" priority="58" operator="containsText" text="(Call)">
      <formula>NOT(ISERROR(SEARCH("(Call)",BF31)))</formula>
    </cfRule>
  </conditionalFormatting>
  <conditionalFormatting sqref="BG15:BK20">
    <cfRule type="cellIs" dxfId="1328" priority="628" operator="equal">
      <formula>0</formula>
    </cfRule>
  </conditionalFormatting>
  <conditionalFormatting sqref="BH31:BK37">
    <cfRule type="containsText" dxfId="1327" priority="59" operator="containsText" text="b1">
      <formula>NOT(ISERROR(SEARCH("b1",BH31)))</formula>
    </cfRule>
    <cfRule type="cellIs" dxfId="1326" priority="60" operator="equal">
      <formula>0</formula>
    </cfRule>
    <cfRule type="containsText" dxfId="1325" priority="61" stopIfTrue="1" operator="containsText" text="go">
      <formula>NOT(ISERROR(SEARCH("go",BH31)))</formula>
    </cfRule>
    <cfRule type="cellIs" dxfId="1324" priority="62" operator="equal">
      <formula>"ps_cover"</formula>
    </cfRule>
    <cfRule type="containsText" dxfId="1323" priority="63" stopIfTrue="1" operator="containsText" text="9ab">
      <formula>NOT(ISERROR(SEARCH("9ab",BH31)))</formula>
    </cfRule>
    <cfRule type="containsText" dxfId="1322" priority="64" stopIfTrue="1" operator="containsText" text="ds">
      <formula>NOT(ISERROR(SEARCH("ds",BH31)))</formula>
    </cfRule>
    <cfRule type="containsText" dxfId="1321" priority="65" stopIfTrue="1" operator="containsText" text="subobs">
      <formula>NOT(ISERROR(SEARCH("subobs",BH31)))</formula>
    </cfRule>
  </conditionalFormatting>
  <conditionalFormatting sqref="BL15:BR21">
    <cfRule type="cellIs" dxfId="1320" priority="904" operator="equal">
      <formula>0</formula>
    </cfRule>
  </conditionalFormatting>
  <conditionalFormatting sqref="BL23:BR30">
    <cfRule type="cellIs" dxfId="1319" priority="650" operator="equal">
      <formula>0</formula>
    </cfRule>
  </conditionalFormatting>
  <conditionalFormatting sqref="BM15:BM20">
    <cfRule type="containsText" dxfId="1318" priority="886" operator="containsText" text="9ab">
      <formula>NOT(ISERROR(SEARCH("9ab",BM15)))</formula>
    </cfRule>
    <cfRule type="cellIs" dxfId="1317" priority="887" stopIfTrue="1" operator="equal">
      <formula>"leave"</formula>
    </cfRule>
    <cfRule type="containsText" dxfId="1316" priority="888" operator="containsText" text="ds">
      <formula>NOT(ISERROR(SEARCH("ds",BM15)))</formula>
    </cfRule>
    <cfRule type="containsText" dxfId="1315" priority="889" operator="containsText" text="subobs">
      <formula>NOT(ISERROR(SEARCH("subobs",BM15)))</formula>
    </cfRule>
    <cfRule type="containsText" dxfId="1314" priority="890" operator="containsText" text="Call">
      <formula>NOT(ISERROR(SEARCH("Call",BM15)))</formula>
    </cfRule>
    <cfRule type="containsText" dxfId="1312" priority="898" operator="containsText" text="9ab">
      <formula>NOT(ISERROR(SEARCH("9ab",BM15)))</formula>
    </cfRule>
    <cfRule type="cellIs" dxfId="1311" priority="899" stopIfTrue="1" operator="equal">
      <formula>"leave"</formula>
    </cfRule>
    <cfRule type="containsText" dxfId="1310" priority="900" operator="containsText" text="ds">
      <formula>NOT(ISERROR(SEARCH("ds",BM15)))</formula>
    </cfRule>
    <cfRule type="containsText" dxfId="1309" priority="901" operator="containsText" text="subobs">
      <formula>NOT(ISERROR(SEARCH("subobs",BM15)))</formula>
    </cfRule>
    <cfRule type="containsText" dxfId="1308" priority="902" operator="containsText" text="Call">
      <formula>NOT(ISERROR(SEARCH("Call",BM15)))</formula>
    </cfRule>
  </conditionalFormatting>
  <conditionalFormatting sqref="BM15:BM21">
    <cfRule type="containsText" dxfId="1306" priority="892" operator="containsText" text="9ab">
      <formula>NOT(ISERROR(SEARCH("9ab",BM15)))</formula>
    </cfRule>
    <cfRule type="cellIs" dxfId="1305" priority="893" stopIfTrue="1" operator="equal">
      <formula>"leave"</formula>
    </cfRule>
    <cfRule type="containsText" dxfId="1304" priority="894" operator="containsText" text="ds">
      <formula>NOT(ISERROR(SEARCH("ds",BM15)))</formula>
    </cfRule>
    <cfRule type="containsText" dxfId="1303" priority="895" operator="containsText" text="subobs">
      <formula>NOT(ISERROR(SEARCH("subobs",BM15)))</formula>
    </cfRule>
    <cfRule type="containsText" dxfId="1302" priority="896" stopIfTrue="1" operator="containsText" text="(Call)">
      <formula>NOT(ISERROR(SEARCH("(Call)",BM15)))</formula>
    </cfRule>
    <cfRule type="containsText" dxfId="1300" priority="905" operator="containsText" text="9ab">
      <formula>NOT(ISERROR(SEARCH("9ab",BM15)))</formula>
    </cfRule>
    <cfRule type="cellIs" dxfId="1299" priority="906" stopIfTrue="1" operator="equal">
      <formula>"leave"</formula>
    </cfRule>
    <cfRule type="containsText" dxfId="1298" priority="907" operator="containsText" text="ds">
      <formula>NOT(ISERROR(SEARCH("ds",BM15)))</formula>
    </cfRule>
    <cfRule type="containsText" dxfId="1297" priority="908" operator="containsText" text="subobs">
      <formula>NOT(ISERROR(SEARCH("subobs",BM15)))</formula>
    </cfRule>
    <cfRule type="containsText" dxfId="1296" priority="909" operator="containsText" text="Call">
      <formula>NOT(ISERROR(SEARCH("Call",BM15)))</formula>
    </cfRule>
  </conditionalFormatting>
  <conditionalFormatting sqref="BM23:BM28">
    <cfRule type="containsText" dxfId="1294" priority="632" operator="containsText" text="9ab">
      <formula>NOT(ISERROR(SEARCH("9ab",BM23)))</formula>
    </cfRule>
    <cfRule type="cellIs" dxfId="1293" priority="633" stopIfTrue="1" operator="equal">
      <formula>"leave"</formula>
    </cfRule>
    <cfRule type="containsText" dxfId="1292" priority="634" operator="containsText" text="ds">
      <formula>NOT(ISERROR(SEARCH("ds",BM23)))</formula>
    </cfRule>
    <cfRule type="containsText" dxfId="1291" priority="635" operator="containsText" text="subobs">
      <formula>NOT(ISERROR(SEARCH("subobs",BM23)))</formula>
    </cfRule>
    <cfRule type="containsText" dxfId="1290" priority="636" operator="containsText" text="Call">
      <formula>NOT(ISERROR(SEARCH("Call",BM23)))</formula>
    </cfRule>
    <cfRule type="containsText" dxfId="1288" priority="644" operator="containsText" text="9ab">
      <formula>NOT(ISERROR(SEARCH("9ab",BM23)))</formula>
    </cfRule>
    <cfRule type="cellIs" dxfId="1287" priority="645" stopIfTrue="1" operator="equal">
      <formula>"leave"</formula>
    </cfRule>
    <cfRule type="containsText" dxfId="1286" priority="646" operator="containsText" text="ds">
      <formula>NOT(ISERROR(SEARCH("ds",BM23)))</formula>
    </cfRule>
    <cfRule type="containsText" dxfId="1285" priority="647" operator="containsText" text="subobs">
      <formula>NOT(ISERROR(SEARCH("subobs",BM23)))</formula>
    </cfRule>
    <cfRule type="containsText" dxfId="1284" priority="648" operator="containsText" text="Call">
      <formula>NOT(ISERROR(SEARCH("Call",BM23)))</formula>
    </cfRule>
  </conditionalFormatting>
  <conditionalFormatting sqref="BM23:BM30">
    <cfRule type="containsText" dxfId="1282" priority="638" operator="containsText" text="9ab">
      <formula>NOT(ISERROR(SEARCH("9ab",BM23)))</formula>
    </cfRule>
    <cfRule type="cellIs" dxfId="1281" priority="639" stopIfTrue="1" operator="equal">
      <formula>"leave"</formula>
    </cfRule>
    <cfRule type="containsText" dxfId="1280" priority="640" operator="containsText" text="ds">
      <formula>NOT(ISERROR(SEARCH("ds",BM23)))</formula>
    </cfRule>
    <cfRule type="containsText" dxfId="1279" priority="641" operator="containsText" text="subobs">
      <formula>NOT(ISERROR(SEARCH("subobs",BM23)))</formula>
    </cfRule>
    <cfRule type="containsText" dxfId="1278" priority="642" stopIfTrue="1" operator="containsText" text="(Call)">
      <formula>NOT(ISERROR(SEARCH("(Call)",BM23)))</formula>
    </cfRule>
    <cfRule type="containsText" dxfId="1276" priority="651" operator="containsText" text="9ab">
      <formula>NOT(ISERROR(SEARCH("9ab",BM23)))</formula>
    </cfRule>
    <cfRule type="cellIs" dxfId="1275" priority="652" stopIfTrue="1" operator="equal">
      <formula>"leave"</formula>
    </cfRule>
    <cfRule type="containsText" dxfId="1274" priority="653" operator="containsText" text="ds">
      <formula>NOT(ISERROR(SEARCH("ds",BM23)))</formula>
    </cfRule>
    <cfRule type="containsText" dxfId="1273" priority="654" operator="containsText" text="subobs">
      <formula>NOT(ISERROR(SEARCH("subobs",BM23)))</formula>
    </cfRule>
    <cfRule type="containsText" dxfId="1272" priority="655" operator="containsText" text="Call">
      <formula>NOT(ISERROR(SEARCH("Call",BM23)))</formula>
    </cfRule>
  </conditionalFormatting>
  <conditionalFormatting sqref="BM32:BM37">
    <cfRule type="containsText" dxfId="1270" priority="9" operator="containsText" text="9ab">
      <formula>NOT(ISERROR(SEARCH("9ab",BM32)))</formula>
    </cfRule>
    <cfRule type="cellIs" dxfId="1269" priority="10" stopIfTrue="1" operator="equal">
      <formula>"leave"</formula>
    </cfRule>
    <cfRule type="containsText" dxfId="1268" priority="11" operator="containsText" text="ds">
      <formula>NOT(ISERROR(SEARCH("ds",BM32)))</formula>
    </cfRule>
    <cfRule type="containsText" dxfId="1267" priority="12" operator="containsText" text="subobs">
      <formula>NOT(ISERROR(SEARCH("subobs",BM32)))</formula>
    </cfRule>
    <cfRule type="containsText" dxfId="1266" priority="13" operator="containsText" text="Call">
      <formula>NOT(ISERROR(SEARCH("Call",BM32)))</formula>
    </cfRule>
    <cfRule type="containsText" dxfId="1264" priority="15" operator="containsText" text="9ab">
      <formula>NOT(ISERROR(SEARCH("9ab",BM32)))</formula>
    </cfRule>
    <cfRule type="cellIs" dxfId="1263" priority="16" stopIfTrue="1" operator="equal">
      <formula>"leave"</formula>
    </cfRule>
    <cfRule type="containsText" dxfId="1262" priority="17" operator="containsText" text="ds">
      <formula>NOT(ISERROR(SEARCH("ds",BM32)))</formula>
    </cfRule>
    <cfRule type="containsText" dxfId="1261" priority="18" operator="containsText" text="subobs">
      <formula>NOT(ISERROR(SEARCH("subobs",BM32)))</formula>
    </cfRule>
    <cfRule type="containsText" dxfId="1260" priority="19" stopIfTrue="1" operator="containsText" text="(Call)">
      <formula>NOT(ISERROR(SEARCH("(Call)",BM32)))</formula>
    </cfRule>
    <cfRule type="containsText" dxfId="1258" priority="21" operator="containsText" text="9ab">
      <formula>NOT(ISERROR(SEARCH("9ab",BM32)))</formula>
    </cfRule>
    <cfRule type="cellIs" dxfId="1257" priority="22" stopIfTrue="1" operator="equal">
      <formula>"leave"</formula>
    </cfRule>
    <cfRule type="containsText" dxfId="1256" priority="23" operator="containsText" text="ds">
      <formula>NOT(ISERROR(SEARCH("ds",BM32)))</formula>
    </cfRule>
    <cfRule type="containsText" dxfId="1255" priority="24" operator="containsText" text="subobs">
      <formula>NOT(ISERROR(SEARCH("subobs",BM32)))</formula>
    </cfRule>
    <cfRule type="containsText" dxfId="1254" priority="25" operator="containsText" text="Call">
      <formula>NOT(ISERROR(SEARCH("Call",BM32)))</formula>
    </cfRule>
    <cfRule type="containsText" dxfId="1252" priority="27" operator="containsText" text="9ab">
      <formula>NOT(ISERROR(SEARCH("9ab",BM32)))</formula>
    </cfRule>
    <cfRule type="cellIs" dxfId="1251" priority="28" stopIfTrue="1" operator="equal">
      <formula>"leave"</formula>
    </cfRule>
    <cfRule type="containsText" dxfId="1250" priority="29" operator="containsText" text="ds">
      <formula>NOT(ISERROR(SEARCH("ds",BM32)))</formula>
    </cfRule>
    <cfRule type="containsText" dxfId="1249" priority="30" operator="containsText" text="subobs">
      <formula>NOT(ISERROR(SEARCH("subobs",BM32)))</formula>
    </cfRule>
    <cfRule type="containsText" dxfId="1248" priority="31" operator="containsText" text="Call">
      <formula>NOT(ISERROR(SEARCH("Call",BM32)))</formula>
    </cfRule>
    <cfRule type="containsText" dxfId="1246" priority="33" operator="containsText" text="9ab">
      <formula>NOT(ISERROR(SEARCH("9ab",BM32)))</formula>
    </cfRule>
    <cfRule type="cellIs" dxfId="1245" priority="34" stopIfTrue="1" operator="equal">
      <formula>"leave"</formula>
    </cfRule>
    <cfRule type="containsText" dxfId="1244" priority="35" operator="containsText" text="ds">
      <formula>NOT(ISERROR(SEARCH("ds",BM32)))</formula>
    </cfRule>
    <cfRule type="containsText" dxfId="1243" priority="36" operator="containsText" text="subobs">
      <formula>NOT(ISERROR(SEARCH("subobs",BM32)))</formula>
    </cfRule>
    <cfRule type="containsText" dxfId="1242" priority="37" operator="containsText" text="Call">
      <formula>NOT(ISERROR(SEARCH("Call",BM32)))</formula>
    </cfRule>
    <cfRule type="containsText" dxfId="1240" priority="41" operator="containsText" text="9ab">
      <formula>NOT(ISERROR(SEARCH("9ab",BM32)))</formula>
    </cfRule>
    <cfRule type="cellIs" dxfId="1239" priority="42" stopIfTrue="1" operator="equal">
      <formula>"leave"</formula>
    </cfRule>
    <cfRule type="containsText" dxfId="1238" priority="43" operator="containsText" text="ds">
      <formula>NOT(ISERROR(SEARCH("ds",BM32)))</formula>
    </cfRule>
    <cfRule type="containsText" dxfId="1237" priority="44" operator="containsText" text="subobs">
      <formula>NOT(ISERROR(SEARCH("subobs",BM32)))</formula>
    </cfRule>
    <cfRule type="containsText" dxfId="1236" priority="45" operator="containsText" text="Call">
      <formula>NOT(ISERROR(SEARCH("Call",BM32)))</formula>
    </cfRule>
    <cfRule type="containsText" dxfId="1234" priority="48" operator="containsText" text="9ab">
      <formula>NOT(ISERROR(SEARCH("9ab",BM32)))</formula>
    </cfRule>
    <cfRule type="cellIs" dxfId="1233" priority="49" stopIfTrue="1" operator="equal">
      <formula>"leave"</formula>
    </cfRule>
    <cfRule type="containsText" dxfId="1232" priority="50" operator="containsText" text="ds">
      <formula>NOT(ISERROR(SEARCH("ds",BM32)))</formula>
    </cfRule>
    <cfRule type="containsText" dxfId="1231" priority="51" operator="containsText" text="subobs">
      <formula>NOT(ISERROR(SEARCH("subobs",BM32)))</formula>
    </cfRule>
    <cfRule type="containsText" dxfId="1230" priority="52" stopIfTrue="1" operator="containsText" text="(Call)">
      <formula>NOT(ISERROR(SEARCH("(Call)",BM32)))</formula>
    </cfRule>
  </conditionalFormatting>
  <conditionalFormatting sqref="BM31:BN37">
    <cfRule type="containsText" dxfId="1228" priority="39" operator="containsText" text="b1">
      <formula>NOT(ISERROR(SEARCH("b1",BM31)))</formula>
    </cfRule>
    <cfRule type="cellIs" dxfId="1227" priority="40" operator="equal">
      <formula>0</formula>
    </cfRule>
    <cfRule type="containsText" dxfId="1226" priority="47" stopIfTrue="1" operator="containsText" text="go">
      <formula>NOT(ISERROR(SEARCH("go",BM31)))</formula>
    </cfRule>
    <cfRule type="cellIs" dxfId="1225" priority="54" operator="equal">
      <formula>"ps_cover"</formula>
    </cfRule>
    <cfRule type="containsText" dxfId="1224" priority="55" stopIfTrue="1" operator="containsText" text="9ab">
      <formula>NOT(ISERROR(SEARCH("9ab",BM31)))</formula>
    </cfRule>
    <cfRule type="containsText" dxfId="1223" priority="56" stopIfTrue="1" operator="containsText" text="ds">
      <formula>NOT(ISERROR(SEARCH("ds",BM31)))</formula>
    </cfRule>
    <cfRule type="containsText" dxfId="1222" priority="57" stopIfTrue="1" operator="containsText" text="subobs">
      <formula>NOT(ISERROR(SEARCH("subobs",BM31)))</formula>
    </cfRule>
  </conditionalFormatting>
  <conditionalFormatting sqref="BM31:BR37">
    <cfRule type="containsText" dxfId="1221" priority="1" operator="containsText" text="(Call)">
      <formula>NOT(ISERROR(SEARCH("(Call)",BM31)))</formula>
    </cfRule>
  </conditionalFormatting>
  <conditionalFormatting sqref="BN15:BN21">
    <cfRule type="cellIs" dxfId="1220" priority="571" operator="equal">
      <formula>0</formula>
    </cfRule>
  </conditionalFormatting>
  <conditionalFormatting sqref="BO31:BR37">
    <cfRule type="containsText" dxfId="1219" priority="2" operator="containsText" text="b1">
      <formula>NOT(ISERROR(SEARCH("b1",BO31)))</formula>
    </cfRule>
    <cfRule type="cellIs" dxfId="1218" priority="3" operator="equal">
      <formula>0</formula>
    </cfRule>
    <cfRule type="containsText" dxfId="1217" priority="4" stopIfTrue="1" operator="containsText" text="go">
      <formula>NOT(ISERROR(SEARCH("go",BO31)))</formula>
    </cfRule>
    <cfRule type="cellIs" dxfId="1216" priority="5" operator="equal">
      <formula>"ps_cover"</formula>
    </cfRule>
    <cfRule type="containsText" dxfId="1215" priority="6" stopIfTrue="1" operator="containsText" text="9ab">
      <formula>NOT(ISERROR(SEARCH("9ab",BO31)))</formula>
    </cfRule>
    <cfRule type="containsText" dxfId="1214" priority="7" stopIfTrue="1" operator="containsText" text="ds">
      <formula>NOT(ISERROR(SEARCH("ds",BO31)))</formula>
    </cfRule>
    <cfRule type="containsText" dxfId="1213" priority="8" stopIfTrue="1" operator="containsText" text="subobs">
      <formula>NOT(ISERROR(SEARCH("subobs",BO31)))</formula>
    </cfRule>
  </conditionalFormatting>
  <conditionalFormatting sqref="BQ2:BQ13">
    <cfRule type="containsText" dxfId="1212" priority="878" stopIfTrue="1" operator="containsText" text="b1">
      <formula>NOT(ISERROR(SEARCH("b1",BQ2)))</formula>
    </cfRule>
    <cfRule type="containsText" dxfId="1211" priority="879" operator="containsText" text="go">
      <formula>NOT(ISERROR(SEARCH("go",BQ2)))</formula>
    </cfRule>
    <cfRule type="cellIs" dxfId="1210" priority="880" operator="equal">
      <formula>"post_call_cover"</formula>
    </cfRule>
    <cfRule type="containsText" dxfId="1209" priority="881" operator="containsText" text="9ab">
      <formula>NOT(ISERROR(SEARCH("9ab",BQ2)))</formula>
    </cfRule>
    <cfRule type="cellIs" dxfId="1208" priority="882" stopIfTrue="1" operator="equal">
      <formula>"leave"</formula>
    </cfRule>
    <cfRule type="containsText" dxfId="1207" priority="883" operator="containsText" text="ds">
      <formula>NOT(ISERROR(SEARCH("ds",BQ2)))</formula>
    </cfRule>
    <cfRule type="containsText" dxfId="1206" priority="884" operator="containsText" text="subobs">
      <formula>NOT(ISERROR(SEARCH("subobs",BQ2)))</formula>
    </cfRule>
    <cfRule type="containsText" dxfId="1205" priority="885" operator="containsText" text="(Call)">
      <formula>NOT(ISERROR(SEARCH("(Call)",BQ2)))</formula>
    </cfRule>
  </conditionalFormatting>
  <pageMargins left="0.75" right="0.75" top="1" bottom="1" header="0.5" footer="0.5"/>
  <pageSetup paperSize="9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78" operator="containsText" id="{F041B746-1116-D041-B3F8-6ECFCB8C8302}">
            <xm:f>NOT(ISERROR(SEARCH("-",A15)))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84" operator="containsText" id="{A89732DA-94C9-DE47-A159-9687DDB8A0E4}">
            <xm:f>NOT(ISERROR(SEARCH("-",A15)))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90" operator="containsText" id="{FFE62550-2E0C-DF4B-827B-EB343EA173AC}">
            <xm:f>NOT(ISERROR(SEARCH("-",A15)))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97" operator="containsText" id="{BD79C13D-9271-3947-8ABC-AA834901D8D5}">
            <xm:f>NOT(ISERROR(SEARCH("-",A15)))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A15:A20</xm:sqref>
        </x14:conditionalFormatting>
        <x14:conditionalFormatting xmlns:xm="http://schemas.microsoft.com/office/excel/2006/main">
          <x14:cfRule type="containsText" priority="1097" operator="containsText" id="{FD873CA0-DDFB-B14E-843C-3C9EFDDE7FDB}">
            <xm:f>NOT(ISERROR(SEARCH("-",A15)))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A15:A21</xm:sqref>
        </x14:conditionalFormatting>
        <x14:conditionalFormatting xmlns:xm="http://schemas.microsoft.com/office/excel/2006/main">
          <x14:cfRule type="containsText" priority="859" operator="containsText" id="{A6392951-C109-AD44-BF27-0C8CAF3817B9}">
            <xm:f>NOT(ISERROR(SEARCH("-",A23)))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A23:A30</xm:sqref>
        </x14:conditionalFormatting>
        <x14:conditionalFormatting xmlns:xm="http://schemas.microsoft.com/office/excel/2006/main">
          <x14:cfRule type="containsText" priority="603" operator="containsText" id="{FBC56A74-3437-5F42-AF87-58A3A0FB60BF}">
            <xm:f>NOT(ISERROR(SEARCH("-",E15)))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09" operator="containsText" id="{591BDCE0-3263-1246-8ADA-0C4E901EE077}">
            <xm:f>NOT(ISERROR(SEARCH("-",E15)))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15" operator="containsText" id="{DE95E20A-35B4-8647-9449-4B31D11ACAB0}">
            <xm:f>NOT(ISERROR(SEARCH("-",E15)))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21" operator="containsText" id="{C4A2ECB5-E214-4344-9FA6-C79C8FA96884}">
            <xm:f>NOT(ISERROR(SEARCH("-",E15)))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27" operator="containsText" id="{03FC2B31-73CC-1540-8143-251E75586AB6}">
            <xm:f>NOT(ISERROR(SEARCH("-",E15)))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84" operator="containsText" id="{F50BA2E0-CAE9-B44A-8E74-88C6DDE88550}">
            <xm:f>NOT(ISERROR(SEARCH("-",E15)))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E15:E20</xm:sqref>
        </x14:conditionalFormatting>
        <x14:conditionalFormatting xmlns:xm="http://schemas.microsoft.com/office/excel/2006/main">
          <x14:cfRule type="containsText" priority="1091" operator="containsText" id="{BDE71C7B-5C1F-C043-872D-40EA7238263A}">
            <xm:f>NOT(ISERROR(SEARCH("-",E15)))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E15:E21</xm:sqref>
        </x14:conditionalFormatting>
        <x14:conditionalFormatting xmlns:xm="http://schemas.microsoft.com/office/excel/2006/main">
          <x14:cfRule type="containsText" priority="846" operator="containsText" id="{F69917C9-312B-464A-BA65-E9EFB6F46B4E}">
            <xm:f>NOT(ISERROR(SEARCH("-",E23)))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E23:E28</xm:sqref>
        </x14:conditionalFormatting>
        <x14:conditionalFormatting xmlns:xm="http://schemas.microsoft.com/office/excel/2006/main">
          <x14:cfRule type="containsText" priority="853" operator="containsText" id="{89183226-2118-3845-B717-82BD9043208B}">
            <xm:f>NOT(ISERROR(SEARCH("-",E23)))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E23:E30</xm:sqref>
        </x14:conditionalFormatting>
        <x14:conditionalFormatting xmlns:xm="http://schemas.microsoft.com/office/excel/2006/main">
          <x14:cfRule type="containsText" priority="527" operator="containsText" id="{C8C6DCED-D16E-9B46-8E82-73FEC4B5C0C8}">
            <xm:f>NOT(ISERROR(SEARCH("-",E32)))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33" operator="containsText" id="{216D861F-7A66-C64E-AC14-6A05A429EB1D}">
            <xm:f>NOT(ISERROR(SEARCH("-",E32)))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39" operator="containsText" id="{82166BE7-5549-544B-9BC0-1230E7C5F02D}">
            <xm:f>NOT(ISERROR(SEARCH("-",E32)))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45" operator="containsText" id="{E36D5BD3-BC07-4C4A-954B-5E65DB92D180}">
            <xm:f>NOT(ISERROR(SEARCH("-",E32)))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51" operator="containsText" id="{B8C969EA-C244-E242-84FA-5C7E9B15ACEF}">
            <xm:f>NOT(ISERROR(SEARCH("-",E32)))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59" operator="containsText" id="{737838EB-1048-C242-AF1B-6E27A22E89D9}">
            <xm:f>NOT(ISERROR(SEARCH("-",E32)))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66" operator="containsText" id="{0F3A051F-0BB3-9D47-9738-C7ECF4341225}">
            <xm:f>NOT(ISERROR(SEARCH("-",E32)))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E32:E37</xm:sqref>
        </x14:conditionalFormatting>
        <x14:conditionalFormatting xmlns:xm="http://schemas.microsoft.com/office/excel/2006/main">
          <x14:cfRule type="containsText" priority="822" operator="containsText" id="{82419F19-B8AD-0944-B589-D18C7B9C9FFB}">
            <xm:f>NOT(ISERROR(SEARCH("-",I23)))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840" operator="containsText" id="{6029500C-2452-2141-8C6F-641955468DAE}">
            <xm:f>NOT(ISERROR(SEARCH("-",I23)))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I23:I28</xm:sqref>
        </x14:conditionalFormatting>
        <x14:conditionalFormatting xmlns:xm="http://schemas.microsoft.com/office/excel/2006/main">
          <x14:cfRule type="containsText" priority="828" operator="containsText" id="{A773129E-D806-9B47-934D-28CA438A8552}">
            <xm:f>NOT(ISERROR(SEARCH("-",I23)))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I23:I30</xm:sqref>
        </x14:conditionalFormatting>
        <x14:conditionalFormatting xmlns:xm="http://schemas.microsoft.com/office/excel/2006/main">
          <x14:cfRule type="containsText" priority="470" operator="containsText" id="{DC19CF16-B62B-AA4A-9997-EBEF6EF6FE1A}">
            <xm:f>NOT(ISERROR(SEARCH("-",I32)))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76" operator="containsText" id="{2198F461-A9A9-1440-A9F1-735D20152861}">
            <xm:f>NOT(ISERROR(SEARCH("-",I32)))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82" operator="containsText" id="{43C4920A-C2AE-1146-84EC-35561A3C63C6}">
            <xm:f>NOT(ISERROR(SEARCH("-",I32)))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88" operator="containsText" id="{34ADE480-BADB-1C4E-8EA9-57933D5620F5}">
            <xm:f>NOT(ISERROR(SEARCH("-",I32)))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94" operator="containsText" id="{5ED282F0-6AB0-6A48-BC79-3CA4333A8A59}">
            <xm:f>NOT(ISERROR(SEARCH("-",I32)))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02" operator="containsText" id="{CDFD5BFB-297C-3743-B22B-D8D121ED1F14}">
            <xm:f>NOT(ISERROR(SEARCH("-",I32)))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09" operator="containsText" id="{16C87E7B-C53D-9E48-8C26-C5DE1400B244}">
            <xm:f>NOT(ISERROR(SEARCH("-",I32)))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I32:I37</xm:sqref>
        </x14:conditionalFormatting>
        <x14:conditionalFormatting xmlns:xm="http://schemas.microsoft.com/office/excel/2006/main">
          <x14:cfRule type="containsText" priority="1064" operator="containsText" id="{1C369E78-44ED-E84F-8D41-6E51CC8E0156}">
            <xm:f>NOT(ISERROR(SEARCH("-",P15)))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78" operator="containsText" id="{0FA9E537-E565-7543-AE75-0DB4AB159AA2}">
            <xm:f>NOT(ISERROR(SEARCH("-",P15)))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P15:P20</xm:sqref>
        </x14:conditionalFormatting>
        <x14:conditionalFormatting xmlns:xm="http://schemas.microsoft.com/office/excel/2006/main">
          <x14:cfRule type="containsText" priority="1070" operator="containsText" id="{168AC9B8-CF4B-3545-9913-4F7F392D33F5}">
            <xm:f>NOT(ISERROR(SEARCH("-",P15)))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115" operator="containsText" id="{E574E4CF-EDEA-834D-99EA-2337CEF076EB}">
            <xm:f>NOT(ISERROR(SEARCH("-",P15)))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P15:P21</xm:sqref>
        </x14:conditionalFormatting>
        <x14:conditionalFormatting xmlns:xm="http://schemas.microsoft.com/office/excel/2006/main">
          <x14:cfRule type="containsText" priority="810" operator="containsText" id="{60B5EAFA-638B-8D4E-85CB-2D2FA4E8B142}">
            <xm:f>NOT(ISERROR(SEARCH("-",P23)))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834" operator="containsText" id="{6793C263-6960-2B41-BA8A-60EDE1E8F4E4}">
            <xm:f>NOT(ISERROR(SEARCH("-",P23)))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P23:P28</xm:sqref>
        </x14:conditionalFormatting>
        <x14:conditionalFormatting xmlns:xm="http://schemas.microsoft.com/office/excel/2006/main">
          <x14:cfRule type="containsText" priority="816" operator="containsText" id="{A685E7E7-6276-4A42-9BBD-4D33B78ADF6A}">
            <xm:f>NOT(ISERROR(SEARCH("-",P23)))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877" operator="containsText" id="{C2DACD69-1913-314B-B78C-F24129E7A7C7}">
            <xm:f>NOT(ISERROR(SEARCH("-",P23)))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P23:P30</xm:sqref>
        </x14:conditionalFormatting>
        <x14:conditionalFormatting xmlns:xm="http://schemas.microsoft.com/office/excel/2006/main">
          <x14:cfRule type="containsText" priority="413" operator="containsText" id="{6C8FDDC1-CC68-A84B-9DC1-50878F2BAA7C}">
            <xm:f>NOT(ISERROR(SEARCH("-",P32)))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19" operator="containsText" id="{1B241C1D-9490-D246-BA20-4521A0AF0964}">
            <xm:f>NOT(ISERROR(SEARCH("-",P32)))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25" operator="containsText" id="{8B767DF9-3AEA-DF4A-BE09-D38278DA7716}">
            <xm:f>NOT(ISERROR(SEARCH("-",P32)))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31" operator="containsText" id="{502F2DF8-060A-0243-A604-5ECD264E4855}">
            <xm:f>NOT(ISERROR(SEARCH("-",P32)))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37" operator="containsText" id="{6CF99E1F-E530-314D-80C5-9BC2828973AC}">
            <xm:f>NOT(ISERROR(SEARCH("-",P32)))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45" operator="containsText" id="{01C449F4-58CC-FB4B-8D53-FB0E2ED97B73}">
            <xm:f>NOT(ISERROR(SEARCH("-",P32)))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52" operator="containsText" id="{561CFE7D-4619-BF45-8D2B-FDE5BB16121A}">
            <xm:f>NOT(ISERROR(SEARCH("-",P32)))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P32:P37</xm:sqref>
        </x14:conditionalFormatting>
        <x14:conditionalFormatting xmlns:xm="http://schemas.microsoft.com/office/excel/2006/main">
          <x14:cfRule type="containsText" priority="1040" operator="containsText" id="{39212839-7672-1B4A-9EFF-378B59AC5D45}">
            <xm:f>NOT(ISERROR(SEARCH("-",W15)))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52" operator="containsText" id="{7A1D4E97-6691-F048-AB77-F32B2146D76A}">
            <xm:f>NOT(ISERROR(SEARCH("-",W15)))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W15:W20</xm:sqref>
        </x14:conditionalFormatting>
        <x14:conditionalFormatting xmlns:xm="http://schemas.microsoft.com/office/excel/2006/main">
          <x14:cfRule type="containsText" priority="1046" operator="containsText" id="{53AFD1B5-7874-394F-BAB2-C716C05969F2}">
            <xm:f>NOT(ISERROR(SEARCH("-",W15)))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58" operator="containsText" id="{B48D20C7-41FE-EB42-908E-D2F0F0EE1639}">
            <xm:f>NOT(ISERROR(SEARCH("-",W15)))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109" operator="containsText" id="{EDF2928F-BEF6-D643-9460-4544DA423029}">
            <xm:f>NOT(ISERROR(SEARCH("-",W15)))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W15:W21</xm:sqref>
        </x14:conditionalFormatting>
        <x14:conditionalFormatting xmlns:xm="http://schemas.microsoft.com/office/excel/2006/main">
          <x14:cfRule type="containsText" priority="786" operator="containsText" id="{C2C0410E-7DAB-AE4A-A0A9-C636B721C095}">
            <xm:f>NOT(ISERROR(SEARCH("-",W23)))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98" operator="containsText" id="{CE65AE7B-01DD-BD41-AC17-A7D6517A7ADF}">
            <xm:f>NOT(ISERROR(SEARCH("-",W23)))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W23:W28</xm:sqref>
        </x14:conditionalFormatting>
        <x14:conditionalFormatting xmlns:xm="http://schemas.microsoft.com/office/excel/2006/main">
          <x14:cfRule type="containsText" priority="792" operator="containsText" id="{B6505855-422E-A043-ADBD-0BFAEC43A024}">
            <xm:f>NOT(ISERROR(SEARCH("-",W23)))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804" operator="containsText" id="{65012A8B-9125-8A45-A63B-0B7B8AF0FF77}">
            <xm:f>NOT(ISERROR(SEARCH("-",W23)))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871" operator="containsText" id="{396D809F-EF5D-C249-9092-293681F8629F}">
            <xm:f>NOT(ISERROR(SEARCH("-",W23)))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W23:W30</xm:sqref>
        </x14:conditionalFormatting>
        <x14:conditionalFormatting xmlns:xm="http://schemas.microsoft.com/office/excel/2006/main">
          <x14:cfRule type="containsText" priority="356" operator="containsText" id="{B6EE1AE7-4D94-A340-9806-CF70B1058CE4}">
            <xm:f>NOT(ISERROR(SEARCH("-",W32)))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62" operator="containsText" id="{FF62C324-920A-694E-AA10-59A1CF4A105D}">
            <xm:f>NOT(ISERROR(SEARCH("-",W32)))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68" operator="containsText" id="{F97B2674-5E37-274E-ADDB-EC6B6A7924DE}">
            <xm:f>NOT(ISERROR(SEARCH("-",W32)))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74" operator="containsText" id="{BC198905-D62F-7D4D-B74C-A3601B9E24C3}">
            <xm:f>NOT(ISERROR(SEARCH("-",W32)))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80" operator="containsText" id="{65768E9F-778B-2B4D-A6AE-7998F4C1E1AC}">
            <xm:f>NOT(ISERROR(SEARCH("-",W32)))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88" operator="containsText" id="{19F5EB40-660C-3D43-A212-0AC68C30E838}">
            <xm:f>NOT(ISERROR(SEARCH("-",W32)))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95" operator="containsText" id="{461D28C7-581D-D549-A9C2-A86FFF5E173D}">
            <xm:f>NOT(ISERROR(SEARCH("-",W32)))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W32:W37</xm:sqref>
        </x14:conditionalFormatting>
        <x14:conditionalFormatting xmlns:xm="http://schemas.microsoft.com/office/excel/2006/main">
          <x14:cfRule type="containsText" priority="1016" operator="containsText" id="{7EC3926B-D567-5F4A-A79A-443F753645A8}">
            <xm:f>NOT(ISERROR(SEARCH("-",AD15)))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28" operator="containsText" id="{25A58F26-0211-E94F-9BDD-1E77DEB55B25}">
            <xm:f>NOT(ISERROR(SEARCH("-",AD15)))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AD15:AD20</xm:sqref>
        </x14:conditionalFormatting>
        <x14:conditionalFormatting xmlns:xm="http://schemas.microsoft.com/office/excel/2006/main">
          <x14:cfRule type="containsText" priority="1022" operator="containsText" id="{A522F9AB-F7F0-794E-BE1C-D9D5D0F7AC2A}">
            <xm:f>NOT(ISERROR(SEARCH("-",AD15)))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34" operator="containsText" id="{B6818559-15CC-424B-8618-6AAC1E454D8B}">
            <xm:f>NOT(ISERROR(SEARCH("-",AD15)))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103" operator="containsText" id="{705B34AE-3598-A648-95A4-315FE3FDBC0D}">
            <xm:f>NOT(ISERROR(SEARCH("-",AD15)))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AD15:AD21</xm:sqref>
        </x14:conditionalFormatting>
        <x14:conditionalFormatting xmlns:xm="http://schemas.microsoft.com/office/excel/2006/main">
          <x14:cfRule type="containsText" priority="762" operator="containsText" id="{3D347687-EB9D-414E-BCC7-8C6E1F56E025}">
            <xm:f>NOT(ISERROR(SEARCH("-",AD23)))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74" operator="containsText" id="{448C3450-A1E3-C64B-AE20-5760A701BB6D}">
            <xm:f>NOT(ISERROR(SEARCH("-",AD23)))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AD23:AD28</xm:sqref>
        </x14:conditionalFormatting>
        <x14:conditionalFormatting xmlns:xm="http://schemas.microsoft.com/office/excel/2006/main">
          <x14:cfRule type="containsText" priority="768" operator="containsText" id="{29D4EE70-91E2-B845-855B-CEB5E3D7B04C}">
            <xm:f>NOT(ISERROR(SEARCH("-",AD23)))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80" operator="containsText" id="{E422BBB3-D974-6B4E-9D48-1BB9F1C47897}">
            <xm:f>NOT(ISERROR(SEARCH("-",AD23)))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865" operator="containsText" id="{272D5018-EFFF-4D49-B134-8B8F23E10379}">
            <xm:f>NOT(ISERROR(SEARCH("-",AD23)))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AD23:AD30</xm:sqref>
        </x14:conditionalFormatting>
        <x14:conditionalFormatting xmlns:xm="http://schemas.microsoft.com/office/excel/2006/main">
          <x14:cfRule type="containsText" priority="299" operator="containsText" id="{C7FE4CD2-5AB3-C24A-8EA5-DF62581E73E9}">
            <xm:f>NOT(ISERROR(SEARCH("-",AD32)))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05" operator="containsText" id="{0534ED4D-FB37-E947-A55A-CCE832880FA4}">
            <xm:f>NOT(ISERROR(SEARCH("-",AD32)))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11" operator="containsText" id="{75CA29C5-D0EE-5147-B131-1BBD14A8BE62}">
            <xm:f>NOT(ISERROR(SEARCH("-",AD32)))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17" operator="containsText" id="{FEA09784-B69B-9244-BB9B-496DABC27638}">
            <xm:f>NOT(ISERROR(SEARCH("-",AD32)))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23" operator="containsText" id="{E426AAA1-D262-1C4C-9801-6FD88BF26542}">
            <xm:f>NOT(ISERROR(SEARCH("-",AD32)))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31" operator="containsText" id="{5AED6ACA-C730-0C45-8F4E-9E830F6BDBD8}">
            <xm:f>NOT(ISERROR(SEARCH("-",AD32)))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38" operator="containsText" id="{8FAAE536-EDAB-AF41-A5F5-629118922FAB}">
            <xm:f>NOT(ISERROR(SEARCH("-",AD32)))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AD32:AD37</xm:sqref>
        </x14:conditionalFormatting>
        <x14:conditionalFormatting xmlns:xm="http://schemas.microsoft.com/office/excel/2006/main">
          <x14:cfRule type="containsText" priority="991" operator="containsText" id="{C06599A9-C0AC-EC46-BC99-ED2184B52792}">
            <xm:f>NOT(ISERROR(SEARCH("-",AK15)))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03" operator="containsText" id="{568B3CF2-FA5A-E240-8EA7-91B7B8CAA9AA}">
            <xm:f>NOT(ISERROR(SEARCH("-",AK15)))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AK15:AK20</xm:sqref>
        </x14:conditionalFormatting>
        <x14:conditionalFormatting xmlns:xm="http://schemas.microsoft.com/office/excel/2006/main">
          <x14:cfRule type="containsText" priority="997" operator="containsText" id="{27CBA6CA-A0F2-A446-AF4F-9B9F2AA2FC03}">
            <xm:f>NOT(ISERROR(SEARCH("-",AK15)))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10" operator="containsText" id="{B4A33E8C-1E05-AF40-88E3-C6DF4C745691}">
            <xm:f>NOT(ISERROR(SEARCH("-",AK15)))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AK15:AK21</xm:sqref>
        </x14:conditionalFormatting>
        <x14:conditionalFormatting xmlns:xm="http://schemas.microsoft.com/office/excel/2006/main">
          <x14:cfRule type="containsText" priority="737" operator="containsText" id="{874B8AB0-56F0-AC4C-A712-3A4AFBC55EC6}">
            <xm:f>NOT(ISERROR(SEARCH("-",AK23)))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49" operator="containsText" id="{7BC6E0F5-DDE8-AA4C-9DCF-9FA81A7AC20E}">
            <xm:f>NOT(ISERROR(SEARCH("-",AK23)))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AK23:AK28</xm:sqref>
        </x14:conditionalFormatting>
        <x14:conditionalFormatting xmlns:xm="http://schemas.microsoft.com/office/excel/2006/main">
          <x14:cfRule type="containsText" priority="743" operator="containsText" id="{99FC4FB4-C61D-4B47-B471-1345C71488B8}">
            <xm:f>NOT(ISERROR(SEARCH("-",AK23)))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56" operator="containsText" id="{46C82BD3-1187-6A42-AE8B-E3C8C578C5A2}">
            <xm:f>NOT(ISERROR(SEARCH("-",AK23)))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AK23:AK30</xm:sqref>
        </x14:conditionalFormatting>
        <x14:conditionalFormatting xmlns:xm="http://schemas.microsoft.com/office/excel/2006/main">
          <x14:cfRule type="containsText" priority="242" operator="containsText" id="{CCFA16D4-37AD-C04F-9A21-C210C8D83BC4}">
            <xm:f>NOT(ISERROR(SEARCH("-",AK32)))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48" operator="containsText" id="{E07D89DC-BC5F-6E4B-A27E-F8F847F271BF}">
            <xm:f>NOT(ISERROR(SEARCH("-",AK32)))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54" operator="containsText" id="{8EC90A29-281C-D84B-9643-557BDF30DC64}">
            <xm:f>NOT(ISERROR(SEARCH("-",AK32)))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60" operator="containsText" id="{46716CCB-6B5C-7941-8968-7751D87074E7}">
            <xm:f>NOT(ISERROR(SEARCH("-",AK32)))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66" operator="containsText" id="{1455C91F-D2F5-7948-A7F5-0E84BDB790DC}">
            <xm:f>NOT(ISERROR(SEARCH("-",AK32)))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74" operator="containsText" id="{05F1918D-9E83-3741-94CD-710AF65AFCA3}">
            <xm:f>NOT(ISERROR(SEARCH("-",AK32)))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81" operator="containsText" id="{093198DB-2791-904A-B260-E99B39E75E8A}">
            <xm:f>NOT(ISERROR(SEARCH("-",AK32)))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AK32:AK37</xm:sqref>
        </x14:conditionalFormatting>
        <x14:conditionalFormatting xmlns:xm="http://schemas.microsoft.com/office/excel/2006/main">
          <x14:cfRule type="containsText" priority="966" operator="containsText" id="{9BBE9CD6-3D33-0E43-9ADA-254E950D5716}">
            <xm:f>NOT(ISERROR(SEARCH("-",AR15)))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78" operator="containsText" id="{8A7E8CFE-A0EC-A54F-99B0-520777B4904A}">
            <xm:f>NOT(ISERROR(SEARCH("-",AR15)))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AR15:AR20</xm:sqref>
        </x14:conditionalFormatting>
        <x14:conditionalFormatting xmlns:xm="http://schemas.microsoft.com/office/excel/2006/main">
          <x14:cfRule type="containsText" priority="972" operator="containsText" id="{0551D238-7CBE-7F42-A4C4-9AEBB7D0E2BE}">
            <xm:f>NOT(ISERROR(SEARCH("-",AR15)))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85" operator="containsText" id="{CE309A35-3FD0-904B-A99B-AED09622CE14}">
            <xm:f>NOT(ISERROR(SEARCH("-",AR15)))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AR15:AR21</xm:sqref>
        </x14:conditionalFormatting>
        <x14:conditionalFormatting xmlns:xm="http://schemas.microsoft.com/office/excel/2006/main">
          <x14:cfRule type="containsText" priority="712" operator="containsText" id="{681CC7B3-D60D-7B4F-83AE-6234220EAD76}">
            <xm:f>NOT(ISERROR(SEARCH("-",AR23)))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24" operator="containsText" id="{9B7188FB-D121-ED48-9209-41B8AB9113E3}">
            <xm:f>NOT(ISERROR(SEARCH("-",AR23)))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AR23:AR28</xm:sqref>
        </x14:conditionalFormatting>
        <x14:conditionalFormatting xmlns:xm="http://schemas.microsoft.com/office/excel/2006/main">
          <x14:cfRule type="containsText" priority="718" operator="containsText" id="{25B7DE3F-002F-544B-A1C8-649D02C03FCD}">
            <xm:f>NOT(ISERROR(SEARCH("-",AR23)))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31" operator="containsText" id="{7FD385F1-1748-F743-AF66-FFDD14CDD765}">
            <xm:f>NOT(ISERROR(SEARCH("-",AR23)))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AR23:AR30</xm:sqref>
        </x14:conditionalFormatting>
        <x14:conditionalFormatting xmlns:xm="http://schemas.microsoft.com/office/excel/2006/main">
          <x14:cfRule type="containsText" priority="185" operator="containsText" id="{55255825-DE98-5A45-85B2-BADD8CCBAEB1}">
            <xm:f>NOT(ISERROR(SEARCH("-",AR32)))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91" operator="containsText" id="{2D397CD6-FC88-0A44-BC45-49EA9DA29800}">
            <xm:f>NOT(ISERROR(SEARCH("-",AR32)))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97" operator="containsText" id="{76B0329C-9C65-7545-9E66-1C7DCC382ABF}">
            <xm:f>NOT(ISERROR(SEARCH("-",AR32)))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03" operator="containsText" id="{59015F3B-7540-1A4C-AF90-E1E319226D81}">
            <xm:f>NOT(ISERROR(SEARCH("-",AR32)))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09" operator="containsText" id="{336BBEAF-A8F8-0B43-9B36-59F318D5BC71}">
            <xm:f>NOT(ISERROR(SEARCH("-",AR32)))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17" operator="containsText" id="{7930CCE6-B0DF-7040-B0D5-9F64A089A821}">
            <xm:f>NOT(ISERROR(SEARCH("-",AR32)))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24" operator="containsText" id="{D7EFD4FF-59A5-9E48-A528-97A68C5E236E}">
            <xm:f>NOT(ISERROR(SEARCH("-",AR32)))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AR32:AR37</xm:sqref>
        </x14:conditionalFormatting>
        <x14:conditionalFormatting xmlns:xm="http://schemas.microsoft.com/office/excel/2006/main">
          <x14:cfRule type="containsText" priority="941" operator="containsText" id="{EA0FCF30-A7E2-6842-8791-6CD093DF49A3}">
            <xm:f>NOT(ISERROR(SEARCH("-",AY15)))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53" operator="containsText" id="{04F80233-19CF-9D4E-8EB0-58E9010CC253}">
            <xm:f>NOT(ISERROR(SEARCH("-",AY15)))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AY15:AY20</xm:sqref>
        </x14:conditionalFormatting>
        <x14:conditionalFormatting xmlns:xm="http://schemas.microsoft.com/office/excel/2006/main">
          <x14:cfRule type="containsText" priority="947" operator="containsText" id="{1DEC4E80-ED7B-AB47-AE53-B5532B5F171D}">
            <xm:f>NOT(ISERROR(SEARCH("-",AY15)))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60" operator="containsText" id="{2E7FF978-0240-7249-9376-FCDEFD299496}">
            <xm:f>NOT(ISERROR(SEARCH("-",AY15)))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AY15:AY21</xm:sqref>
        </x14:conditionalFormatting>
        <x14:conditionalFormatting xmlns:xm="http://schemas.microsoft.com/office/excel/2006/main">
          <x14:cfRule type="containsText" priority="687" operator="containsText" id="{FCEFDEBA-21B9-5649-8C07-CF11D29627FB}">
            <xm:f>NOT(ISERROR(SEARCH("-",AY23)))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99" operator="containsText" id="{562C316E-C57C-304C-B7A2-3180F23B9149}">
            <xm:f>NOT(ISERROR(SEARCH("-",AY23)))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AY23:AY28</xm:sqref>
        </x14:conditionalFormatting>
        <x14:conditionalFormatting xmlns:xm="http://schemas.microsoft.com/office/excel/2006/main">
          <x14:cfRule type="containsText" priority="693" operator="containsText" id="{802566ED-7CBE-2349-B549-59AB14106DFC}">
            <xm:f>NOT(ISERROR(SEARCH("-",AY23)))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06" operator="containsText" id="{C035ABDF-97E9-EF4E-B57A-A7F073D2EEC6}">
            <xm:f>NOT(ISERROR(SEARCH("-",AY23)))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AY23:AY30</xm:sqref>
        </x14:conditionalFormatting>
        <x14:conditionalFormatting xmlns:xm="http://schemas.microsoft.com/office/excel/2006/main">
          <x14:cfRule type="containsText" priority="128" operator="containsText" id="{D5E22B24-807A-C844-8676-3BBD1450D7D3}">
            <xm:f>NOT(ISERROR(SEARCH("-",AY32)))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34" operator="containsText" id="{C74E570C-ABEB-684C-A9A9-CB150477093C}">
            <xm:f>NOT(ISERROR(SEARCH("-",AY32)))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40" operator="containsText" id="{78D18707-2F43-1A4D-9DE3-A2FB65E542B9}">
            <xm:f>NOT(ISERROR(SEARCH("-",AY32)))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46" operator="containsText" id="{AFD56E34-A6ED-9B42-AFE7-C82F86CE3E44}">
            <xm:f>NOT(ISERROR(SEARCH("-",AY32)))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52" operator="containsText" id="{856BB198-B9DA-2545-A8B3-B3F643D571D6}">
            <xm:f>NOT(ISERROR(SEARCH("-",AY32)))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60" operator="containsText" id="{67ADFC9B-D79C-B94F-8AAF-19F15772E000}">
            <xm:f>NOT(ISERROR(SEARCH("-",AY32)))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67" operator="containsText" id="{21702ECA-AE53-9940-9B88-7C7AA8C4C3D4}">
            <xm:f>NOT(ISERROR(SEARCH("-",AY32)))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AY32:AY37</xm:sqref>
        </x14:conditionalFormatting>
        <x14:conditionalFormatting xmlns:xm="http://schemas.microsoft.com/office/excel/2006/main">
          <x14:cfRule type="containsText" priority="916" operator="containsText" id="{9C447AD8-FAD9-A546-9C15-6522FDA56E72}">
            <xm:f>NOT(ISERROR(SEARCH("-",BF15)))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28" operator="containsText" id="{1410ABFA-0584-D842-8278-4C7C132DA303}">
            <xm:f>NOT(ISERROR(SEARCH("-",BF15)))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BF15:BF20</xm:sqref>
        </x14:conditionalFormatting>
        <x14:conditionalFormatting xmlns:xm="http://schemas.microsoft.com/office/excel/2006/main">
          <x14:cfRule type="containsText" priority="922" operator="containsText" id="{B36D4E7A-375C-CF46-900A-A460067D11AA}">
            <xm:f>NOT(ISERROR(SEARCH("-",BF15)))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35" operator="containsText" id="{60205770-5A77-7B4F-8C33-D9E2430AE2C2}">
            <xm:f>NOT(ISERROR(SEARCH("-",BF15)))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BF15:BF21</xm:sqref>
        </x14:conditionalFormatting>
        <x14:conditionalFormatting xmlns:xm="http://schemas.microsoft.com/office/excel/2006/main">
          <x14:cfRule type="containsText" priority="662" operator="containsText" id="{1E1B3522-5A9B-534A-89D3-AAED5CEC5F31}">
            <xm:f>NOT(ISERROR(SEARCH("-",BF23)))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74" operator="containsText" id="{EF2C6670-DCB4-A443-8B9A-DBB4DE658B48}">
            <xm:f>NOT(ISERROR(SEARCH("-",BF23)))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BF23:BF28</xm:sqref>
        </x14:conditionalFormatting>
        <x14:conditionalFormatting xmlns:xm="http://schemas.microsoft.com/office/excel/2006/main">
          <x14:cfRule type="containsText" priority="668" operator="containsText" id="{87F633AD-8796-2343-897C-161D10E5936A}">
            <xm:f>NOT(ISERROR(SEARCH("-",BF23)))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81" operator="containsText" id="{3A93758B-725F-8846-86BC-6CB4C419D477}">
            <xm:f>NOT(ISERROR(SEARCH("-",BF23)))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BF23:BF30</xm:sqref>
        </x14:conditionalFormatting>
        <x14:conditionalFormatting xmlns:xm="http://schemas.microsoft.com/office/excel/2006/main">
          <x14:cfRule type="containsText" priority="71" operator="containsText" id="{05EED206-567D-3C4D-BDB2-174338F6610D}">
            <xm:f>NOT(ISERROR(SEARCH("-",BF32)))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7" operator="containsText" id="{451EDD90-9DDC-A946-9A9B-789E902458DB}">
            <xm:f>NOT(ISERROR(SEARCH("-",BF32)))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83" operator="containsText" id="{CE480A40-2308-CC44-A312-F628C846B97A}">
            <xm:f>NOT(ISERROR(SEARCH("-",BF32)))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89" operator="containsText" id="{26064ECD-0A61-3A4E-A251-F69135216982}">
            <xm:f>NOT(ISERROR(SEARCH("-",BF32)))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5" operator="containsText" id="{CF884466-7951-A143-8CC7-7C61D3CEEB7F}">
            <xm:f>NOT(ISERROR(SEARCH("-",BF32)))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3" operator="containsText" id="{12D00CA8-0CEE-C240-B2F4-2E24CDF82388}">
            <xm:f>NOT(ISERROR(SEARCH("-",BF32)))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10" operator="containsText" id="{FBF58896-C409-E645-861C-782B19CD5376}">
            <xm:f>NOT(ISERROR(SEARCH("-",BF32)))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BF32:BF37</xm:sqref>
        </x14:conditionalFormatting>
        <x14:conditionalFormatting xmlns:xm="http://schemas.microsoft.com/office/excel/2006/main">
          <x14:cfRule type="containsText" priority="891" operator="containsText" id="{DC1738A3-5C30-4746-8868-5308107AA61E}">
            <xm:f>NOT(ISERROR(SEARCH("-",BM15)))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03" operator="containsText" id="{53E64B34-DB8F-F845-BBC0-BB2EFFA87A08}">
            <xm:f>NOT(ISERROR(SEARCH("-",BM15)))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BM15:BM20</xm:sqref>
        </x14:conditionalFormatting>
        <x14:conditionalFormatting xmlns:xm="http://schemas.microsoft.com/office/excel/2006/main">
          <x14:cfRule type="containsText" priority="897" operator="containsText" id="{B83E5E1E-7FAD-BE4C-B211-F916B4110749}">
            <xm:f>NOT(ISERROR(SEARCH("-",BM15)))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10" operator="containsText" id="{DDFA6EA9-1849-EB47-9062-76E1F8472B33}">
            <xm:f>NOT(ISERROR(SEARCH("-",BM15)))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BM15:BM21</xm:sqref>
        </x14:conditionalFormatting>
        <x14:conditionalFormatting xmlns:xm="http://schemas.microsoft.com/office/excel/2006/main">
          <x14:cfRule type="containsText" priority="637" operator="containsText" id="{A69E4568-7A2B-FA4B-936F-8C24D69C577E}">
            <xm:f>NOT(ISERROR(SEARCH("-",BM23)))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49" operator="containsText" id="{B2BC6EB1-11B8-B240-B94E-CDF30AFD60F6}">
            <xm:f>NOT(ISERROR(SEARCH("-",BM23)))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BM23:BM28</xm:sqref>
        </x14:conditionalFormatting>
        <x14:conditionalFormatting xmlns:xm="http://schemas.microsoft.com/office/excel/2006/main">
          <x14:cfRule type="containsText" priority="643" operator="containsText" id="{787265AA-D98E-5149-AB88-52AEA64FBD9E}">
            <xm:f>NOT(ISERROR(SEARCH("-",BM23)))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56" operator="containsText" id="{9C60FEF8-FBCC-494C-87B2-A446089A7357}">
            <xm:f>NOT(ISERROR(SEARCH("-",BM23)))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BM23:BM30</xm:sqref>
        </x14:conditionalFormatting>
        <x14:conditionalFormatting xmlns:xm="http://schemas.microsoft.com/office/excel/2006/main">
          <x14:cfRule type="containsText" priority="14" operator="containsText" id="{FD49F6EC-A6C6-6F40-912F-D427264B97E8}">
            <xm:f>NOT(ISERROR(SEARCH("-",BM32)))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0" operator="containsText" id="{7C1C8129-9BEF-9445-B538-7C994B67A439}">
            <xm:f>NOT(ISERROR(SEARCH("-",BM32)))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6" operator="containsText" id="{61D36635-157E-7D46-9A43-5F0E6D58D247}">
            <xm:f>NOT(ISERROR(SEARCH("-",BM32)))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2" operator="containsText" id="{53E6A2BA-F8EB-E14C-A38A-A465F8E2958A}">
            <xm:f>NOT(ISERROR(SEARCH("-",BM32)))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8" operator="containsText" id="{58DBBC44-F884-9C4B-A132-69C04CFB045E}">
            <xm:f>NOT(ISERROR(SEARCH("-",BM32)))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6" operator="containsText" id="{40D44B8E-BC5A-1F4F-8AF7-09B0A1050D73}">
            <xm:f>NOT(ISERROR(SEARCH("-",BM32)))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3" operator="containsText" id="{368659EE-57B4-8B40-921A-697BBF77CA20}">
            <xm:f>NOT(ISERROR(SEARCH("-",BM32)))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BM32:BM37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953D-5EB7-714B-A961-32CE5CEA684C}">
  <dimension ref="A1:BK40"/>
  <sheetViews>
    <sheetView tabSelected="1" topLeftCell="A4" zoomScale="125" workbookViewId="0">
      <pane xSplit="2" topLeftCell="C1" activePane="topRight" state="frozen"/>
      <selection pane="topRight" activeCell="L21" sqref="L21"/>
    </sheetView>
  </sheetViews>
  <sheetFormatPr baseColWidth="10" defaultRowHeight="16" x14ac:dyDescent="0.2"/>
  <cols>
    <col min="1" max="1" width="6.6640625" customWidth="1"/>
    <col min="2" max="2" width="13.1640625" customWidth="1"/>
    <col min="3" max="3" width="8.83203125" style="1" customWidth="1"/>
    <col min="4" max="8" width="8.83203125" customWidth="1"/>
    <col min="9" max="10" width="8.83203125" style="1" customWidth="1"/>
    <col min="11" max="15" width="8.83203125" customWidth="1"/>
    <col min="16" max="17" width="8.83203125" style="1" customWidth="1"/>
    <col min="18" max="22" width="8.83203125" customWidth="1"/>
    <col min="23" max="24" width="8.83203125" style="1" customWidth="1"/>
    <col min="25" max="29" width="8.83203125" customWidth="1"/>
    <col min="30" max="31" width="8.83203125" style="1" customWidth="1"/>
    <col min="32" max="36" width="8.83203125" customWidth="1"/>
    <col min="37" max="38" width="8.83203125" style="1" customWidth="1"/>
    <col min="39" max="43" width="8.83203125" customWidth="1"/>
    <col min="44" max="45" width="8.83203125" style="1" customWidth="1"/>
    <col min="46" max="50" width="8.83203125" customWidth="1"/>
    <col min="51" max="52" width="8.83203125" style="1" customWidth="1"/>
    <col min="53" max="57" width="8.83203125" customWidth="1"/>
    <col min="58" max="59" width="8.83203125" style="1" customWidth="1"/>
    <col min="60" max="61" width="8.83203125" customWidth="1"/>
    <col min="62" max="63" width="8.83203125" style="13" customWidth="1"/>
  </cols>
  <sheetData>
    <row r="1" spans="2:63" s="27" customFormat="1" x14ac:dyDescent="0.2">
      <c r="B1" s="18" t="s">
        <v>0</v>
      </c>
      <c r="C1" s="28">
        <v>46033</v>
      </c>
      <c r="D1" s="28">
        <v>46064</v>
      </c>
      <c r="E1" s="28">
        <v>46092</v>
      </c>
      <c r="F1" s="28">
        <v>46123</v>
      </c>
      <c r="G1" s="28">
        <v>46153</v>
      </c>
      <c r="H1" s="28">
        <v>46184</v>
      </c>
      <c r="I1" s="28">
        <v>46214</v>
      </c>
      <c r="J1" s="28">
        <v>46245</v>
      </c>
      <c r="K1" s="28">
        <v>46276</v>
      </c>
      <c r="L1" s="28">
        <v>46306</v>
      </c>
      <c r="M1" s="28">
        <v>46337</v>
      </c>
      <c r="N1" s="28">
        <v>46367</v>
      </c>
      <c r="O1" s="28" t="s">
        <v>38</v>
      </c>
      <c r="P1" s="28" t="s">
        <v>39</v>
      </c>
      <c r="Q1" s="28" t="s">
        <v>40</v>
      </c>
      <c r="R1" s="28" t="s">
        <v>41</v>
      </c>
      <c r="S1" s="28" t="s">
        <v>42</v>
      </c>
      <c r="T1" s="28" t="s">
        <v>43</v>
      </c>
      <c r="U1" s="28" t="s">
        <v>44</v>
      </c>
      <c r="V1" s="28" t="s">
        <v>45</v>
      </c>
      <c r="W1" s="28" t="s">
        <v>46</v>
      </c>
      <c r="X1" s="28" t="s">
        <v>47</v>
      </c>
      <c r="Y1" s="28" t="s">
        <v>48</v>
      </c>
      <c r="Z1" s="28" t="s">
        <v>49</v>
      </c>
      <c r="AA1" s="28" t="s">
        <v>50</v>
      </c>
      <c r="AB1" s="28" t="s">
        <v>51</v>
      </c>
      <c r="AC1" s="28" t="s">
        <v>52</v>
      </c>
      <c r="AD1" s="28" t="s">
        <v>53</v>
      </c>
      <c r="AE1" s="28" t="s">
        <v>54</v>
      </c>
      <c r="AF1" s="28" t="s">
        <v>55</v>
      </c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J1" s="27" t="s">
        <v>16</v>
      </c>
      <c r="BK1" s="27" t="s">
        <v>17</v>
      </c>
    </row>
    <row r="2" spans="2:63" x14ac:dyDescent="0.2">
      <c r="B2" s="18" t="s">
        <v>1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K2" t="s">
        <v>24</v>
      </c>
      <c r="L2" t="s">
        <v>13</v>
      </c>
      <c r="M2" t="s">
        <v>24</v>
      </c>
      <c r="N2" t="s">
        <v>24</v>
      </c>
      <c r="O2" t="s">
        <v>24</v>
      </c>
      <c r="P2" s="1" t="s">
        <v>66</v>
      </c>
      <c r="R2" t="s">
        <v>21</v>
      </c>
      <c r="S2" t="s">
        <v>30</v>
      </c>
      <c r="T2" t="s">
        <v>21</v>
      </c>
      <c r="U2" t="s">
        <v>21</v>
      </c>
      <c r="V2" t="s">
        <v>30</v>
      </c>
      <c r="Y2" t="s">
        <v>23</v>
      </c>
      <c r="Z2" t="s">
        <v>13</v>
      </c>
      <c r="AA2" t="s">
        <v>23</v>
      </c>
      <c r="AB2" t="s">
        <v>23</v>
      </c>
      <c r="AC2" t="s">
        <v>23</v>
      </c>
      <c r="AF2" t="s">
        <v>35</v>
      </c>
      <c r="BJ2" s="17">
        <f>COUNTIF($A2:$BH2, "*(call)*")</f>
        <v>3</v>
      </c>
      <c r="BK2" s="17">
        <f>COUNTIF($A2:$BH2, "leave")</f>
        <v>7</v>
      </c>
    </row>
    <row r="3" spans="2:63" x14ac:dyDescent="0.2">
      <c r="B3" s="18" t="s">
        <v>3</v>
      </c>
      <c r="D3" t="s">
        <v>25</v>
      </c>
      <c r="E3" t="s">
        <v>32</v>
      </c>
      <c r="F3" t="s">
        <v>25</v>
      </c>
      <c r="G3" t="s">
        <v>25</v>
      </c>
      <c r="H3" t="s">
        <v>25</v>
      </c>
      <c r="K3" t="s">
        <v>24</v>
      </c>
      <c r="L3" t="s">
        <v>24</v>
      </c>
      <c r="M3" t="s">
        <v>13</v>
      </c>
      <c r="N3" t="s">
        <v>13</v>
      </c>
      <c r="O3" t="s">
        <v>13</v>
      </c>
      <c r="R3" t="s">
        <v>21</v>
      </c>
      <c r="S3" t="s">
        <v>21</v>
      </c>
      <c r="T3" t="s">
        <v>21</v>
      </c>
      <c r="U3" t="s">
        <v>30</v>
      </c>
      <c r="V3" t="s">
        <v>21</v>
      </c>
      <c r="Y3" t="s">
        <v>13</v>
      </c>
      <c r="Z3" t="s">
        <v>23</v>
      </c>
      <c r="AA3" t="s">
        <v>13</v>
      </c>
      <c r="AB3" t="s">
        <v>13</v>
      </c>
      <c r="AC3" t="s">
        <v>13</v>
      </c>
      <c r="AF3" t="s">
        <v>23</v>
      </c>
      <c r="BJ3" s="17">
        <f>COUNTIF($A3:$BH3, "*(call)*")</f>
        <v>2</v>
      </c>
      <c r="BK3" s="17">
        <f>COUNTIF($A3:$BH3, "leave")</f>
        <v>7</v>
      </c>
    </row>
    <row r="4" spans="2:63" x14ac:dyDescent="0.2">
      <c r="B4" s="18" t="s">
        <v>4</v>
      </c>
      <c r="D4" t="s">
        <v>31</v>
      </c>
      <c r="E4" t="s">
        <v>20</v>
      </c>
      <c r="F4" t="s">
        <v>20</v>
      </c>
      <c r="G4" t="s">
        <v>31</v>
      </c>
      <c r="H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Q4" s="1" t="s">
        <v>66</v>
      </c>
      <c r="R4" t="s">
        <v>20</v>
      </c>
      <c r="S4" t="s">
        <v>20</v>
      </c>
      <c r="T4" t="s">
        <v>13</v>
      </c>
      <c r="U4" t="s">
        <v>13</v>
      </c>
      <c r="V4" t="s">
        <v>13</v>
      </c>
      <c r="Y4" t="s">
        <v>20</v>
      </c>
      <c r="Z4" t="s">
        <v>20</v>
      </c>
      <c r="AA4" t="s">
        <v>20</v>
      </c>
      <c r="AB4" t="s">
        <v>20</v>
      </c>
      <c r="AC4" t="s">
        <v>20</v>
      </c>
      <c r="AE4" s="1" t="s">
        <v>66</v>
      </c>
      <c r="AF4" t="s">
        <v>20</v>
      </c>
      <c r="BJ4" s="17">
        <f>COUNTIF($A4:$BH4, "*(call)*")</f>
        <v>4</v>
      </c>
      <c r="BK4" s="17">
        <f>COUNTIF($A4:$BH4, "leave")</f>
        <v>3</v>
      </c>
    </row>
    <row r="5" spans="2:63" x14ac:dyDescent="0.2">
      <c r="B5" s="18" t="s">
        <v>5</v>
      </c>
      <c r="C5" s="1" t="s">
        <v>66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s="1" t="s">
        <v>66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R5" t="s">
        <v>20</v>
      </c>
      <c r="S5" t="s">
        <v>13</v>
      </c>
      <c r="T5" t="s">
        <v>20</v>
      </c>
      <c r="U5" t="s">
        <v>20</v>
      </c>
      <c r="V5" t="s">
        <v>20</v>
      </c>
      <c r="Y5" t="s">
        <v>30</v>
      </c>
      <c r="Z5" t="s">
        <v>21</v>
      </c>
      <c r="AA5" t="s">
        <v>21</v>
      </c>
      <c r="AB5" t="s">
        <v>21</v>
      </c>
      <c r="AC5" t="s">
        <v>30</v>
      </c>
      <c r="AF5" t="s">
        <v>24</v>
      </c>
      <c r="BJ5" s="17">
        <f>COUNTIF($A5:$BH5, "*(call)*")</f>
        <v>4</v>
      </c>
      <c r="BK5" s="17">
        <f>COUNTIF($A5:$BH5, "leave")</f>
        <v>1</v>
      </c>
    </row>
    <row r="6" spans="2:63" x14ac:dyDescent="0.2">
      <c r="B6" s="18" t="s">
        <v>6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J6" s="1" t="s">
        <v>66</v>
      </c>
      <c r="K6" t="s">
        <v>21</v>
      </c>
      <c r="L6" t="s">
        <v>21</v>
      </c>
      <c r="M6" t="s">
        <v>30</v>
      </c>
      <c r="N6" t="s">
        <v>21</v>
      </c>
      <c r="O6" t="s">
        <v>21</v>
      </c>
      <c r="Q6" s="1" t="s">
        <v>66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Y6" t="s">
        <v>23</v>
      </c>
      <c r="Z6" t="s">
        <v>23</v>
      </c>
      <c r="AA6" t="s">
        <v>23</v>
      </c>
      <c r="AB6" t="s">
        <v>29</v>
      </c>
      <c r="AC6" t="s">
        <v>23</v>
      </c>
      <c r="AF6" t="s">
        <v>13</v>
      </c>
      <c r="BJ6" s="17">
        <f>COUNTIF($A6:$BH6, "*(call)*")</f>
        <v>4</v>
      </c>
      <c r="BK6" s="17">
        <f>COUNTIF($A6:$BH6, "leave")</f>
        <v>1</v>
      </c>
    </row>
    <row r="7" spans="2:63" x14ac:dyDescent="0.2">
      <c r="B7" s="18" t="s">
        <v>7</v>
      </c>
      <c r="C7" s="1" t="s">
        <v>66</v>
      </c>
      <c r="D7" t="s">
        <v>24</v>
      </c>
      <c r="E7" t="s">
        <v>24</v>
      </c>
      <c r="F7" t="s">
        <v>24</v>
      </c>
      <c r="G7" t="s">
        <v>24</v>
      </c>
      <c r="H7" t="s">
        <v>28</v>
      </c>
      <c r="K7" t="s">
        <v>21</v>
      </c>
      <c r="L7" t="s">
        <v>21</v>
      </c>
      <c r="M7" t="s">
        <v>13</v>
      </c>
      <c r="N7" t="s">
        <v>21</v>
      </c>
      <c r="O7" t="s">
        <v>21</v>
      </c>
      <c r="R7" t="s">
        <v>23</v>
      </c>
      <c r="S7" t="s">
        <v>13</v>
      </c>
      <c r="T7" t="s">
        <v>23</v>
      </c>
      <c r="U7" t="s">
        <v>13</v>
      </c>
      <c r="V7" t="s">
        <v>13</v>
      </c>
      <c r="Y7" t="s">
        <v>22</v>
      </c>
      <c r="Z7" t="s">
        <v>26</v>
      </c>
      <c r="AA7" t="s">
        <v>22</v>
      </c>
      <c r="AB7" t="s">
        <v>22</v>
      </c>
      <c r="AC7" t="s">
        <v>22</v>
      </c>
      <c r="AF7" t="s">
        <v>21</v>
      </c>
      <c r="BJ7" s="17">
        <f>COUNTIF($A7:$BH7, "*(call)*")</f>
        <v>3</v>
      </c>
      <c r="BK7" s="17">
        <f>COUNTIF($A7:$BH7, "leave")</f>
        <v>4</v>
      </c>
    </row>
    <row r="8" spans="2:63" x14ac:dyDescent="0.2">
      <c r="B8" s="18" t="s">
        <v>8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s="1" t="s">
        <v>66</v>
      </c>
      <c r="K8" t="s">
        <v>21</v>
      </c>
      <c r="L8" t="s">
        <v>21</v>
      </c>
      <c r="M8" t="s">
        <v>21</v>
      </c>
      <c r="N8" t="s">
        <v>13</v>
      </c>
      <c r="O8" t="s">
        <v>13</v>
      </c>
      <c r="R8" t="s">
        <v>29</v>
      </c>
      <c r="S8" t="s">
        <v>23</v>
      </c>
      <c r="T8" t="s">
        <v>13</v>
      </c>
      <c r="U8" t="s">
        <v>23</v>
      </c>
      <c r="V8" t="s">
        <v>23</v>
      </c>
      <c r="W8" s="1" t="s">
        <v>66</v>
      </c>
      <c r="Y8" t="s">
        <v>13</v>
      </c>
      <c r="Z8" t="s">
        <v>13</v>
      </c>
      <c r="AA8" t="s">
        <v>13</v>
      </c>
      <c r="AB8" t="s">
        <v>13</v>
      </c>
      <c r="AC8" t="s">
        <v>13</v>
      </c>
      <c r="AF8" t="s">
        <v>30</v>
      </c>
      <c r="BJ8" s="17">
        <f>COUNTIF($A8:$BH8, "*(call)*")</f>
        <v>4</v>
      </c>
      <c r="BK8" s="17">
        <f>COUNTIF($A8:$BH8, "leave")</f>
        <v>8</v>
      </c>
    </row>
    <row r="9" spans="2:63" x14ac:dyDescent="0.2">
      <c r="B9" s="18" t="s">
        <v>9</v>
      </c>
      <c r="D9" t="s">
        <v>13</v>
      </c>
      <c r="E9" t="s">
        <v>13</v>
      </c>
      <c r="F9" t="s">
        <v>13</v>
      </c>
      <c r="G9" t="s">
        <v>21</v>
      </c>
      <c r="H9" t="s">
        <v>21</v>
      </c>
      <c r="K9" t="s">
        <v>29</v>
      </c>
      <c r="L9" t="s">
        <v>23</v>
      </c>
      <c r="M9" t="s">
        <v>23</v>
      </c>
      <c r="N9" t="s">
        <v>29</v>
      </c>
      <c r="O9" t="s">
        <v>23</v>
      </c>
      <c r="R9" t="s">
        <v>24</v>
      </c>
      <c r="S9" t="s">
        <v>24</v>
      </c>
      <c r="T9" t="s">
        <v>24</v>
      </c>
      <c r="U9" t="s">
        <v>24</v>
      </c>
      <c r="V9" t="s">
        <v>24</v>
      </c>
      <c r="W9" s="1" t="s">
        <v>66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s="1" t="s">
        <v>66</v>
      </c>
      <c r="AF9" t="s">
        <v>22</v>
      </c>
      <c r="BJ9" s="17">
        <f>COUNTIF($A9:$BH9, "*(call)*")</f>
        <v>4</v>
      </c>
      <c r="BK9" s="17">
        <f>COUNTIF($A9:$BH9, "leave")</f>
        <v>3</v>
      </c>
    </row>
    <row r="10" spans="2:63" x14ac:dyDescent="0.2">
      <c r="B10" s="18" t="s">
        <v>10</v>
      </c>
      <c r="D10" t="s">
        <v>21</v>
      </c>
      <c r="E10" t="s">
        <v>21</v>
      </c>
      <c r="F10" t="s">
        <v>21</v>
      </c>
      <c r="G10" t="s">
        <v>13</v>
      </c>
      <c r="H10" t="s">
        <v>13</v>
      </c>
      <c r="K10" t="s">
        <v>23</v>
      </c>
      <c r="L10" t="s">
        <v>29</v>
      </c>
      <c r="M10" t="s">
        <v>23</v>
      </c>
      <c r="N10" t="s">
        <v>23</v>
      </c>
      <c r="O10" t="s">
        <v>23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X10" s="1" t="s">
        <v>66</v>
      </c>
      <c r="Y10" t="s">
        <v>25</v>
      </c>
      <c r="Z10" t="s">
        <v>25</v>
      </c>
      <c r="AA10" t="s">
        <v>25</v>
      </c>
      <c r="AB10" t="s">
        <v>25</v>
      </c>
      <c r="AC10" t="s">
        <v>25</v>
      </c>
      <c r="AD10" s="1" t="s">
        <v>66</v>
      </c>
      <c r="AF10" t="s">
        <v>21</v>
      </c>
      <c r="BJ10" s="17">
        <f>COUNTIF($A10:$BH10, "*(call)*")</f>
        <v>3</v>
      </c>
      <c r="BK10" s="17">
        <f>COUNTIF($A10:$BH10, "leave")</f>
        <v>2</v>
      </c>
    </row>
    <row r="11" spans="2:63" x14ac:dyDescent="0.2">
      <c r="B11" s="18" t="s">
        <v>11</v>
      </c>
      <c r="D11" t="s">
        <v>23</v>
      </c>
      <c r="E11" t="s">
        <v>23</v>
      </c>
      <c r="F11" t="s">
        <v>29</v>
      </c>
      <c r="G11" t="s">
        <v>23</v>
      </c>
      <c r="H11" t="s">
        <v>23</v>
      </c>
      <c r="J11" s="1" t="s">
        <v>66</v>
      </c>
      <c r="K11" t="s">
        <v>22</v>
      </c>
      <c r="L11" t="s">
        <v>22</v>
      </c>
      <c r="M11" t="s">
        <v>22</v>
      </c>
      <c r="N11" t="s">
        <v>22</v>
      </c>
      <c r="O11" t="s">
        <v>26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Y11" t="s">
        <v>21</v>
      </c>
      <c r="Z11" t="s">
        <v>21</v>
      </c>
      <c r="AA11" t="s">
        <v>21</v>
      </c>
      <c r="AB11" t="s">
        <v>21</v>
      </c>
      <c r="AC11" t="s">
        <v>21</v>
      </c>
      <c r="AE11" s="1" t="s">
        <v>66</v>
      </c>
      <c r="AF11" t="s">
        <v>25</v>
      </c>
      <c r="BJ11" s="17">
        <f>COUNTIF($A11:$BH11, "*(call)*")</f>
        <v>4</v>
      </c>
      <c r="BK11" s="17">
        <f>COUNTIF($A11:$BH11, "leave")</f>
        <v>0</v>
      </c>
    </row>
    <row r="12" spans="2:63" x14ac:dyDescent="0.2">
      <c r="B12" s="18" t="s">
        <v>12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s="1" t="s">
        <v>66</v>
      </c>
      <c r="R12" t="s">
        <v>13</v>
      </c>
      <c r="S12" t="s">
        <v>23</v>
      </c>
      <c r="T12" t="s">
        <v>29</v>
      </c>
      <c r="U12" t="s">
        <v>23</v>
      </c>
      <c r="V12" t="s">
        <v>23</v>
      </c>
      <c r="X12" s="1" t="s">
        <v>66</v>
      </c>
      <c r="Y12" t="s">
        <v>24</v>
      </c>
      <c r="Z12" t="s">
        <v>24</v>
      </c>
      <c r="AA12" t="s">
        <v>28</v>
      </c>
      <c r="AB12" t="s">
        <v>24</v>
      </c>
      <c r="AC12" t="s">
        <v>24</v>
      </c>
      <c r="AF12" t="s">
        <v>23</v>
      </c>
      <c r="BJ12" s="17">
        <f>COUNTIF($A12:$BH12, "*(call)*")</f>
        <v>4</v>
      </c>
      <c r="BK12" s="17">
        <f>COUNTIF($A12:$BH12, "leave")</f>
        <v>1</v>
      </c>
    </row>
    <row r="13" spans="2:63" x14ac:dyDescent="0.2">
      <c r="B13" s="18"/>
      <c r="BJ13" s="17"/>
      <c r="BK13" s="17"/>
    </row>
    <row r="14" spans="2:63" x14ac:dyDescent="0.2">
      <c r="B14" s="18"/>
      <c r="BJ14" s="17"/>
      <c r="BK14" s="17"/>
    </row>
    <row r="15" spans="2:63" x14ac:dyDescent="0.2">
      <c r="B15" s="18"/>
      <c r="BJ15" s="17"/>
      <c r="BK15" s="17"/>
    </row>
    <row r="16" spans="2:63" x14ac:dyDescent="0.2">
      <c r="BJ16" s="17"/>
      <c r="BK16" s="17"/>
    </row>
    <row r="17" spans="1:63" s="30" customFormat="1" x14ac:dyDescent="0.2">
      <c r="A17" s="29" t="s">
        <v>14</v>
      </c>
      <c r="B17" s="29" t="s">
        <v>33</v>
      </c>
      <c r="D17" s="30" t="s">
        <v>18</v>
      </c>
      <c r="K17" s="30" t="s">
        <v>18</v>
      </c>
      <c r="R17" s="30" t="s">
        <v>18</v>
      </c>
      <c r="Y17" s="30" t="s">
        <v>18</v>
      </c>
      <c r="AF17" s="30" t="s">
        <v>18</v>
      </c>
      <c r="AM17" s="30" t="s">
        <v>18</v>
      </c>
      <c r="AT17" s="30" t="s">
        <v>18</v>
      </c>
      <c r="BA17" s="30" t="s">
        <v>18</v>
      </c>
      <c r="BJ17" s="31"/>
      <c r="BK17" s="31"/>
    </row>
    <row r="18" spans="1:63" s="1" customFormat="1" x14ac:dyDescent="0.2">
      <c r="A18" s="24" t="s">
        <v>21</v>
      </c>
      <c r="B18" s="23">
        <v>3</v>
      </c>
      <c r="C18" s="5" t="s">
        <v>21</v>
      </c>
      <c r="D18" s="1">
        <f>-COUNTIF(D$2:D$12,$A18 &amp; "*") +$B18</f>
        <v>1</v>
      </c>
      <c r="E18" s="1">
        <f>-COUNTIF(E$2:E$12,$A18 &amp; "*") +$B18</f>
        <v>1</v>
      </c>
      <c r="F18" s="1">
        <f>-COUNTIF(F$2:F$12,$A18 &amp; "*") +$B18</f>
        <v>1</v>
      </c>
      <c r="G18" s="1">
        <f>-COUNTIF(G$2:G$12,$A18 &amp; "*") +$B18</f>
        <v>1</v>
      </c>
      <c r="H18" s="1">
        <f>-COUNTIF(H$2:H$12,$A18 &amp; "*") +$B18</f>
        <v>1</v>
      </c>
      <c r="J18" s="5" t="s">
        <v>21</v>
      </c>
      <c r="K18" s="1">
        <f>-COUNTIF(K$2:K$12,$A18 &amp; "*") +$B18</f>
        <v>0</v>
      </c>
      <c r="L18" s="1">
        <f>-COUNTIF(L$2:L$12,$A18 &amp; "*") +$B18</f>
        <v>0</v>
      </c>
      <c r="M18" s="1">
        <f>-COUNTIF(M$2:M$12,$A18 &amp; "*") +$B18</f>
        <v>1</v>
      </c>
      <c r="N18" s="1">
        <f>-COUNTIF(N$2:N$12,$A18 &amp; "*") +$B18</f>
        <v>1</v>
      </c>
      <c r="O18" s="1">
        <f>-COUNTIF(O$2:O$12,$A18 &amp; "*") +$B18</f>
        <v>1</v>
      </c>
      <c r="Q18" s="5" t="s">
        <v>21</v>
      </c>
      <c r="R18" s="1">
        <f>-COUNTIF(R$2:R$12,$A18 &amp; "*") +$B18</f>
        <v>1</v>
      </c>
      <c r="S18" s="1">
        <f>-COUNTIF(S$2:S$12,$A18 &amp; "*") +$B18</f>
        <v>1</v>
      </c>
      <c r="T18" s="1">
        <f>-COUNTIF(T$2:T$12,$A18 &amp; "*") +$B18</f>
        <v>1</v>
      </c>
      <c r="U18" s="1">
        <f>-COUNTIF(U$2:U$12,$A18 &amp; "*") +$B18</f>
        <v>1</v>
      </c>
      <c r="V18" s="1">
        <f>-COUNTIF(V$2:V$12,$A18 &amp; "*") +$B18</f>
        <v>1</v>
      </c>
      <c r="X18" s="5" t="s">
        <v>21</v>
      </c>
      <c r="Y18" s="1">
        <f>-COUNTIF(Y$2:Y$12,$A18 &amp; "*") +$B18</f>
        <v>1</v>
      </c>
      <c r="Z18" s="1">
        <f>-COUNTIF(Z$2:Z$12,$A18 &amp; "*") +$B18</f>
        <v>1</v>
      </c>
      <c r="AA18" s="1">
        <f>-COUNTIF(AA$2:AA$12,$A18 &amp; "*") +$B18</f>
        <v>1</v>
      </c>
      <c r="AB18" s="1">
        <f>-COUNTIF(AB$2:AB$12,$A18 &amp; "*") +$B18</f>
        <v>1</v>
      </c>
      <c r="AC18" s="1">
        <f>-COUNTIF(AC$2:AC$12,$A18 &amp; "*") +$B18</f>
        <v>1</v>
      </c>
      <c r="AE18" s="5" t="s">
        <v>21</v>
      </c>
      <c r="AF18" s="1">
        <f>-COUNTIF(AF$2:AF$12,$A18 &amp; "*") +$B18</f>
        <v>0</v>
      </c>
      <c r="AG18" s="1">
        <f>-COUNTIF(AG$2:AG$12,$A18 &amp; "*") +$B18</f>
        <v>3</v>
      </c>
      <c r="AH18" s="1">
        <f>-COUNTIF(AH$2:AH$12,$A18 &amp; "*") +$B18</f>
        <v>3</v>
      </c>
      <c r="AI18" s="1">
        <f>-COUNTIF(AI$2:AI$12,$A18 &amp; "*") +$B18</f>
        <v>3</v>
      </c>
      <c r="AJ18" s="1">
        <f>-COUNTIF(AJ$2:AJ$12,$A18 &amp; "*") +$B18</f>
        <v>3</v>
      </c>
      <c r="AL18" s="5" t="s">
        <v>21</v>
      </c>
      <c r="AM18" s="1">
        <f>-COUNTIF(AM$2:AM$12,$A18 &amp; "*") +$B18</f>
        <v>3</v>
      </c>
      <c r="AN18" s="1">
        <f>-COUNTIF(AN$2:AN$12,$A18 &amp; "*") +$B18</f>
        <v>3</v>
      </c>
      <c r="AO18" s="1">
        <f>-COUNTIF(AO$2:AO$12,$A18 &amp; "*") +$B18</f>
        <v>3</v>
      </c>
      <c r="AP18" s="1">
        <f>-COUNTIF(AP$2:AP$12,$A18 &amp; "*") +$B18</f>
        <v>3</v>
      </c>
      <c r="AQ18" s="1">
        <f>-COUNTIF(AQ$2:AQ$12,$A18 &amp; "*") +$B18</f>
        <v>3</v>
      </c>
      <c r="AS18" s="5" t="s">
        <v>21</v>
      </c>
      <c r="AT18" s="1">
        <f>-COUNTIF(AT$2:AT$12,$A18 &amp; "*") +$B18</f>
        <v>3</v>
      </c>
      <c r="AU18" s="1">
        <f>-COUNTIF(AU$2:AU$12,$A18 &amp; "*") +$B18</f>
        <v>3</v>
      </c>
      <c r="AV18" s="1">
        <f>-COUNTIF(AV$2:AV$12,$A18 &amp; "*") +$B18</f>
        <v>3</v>
      </c>
      <c r="AW18" s="1">
        <f>-COUNTIF(AW$2:AW$12,$A18 &amp; "*") +$B18</f>
        <v>3</v>
      </c>
      <c r="AX18" s="1">
        <f>-COUNTIF(AX$2:AX$12,$A18 &amp; "*") +$B18</f>
        <v>3</v>
      </c>
      <c r="AZ18" s="5" t="s">
        <v>21</v>
      </c>
      <c r="BA18" s="1">
        <f>-COUNTIF(BA$2:BA$12,$A18 &amp; "*") +$B18</f>
        <v>3</v>
      </c>
      <c r="BB18" s="1">
        <f>-COUNTIF(BB$2:BB$12,$A18 &amp; "*") +$B18</f>
        <v>3</v>
      </c>
      <c r="BC18" s="1">
        <f>-COUNTIF(BC$2:BC$12,$A18 &amp; "*") +$B18</f>
        <v>3</v>
      </c>
      <c r="BD18" s="1">
        <f>-COUNTIF(BD$2:BD$12,$A18 &amp; "*") +$B18</f>
        <v>3</v>
      </c>
      <c r="BE18" s="1">
        <f>-COUNTIF(BE$2:BE$12,$A18 &amp; "*") +$B18</f>
        <v>3</v>
      </c>
      <c r="BG18" s="5" t="s">
        <v>21</v>
      </c>
      <c r="BH18" s="1">
        <f>-COUNTIF(BH$2:BH$12,$A18 &amp; "*") +$B18</f>
        <v>3</v>
      </c>
      <c r="BJ18" s="11"/>
      <c r="BK18" s="11"/>
    </row>
    <row r="19" spans="1:63" s="1" customFormat="1" x14ac:dyDescent="0.2">
      <c r="A19" s="24" t="s">
        <v>24</v>
      </c>
      <c r="B19" s="23">
        <v>2</v>
      </c>
      <c r="C19" s="5" t="s">
        <v>24</v>
      </c>
      <c r="D19" s="1">
        <f>-COUNTIF(D$2:D$12,$A19 &amp; "*") +$B19</f>
        <v>1</v>
      </c>
      <c r="E19" s="1">
        <f>-COUNTIF(E$2:E$12,$A19 &amp; "*") +$B19</f>
        <v>1</v>
      </c>
      <c r="F19" s="1">
        <f>-COUNTIF(F$2:F$12,$A19 &amp; "*") +$B19</f>
        <v>1</v>
      </c>
      <c r="G19" s="1">
        <f>-COUNTIF(G$2:G$12,$A19 &amp; "*") +$B19</f>
        <v>1</v>
      </c>
      <c r="H19" s="1">
        <f>-COUNTIF(H$2:H$12,$A19 &amp; "*") +$B19</f>
        <v>1</v>
      </c>
      <c r="J19" s="5" t="s">
        <v>24</v>
      </c>
      <c r="K19" s="1">
        <f>-COUNTIF(K$2:K$12,$A19 &amp; "*") +$B19</f>
        <v>0</v>
      </c>
      <c r="L19" s="1">
        <f>-COUNTIF(L$2:L$12,$A19 &amp; "*") +$B19</f>
        <v>1</v>
      </c>
      <c r="M19" s="1">
        <f>-COUNTIF(M$2:M$12,$A19 &amp; "*") +$B19</f>
        <v>1</v>
      </c>
      <c r="N19" s="1">
        <f>-COUNTIF(N$2:N$12,$A19 &amp; "*") +$B19</f>
        <v>1</v>
      </c>
      <c r="O19" s="1">
        <f>-COUNTIF(O$2:O$12,$A19 &amp; "*") +$B19</f>
        <v>1</v>
      </c>
      <c r="Q19" s="5" t="s">
        <v>24</v>
      </c>
      <c r="R19" s="1">
        <f>-COUNTIF(R$2:R$12,$A19 &amp; "*") +$B19</f>
        <v>1</v>
      </c>
      <c r="S19" s="1">
        <f>-COUNTIF(S$2:S$12,$A19 &amp; "*") +$B19</f>
        <v>1</v>
      </c>
      <c r="T19" s="1">
        <f>-COUNTIF(T$2:T$12,$A19 &amp; "*") +$B19</f>
        <v>1</v>
      </c>
      <c r="U19" s="1">
        <f>-COUNTIF(U$2:U$12,$A19 &amp; "*") +$B19</f>
        <v>1</v>
      </c>
      <c r="V19" s="1">
        <f>-COUNTIF(V$2:V$12,$A19 &amp; "*") +$B19</f>
        <v>1</v>
      </c>
      <c r="X19" s="5" t="s">
        <v>24</v>
      </c>
      <c r="Y19" s="1">
        <f>-COUNTIF(Y$2:Y$12,$A19 &amp; "*") +$B19</f>
        <v>1</v>
      </c>
      <c r="Z19" s="1">
        <f>-COUNTIF(Z$2:Z$12,$A19 &amp; "*") +$B19</f>
        <v>1</v>
      </c>
      <c r="AA19" s="1">
        <f>-COUNTIF(AA$2:AA$12,$A19 &amp; "*") +$B19</f>
        <v>1</v>
      </c>
      <c r="AB19" s="1">
        <f>-COUNTIF(AB$2:AB$12,$A19 &amp; "*") +$B19</f>
        <v>1</v>
      </c>
      <c r="AC19" s="1">
        <f>-COUNTIF(AC$2:AC$12,$A19 &amp; "*") +$B19</f>
        <v>1</v>
      </c>
      <c r="AE19" s="5" t="s">
        <v>24</v>
      </c>
      <c r="AF19" s="1">
        <f>-COUNTIF(AF$2:AF$12,$A19 &amp; "*") +$B19</f>
        <v>1</v>
      </c>
      <c r="AG19" s="1">
        <f>-COUNTIF(AG$2:AG$12,$A19 &amp; "*") +$B19</f>
        <v>2</v>
      </c>
      <c r="AH19" s="1">
        <f>-COUNTIF(AH$2:AH$12,$A19 &amp; "*") +$B19</f>
        <v>2</v>
      </c>
      <c r="AI19" s="1">
        <f>-COUNTIF(AI$2:AI$12,$A19 &amp; "*") +$B19</f>
        <v>2</v>
      </c>
      <c r="AJ19" s="1">
        <f>-COUNTIF(AJ$2:AJ$12,$A19 &amp; "*") +$B19</f>
        <v>2</v>
      </c>
      <c r="AL19" s="5" t="s">
        <v>24</v>
      </c>
      <c r="AM19" s="1">
        <f>-COUNTIF(AM$2:AM$12,$A19 &amp; "*") +$B19</f>
        <v>2</v>
      </c>
      <c r="AN19" s="1">
        <f>-COUNTIF(AN$2:AN$12,$A19 &amp; "*") +$B19</f>
        <v>2</v>
      </c>
      <c r="AO19" s="1">
        <f>-COUNTIF(AO$2:AO$12,$A19 &amp; "*") +$B19</f>
        <v>2</v>
      </c>
      <c r="AP19" s="1">
        <f>-COUNTIF(AP$2:AP$12,$A19 &amp; "*") +$B19</f>
        <v>2</v>
      </c>
      <c r="AQ19" s="1">
        <f>-COUNTIF(AQ$2:AQ$12,$A19 &amp; "*") +$B19</f>
        <v>2</v>
      </c>
      <c r="AS19" s="5" t="s">
        <v>24</v>
      </c>
      <c r="AT19" s="1">
        <f>-COUNTIF(AT$2:AT$12,$A19 &amp; "*") +$B19</f>
        <v>2</v>
      </c>
      <c r="AU19" s="1">
        <f>-COUNTIF(AU$2:AU$12,$A19 &amp; "*") +$B19</f>
        <v>2</v>
      </c>
      <c r="AV19" s="1">
        <f>-COUNTIF(AV$2:AV$12,$A19 &amp; "*") +$B19</f>
        <v>2</v>
      </c>
      <c r="AW19" s="1">
        <f>-COUNTIF(AW$2:AW$12,$A19 &amp; "*") +$B19</f>
        <v>2</v>
      </c>
      <c r="AX19" s="1">
        <f>-COUNTIF(AX$2:AX$12,$A19 &amp; "*") +$B19</f>
        <v>2</v>
      </c>
      <c r="AZ19" s="5" t="s">
        <v>24</v>
      </c>
      <c r="BA19" s="1">
        <f>-COUNTIF(BA$2:BA$12,$A19 &amp; "*") +$B19</f>
        <v>2</v>
      </c>
      <c r="BB19" s="1">
        <f>-COUNTIF(BB$2:BB$12,$A19 &amp; "*") +$B19</f>
        <v>2</v>
      </c>
      <c r="BC19" s="1">
        <f>-COUNTIF(BC$2:BC$12,$A19 &amp; "*") +$B19</f>
        <v>2</v>
      </c>
      <c r="BD19" s="1">
        <f>-COUNTIF(BD$2:BD$12,$A19 &amp; "*") +$B19</f>
        <v>2</v>
      </c>
      <c r="BE19" s="1">
        <f>-COUNTIF(BE$2:BE$12,$A19 &amp; "*") +$B19</f>
        <v>2</v>
      </c>
      <c r="BG19" s="5" t="s">
        <v>24</v>
      </c>
      <c r="BH19" s="1">
        <f>-COUNTIF(BH$2:BH$12,$A19 &amp; "*") +$B19</f>
        <v>2</v>
      </c>
      <c r="BJ19" s="11"/>
      <c r="BK19" s="11"/>
    </row>
    <row r="20" spans="1:63" s="1" customFormat="1" x14ac:dyDescent="0.2">
      <c r="A20" s="24" t="s">
        <v>23</v>
      </c>
      <c r="B20" s="23">
        <v>2</v>
      </c>
      <c r="C20" s="5" t="s">
        <v>23</v>
      </c>
      <c r="D20" s="1">
        <f>-COUNTIF(D$2:D$12,$A20 &amp; "*") +$B20</f>
        <v>0</v>
      </c>
      <c r="E20" s="1">
        <f>-COUNTIF(E$2:E$12,$A20 &amp; "*") +$B20</f>
        <v>0</v>
      </c>
      <c r="F20" s="1">
        <f>-COUNTIF(F$2:F$12,$A20 &amp; "*") +$B20</f>
        <v>0</v>
      </c>
      <c r="G20" s="1">
        <f>-COUNTIF(G$2:G$12,$A20 &amp; "*") +$B20</f>
        <v>0</v>
      </c>
      <c r="H20" s="1">
        <f>-COUNTIF(H$2:H$12,$A20 &amp; "*") +$B20</f>
        <v>0</v>
      </c>
      <c r="J20" s="5" t="s">
        <v>23</v>
      </c>
      <c r="K20" s="1">
        <f>-COUNTIF(K$2:K$12,$A20 &amp; "*") +$B20</f>
        <v>0</v>
      </c>
      <c r="L20" s="1">
        <f>-COUNTIF(L$2:L$12,$A20 &amp; "*") +$B20</f>
        <v>0</v>
      </c>
      <c r="M20" s="1">
        <f>-COUNTIF(M$2:M$12,$A20 &amp; "*") +$B20</f>
        <v>0</v>
      </c>
      <c r="N20" s="1">
        <f>-COUNTIF(N$2:N$12,$A20 &amp; "*") +$B20</f>
        <v>0</v>
      </c>
      <c r="O20" s="1">
        <f>-COUNTIF(O$2:O$12,$A20 &amp; "*") +$B20</f>
        <v>0</v>
      </c>
      <c r="Q20" s="5" t="s">
        <v>23</v>
      </c>
      <c r="R20" s="1">
        <f>-COUNTIF(R$2:R$12,$A20 &amp; "*") +$B20</f>
        <v>0</v>
      </c>
      <c r="S20" s="1">
        <f>-COUNTIF(S$2:S$12,$A20 &amp; "*") +$B20</f>
        <v>0</v>
      </c>
      <c r="T20" s="1">
        <f>-COUNTIF(T$2:T$12,$A20 &amp; "*") +$B20</f>
        <v>0</v>
      </c>
      <c r="U20" s="1">
        <f>-COUNTIF(U$2:U$12,$A20 &amp; "*") +$B20</f>
        <v>0</v>
      </c>
      <c r="V20" s="1">
        <f>-COUNTIF(V$2:V$12,$A20 &amp; "*") +$B20</f>
        <v>0</v>
      </c>
      <c r="X20" s="5" t="s">
        <v>23</v>
      </c>
      <c r="Y20" s="1">
        <f>-COUNTIF(Y$2:Y$12,$A20 &amp; "*") +$B20</f>
        <v>0</v>
      </c>
      <c r="Z20" s="1">
        <f>-COUNTIF(Z$2:Z$12,$A20 &amp; "*") +$B20</f>
        <v>0</v>
      </c>
      <c r="AA20" s="1">
        <f>-COUNTIF(AA$2:AA$12,$A20 &amp; "*") +$B20</f>
        <v>0</v>
      </c>
      <c r="AB20" s="1">
        <f>-COUNTIF(AB$2:AB$12,$A20 &amp; "*") +$B20</f>
        <v>0</v>
      </c>
      <c r="AC20" s="1">
        <f>-COUNTIF(AC$2:AC$12,$A20 &amp; "*") +$B20</f>
        <v>0</v>
      </c>
      <c r="AE20" s="5" t="s">
        <v>23</v>
      </c>
      <c r="AF20" s="1">
        <f>-COUNTIF(AF$2:AF$12,$A20 &amp; "*") +$B20</f>
        <v>0</v>
      </c>
      <c r="AG20" s="1">
        <f>-COUNTIF(AG$2:AG$12,$A20 &amp; "*") +$B20</f>
        <v>2</v>
      </c>
      <c r="AH20" s="1">
        <f>-COUNTIF(AH$2:AH$12,$A20 &amp; "*") +$B20</f>
        <v>2</v>
      </c>
      <c r="AI20" s="1">
        <f>-COUNTIF(AI$2:AI$12,$A20 &amp; "*") +$B20</f>
        <v>2</v>
      </c>
      <c r="AJ20" s="1">
        <f>-COUNTIF(AJ$2:AJ$12,$A20 &amp; "*") +$B20</f>
        <v>2</v>
      </c>
      <c r="AL20" s="5" t="s">
        <v>23</v>
      </c>
      <c r="AM20" s="1">
        <f>-COUNTIF(AM$2:AM$12,$A20 &amp; "*") +$B20</f>
        <v>2</v>
      </c>
      <c r="AN20" s="1">
        <f>-COUNTIF(AN$2:AN$12,$A20 &amp; "*") +$B20</f>
        <v>2</v>
      </c>
      <c r="AO20" s="1">
        <f>-COUNTIF(AO$2:AO$12,$A20 &amp; "*") +$B20</f>
        <v>2</v>
      </c>
      <c r="AP20" s="1">
        <f>-COUNTIF(AP$2:AP$12,$A20 &amp; "*") +$B20</f>
        <v>2</v>
      </c>
      <c r="AQ20" s="1">
        <f>-COUNTIF(AQ$2:AQ$12,$A20 &amp; "*") +$B20</f>
        <v>2</v>
      </c>
      <c r="AS20" s="5" t="s">
        <v>23</v>
      </c>
      <c r="AT20" s="1">
        <f>-COUNTIF(AT$2:AT$12,$A20 &amp; "*") +$B20</f>
        <v>2</v>
      </c>
      <c r="AU20" s="1">
        <f>-COUNTIF(AU$2:AU$12,$A20 &amp; "*") +$B20</f>
        <v>2</v>
      </c>
      <c r="AV20" s="1">
        <f>-COUNTIF(AV$2:AV$12,$A20 &amp; "*") +$B20</f>
        <v>2</v>
      </c>
      <c r="AW20" s="1">
        <f>-COUNTIF(AW$2:AW$12,$A20 &amp; "*") +$B20</f>
        <v>2</v>
      </c>
      <c r="AX20" s="1">
        <f>-COUNTIF(AX$2:AX$12,$A20 &amp; "*") +$B20</f>
        <v>2</v>
      </c>
      <c r="AZ20" s="5" t="s">
        <v>23</v>
      </c>
      <c r="BA20" s="1">
        <f>-COUNTIF(BA$2:BA$12,$A20 &amp; "*") +$B20</f>
        <v>2</v>
      </c>
      <c r="BB20" s="1">
        <f>-COUNTIF(BB$2:BB$12,$A20 &amp; "*") +$B20</f>
        <v>2</v>
      </c>
      <c r="BC20" s="1">
        <f>-COUNTIF(BC$2:BC$12,$A20 &amp; "*") +$B20</f>
        <v>2</v>
      </c>
      <c r="BD20" s="1">
        <f>-COUNTIF(BD$2:BD$12,$A20 &amp; "*") +$B20</f>
        <v>2</v>
      </c>
      <c r="BE20" s="1">
        <f>-COUNTIF(BE$2:BE$12,$A20 &amp; "*") +$B20</f>
        <v>2</v>
      </c>
      <c r="BG20" s="5" t="s">
        <v>23</v>
      </c>
      <c r="BH20" s="1">
        <f>-COUNTIF(BH$2:BH$12,$A20 &amp; "*") +$B20</f>
        <v>2</v>
      </c>
      <c r="BJ20" s="11"/>
      <c r="BK20" s="11"/>
    </row>
    <row r="21" spans="1:63" x14ac:dyDescent="0.2">
      <c r="A21" s="24" t="s">
        <v>20</v>
      </c>
      <c r="B21" s="23">
        <v>1</v>
      </c>
      <c r="C21" s="5" t="s">
        <v>20</v>
      </c>
      <c r="D21" s="1">
        <f>-COUNTIF(D$2:D$12,$A21 &amp; "*") +$B21</f>
        <v>0</v>
      </c>
      <c r="E21" s="1">
        <f>-COUNTIF(E$2:E$12,$A21 &amp; "*") +$B21</f>
        <v>0</v>
      </c>
      <c r="F21" s="1">
        <f>-COUNTIF(F$2:F$12,$A21 &amp; "*") +$B21</f>
        <v>0</v>
      </c>
      <c r="G21" s="1">
        <f>-COUNTIF(G$2:G$12,$A21 &amp; "*") +$B21</f>
        <v>0</v>
      </c>
      <c r="H21" s="1">
        <f>-COUNTIF(H$2:H$12,$A21 &amp; "*") +$B21</f>
        <v>0</v>
      </c>
      <c r="J21" s="5" t="s">
        <v>20</v>
      </c>
      <c r="K21" s="1">
        <f>-COUNTIF(K$2:K$12,$A21 &amp; "*") +$B21</f>
        <v>0</v>
      </c>
      <c r="L21" s="1">
        <f>-COUNTIF(L$2:L$12,$A21 &amp; "*") +$B21</f>
        <v>0</v>
      </c>
      <c r="M21" s="1">
        <f>-COUNTIF(M$2:M$12,$A21 &amp; "*") +$B21</f>
        <v>0</v>
      </c>
      <c r="N21" s="1">
        <f>-COUNTIF(N$2:N$12,$A21 &amp; "*") +$B21</f>
        <v>0</v>
      </c>
      <c r="O21" s="1">
        <f>-COUNTIF(O$2:O$12,$A21 &amp; "*") +$B21</f>
        <v>0</v>
      </c>
      <c r="Q21" s="5" t="s">
        <v>20</v>
      </c>
      <c r="R21" s="1">
        <f>-COUNTIF(R$2:R$12,$A21 &amp; "*") +$B21</f>
        <v>-1</v>
      </c>
      <c r="S21" s="1">
        <f>-COUNTIF(S$2:S$12,$A21 &amp; "*") +$B21</f>
        <v>0</v>
      </c>
      <c r="T21" s="1">
        <f>-COUNTIF(T$2:T$12,$A21 &amp; "*") +$B21</f>
        <v>0</v>
      </c>
      <c r="U21" s="1">
        <f>-COUNTIF(U$2:U$12,$A21 &amp; "*") +$B21</f>
        <v>0</v>
      </c>
      <c r="V21" s="1">
        <f>-COUNTIF(V$2:V$12,$A21 &amp; "*") +$B21</f>
        <v>0</v>
      </c>
      <c r="X21" s="5" t="s">
        <v>20</v>
      </c>
      <c r="Y21" s="1">
        <f>-COUNTIF(Y$2:Y$12,$A21 &amp; "*") +$B21</f>
        <v>0</v>
      </c>
      <c r="Z21" s="1">
        <f>-COUNTIF(Z$2:Z$12,$A21 &amp; "*") +$B21</f>
        <v>0</v>
      </c>
      <c r="AA21" s="1">
        <f>-COUNTIF(AA$2:AA$12,$A21 &amp; "*") +$B21</f>
        <v>0</v>
      </c>
      <c r="AB21" s="1">
        <f>-COUNTIF(AB$2:AB$12,$A21 &amp; "*") +$B21</f>
        <v>0</v>
      </c>
      <c r="AC21" s="1">
        <f>-COUNTIF(AC$2:AC$12,$A21 &amp; "*") +$B21</f>
        <v>0</v>
      </c>
      <c r="AE21" s="5" t="s">
        <v>20</v>
      </c>
      <c r="AF21" s="1">
        <f>-COUNTIF(AF$2:AF$12,$A21 &amp; "*") +$B21</f>
        <v>0</v>
      </c>
      <c r="AG21" s="1">
        <f>-COUNTIF(AG$2:AG$12,$A21 &amp; "*") +$B21</f>
        <v>1</v>
      </c>
      <c r="AH21" s="1">
        <f>-COUNTIF(AH$2:AH$12,$A21 &amp; "*") +$B21</f>
        <v>1</v>
      </c>
      <c r="AI21" s="1">
        <f>-COUNTIF(AI$2:AI$12,$A21 &amp; "*") +$B21</f>
        <v>1</v>
      </c>
      <c r="AJ21" s="1">
        <f>-COUNTIF(AJ$2:AJ$12,$A21 &amp; "*") +$B21</f>
        <v>1</v>
      </c>
      <c r="AL21" s="5" t="s">
        <v>20</v>
      </c>
      <c r="AM21" s="1">
        <f>-COUNTIF(AM$2:AM$12,$A21 &amp; "*") +$B21</f>
        <v>1</v>
      </c>
      <c r="AN21" s="1">
        <f>-COUNTIF(AN$2:AN$12,$A21 &amp; "*") +$B21</f>
        <v>1</v>
      </c>
      <c r="AO21" s="1">
        <f>-COUNTIF(AO$2:AO$12,$A21 &amp; "*") +$B21</f>
        <v>1</v>
      </c>
      <c r="AP21" s="1">
        <f>-COUNTIF(AP$2:AP$12,$A21 &amp; "*") +$B21</f>
        <v>1</v>
      </c>
      <c r="AQ21" s="1">
        <f>-COUNTIF(AQ$2:AQ$12,$A21 &amp; "*") +$B21</f>
        <v>1</v>
      </c>
      <c r="AS21" s="5" t="s">
        <v>20</v>
      </c>
      <c r="AT21" s="1">
        <f>-COUNTIF(AT$2:AT$12,$A21 &amp; "*") +$B21</f>
        <v>1</v>
      </c>
      <c r="AU21" s="1">
        <f>-COUNTIF(AU$2:AU$12,$A21 &amp; "*") +$B21</f>
        <v>1</v>
      </c>
      <c r="AV21" s="1">
        <f>-COUNTIF(AV$2:AV$12,$A21 &amp; "*") +$B21</f>
        <v>1</v>
      </c>
      <c r="AW21" s="1">
        <f>-COUNTIF(AW$2:AW$12,$A21 &amp; "*") +$B21</f>
        <v>1</v>
      </c>
      <c r="AX21" s="1">
        <f>-COUNTIF(AX$2:AX$12,$A21 &amp; "*") +$B21</f>
        <v>1</v>
      </c>
      <c r="AZ21" s="5" t="s">
        <v>20</v>
      </c>
      <c r="BA21" s="1">
        <f>-COUNTIF(BA$2:BA$12,$A21 &amp; "*") +$B21</f>
        <v>1</v>
      </c>
      <c r="BB21" s="1">
        <f>-COUNTIF(BB$2:BB$12,$A21 &amp; "*") +$B21</f>
        <v>1</v>
      </c>
      <c r="BC21" s="1">
        <f>-COUNTIF(BC$2:BC$12,$A21 &amp; "*") +$B21</f>
        <v>1</v>
      </c>
      <c r="BD21" s="1">
        <f>-COUNTIF(BD$2:BD$12,$A21 &amp; "*") +$B21</f>
        <v>1</v>
      </c>
      <c r="BE21" s="1">
        <f>-COUNTIF(BE$2:BE$12,$A21 &amp; "*") +$B21</f>
        <v>1</v>
      </c>
      <c r="BG21" s="5" t="s">
        <v>20</v>
      </c>
      <c r="BH21" s="1">
        <f>-COUNTIF(BH$2:BH$12,$A21 &amp; "*") +$B21</f>
        <v>1</v>
      </c>
    </row>
    <row r="22" spans="1:63" x14ac:dyDescent="0.2">
      <c r="A22" s="24" t="s">
        <v>25</v>
      </c>
      <c r="B22" s="23">
        <v>1</v>
      </c>
      <c r="C22" s="5" t="s">
        <v>25</v>
      </c>
      <c r="D22" s="1">
        <f>-COUNTIF(D$2:D$12,$A22 &amp; "*") +$B22</f>
        <v>0</v>
      </c>
      <c r="E22" s="1">
        <f>-COUNTIF(E$2:E$12,$A22 &amp; "*") +$B22</f>
        <v>0</v>
      </c>
      <c r="F22" s="1">
        <f>-COUNTIF(F$2:F$12,$A22 &amp; "*") +$B22</f>
        <v>0</v>
      </c>
      <c r="G22" s="1">
        <f>-COUNTIF(G$2:G$12,$A22 &amp; "*") +$B22</f>
        <v>0</v>
      </c>
      <c r="H22" s="1">
        <f>-COUNTIF(H$2:H$12,$A22 &amp; "*") +$B22</f>
        <v>0</v>
      </c>
      <c r="J22" s="5" t="s">
        <v>25</v>
      </c>
      <c r="K22" s="1">
        <f>-COUNTIF(K$2:K$12,$A22 &amp; "*") +$B22</f>
        <v>0</v>
      </c>
      <c r="L22" s="1">
        <f>-COUNTIF(L$2:L$12,$A22 &amp; "*") +$B22</f>
        <v>0</v>
      </c>
      <c r="M22" s="1">
        <f>-COUNTIF(M$2:M$12,$A22 &amp; "*") +$B22</f>
        <v>0</v>
      </c>
      <c r="N22" s="1">
        <f>-COUNTIF(N$2:N$12,$A22 &amp; "*") +$B22</f>
        <v>0</v>
      </c>
      <c r="O22" s="1">
        <f>-COUNTIF(O$2:O$12,$A22 &amp; "*") +$B22</f>
        <v>0</v>
      </c>
      <c r="Q22" s="5" t="s">
        <v>25</v>
      </c>
      <c r="R22" s="1">
        <f>-COUNTIF(R$2:R$12,$A22 &amp; "*") +$B22</f>
        <v>0</v>
      </c>
      <c r="S22" s="1">
        <f>-COUNTIF(S$2:S$12,$A22 &amp; "*") +$B22</f>
        <v>0</v>
      </c>
      <c r="T22" s="1">
        <f>-COUNTIF(T$2:T$12,$A22 &amp; "*") +$B22</f>
        <v>0</v>
      </c>
      <c r="U22" s="1">
        <f>-COUNTIF(U$2:U$12,$A22 &amp; "*") +$B22</f>
        <v>0</v>
      </c>
      <c r="V22" s="1">
        <f>-COUNTIF(V$2:V$12,$A22 &amp; "*") +$B22</f>
        <v>0</v>
      </c>
      <c r="X22" s="5" t="s">
        <v>25</v>
      </c>
      <c r="Y22" s="1">
        <f>-COUNTIF(Y$2:Y$12,$A22 &amp; "*") +$B22</f>
        <v>0</v>
      </c>
      <c r="Z22" s="1">
        <f>-COUNTIF(Z$2:Z$12,$A22 &amp; "*") +$B22</f>
        <v>0</v>
      </c>
      <c r="AA22" s="1">
        <f>-COUNTIF(AA$2:AA$12,$A22 &amp; "*") +$B22</f>
        <v>0</v>
      </c>
      <c r="AB22" s="1">
        <f>-COUNTIF(AB$2:AB$12,$A22 &amp; "*") +$B22</f>
        <v>0</v>
      </c>
      <c r="AC22" s="1">
        <f>-COUNTIF(AC$2:AC$12,$A22 &amp; "*") +$B22</f>
        <v>0</v>
      </c>
      <c r="AE22" s="5" t="s">
        <v>25</v>
      </c>
      <c r="AF22" s="1">
        <f>-COUNTIF(AF$2:AF$12,$A22 &amp; "*") +$B22</f>
        <v>0</v>
      </c>
      <c r="AG22" s="1">
        <f>-COUNTIF(AG$2:AG$12,$A22 &amp; "*") +$B22</f>
        <v>1</v>
      </c>
      <c r="AH22" s="1">
        <f>-COUNTIF(AH$2:AH$12,$A22 &amp; "*") +$B22</f>
        <v>1</v>
      </c>
      <c r="AI22" s="1">
        <f>-COUNTIF(AI$2:AI$12,$A22 &amp; "*") +$B22</f>
        <v>1</v>
      </c>
      <c r="AJ22" s="1">
        <f>-COUNTIF(AJ$2:AJ$12,$A22 &amp; "*") +$B22</f>
        <v>1</v>
      </c>
      <c r="AL22" s="5" t="s">
        <v>25</v>
      </c>
      <c r="AM22" s="1">
        <f>-COUNTIF(AM$2:AM$12,$A22 &amp; "*") +$B22</f>
        <v>1</v>
      </c>
      <c r="AN22" s="1">
        <f>-COUNTIF(AN$2:AN$12,$A22 &amp; "*") +$B22</f>
        <v>1</v>
      </c>
      <c r="AO22" s="1">
        <f>-COUNTIF(AO$2:AO$12,$A22 &amp; "*") +$B22</f>
        <v>1</v>
      </c>
      <c r="AP22" s="1">
        <f>-COUNTIF(AP$2:AP$12,$A22 &amp; "*") +$B22</f>
        <v>1</v>
      </c>
      <c r="AQ22" s="1">
        <f>-COUNTIF(AQ$2:AQ$12,$A22 &amp; "*") +$B22</f>
        <v>1</v>
      </c>
      <c r="AS22" s="5" t="s">
        <v>25</v>
      </c>
      <c r="AT22" s="1">
        <f>-COUNTIF(AT$2:AT$12,$A22 &amp; "*") +$B22</f>
        <v>1</v>
      </c>
      <c r="AU22" s="1">
        <f>-COUNTIF(AU$2:AU$12,$A22 &amp; "*") +$B22</f>
        <v>1</v>
      </c>
      <c r="AV22" s="1">
        <f>-COUNTIF(AV$2:AV$12,$A22 &amp; "*") +$B22</f>
        <v>1</v>
      </c>
      <c r="AW22" s="1">
        <f>-COUNTIF(AW$2:AW$12,$A22 &amp; "*") +$B22</f>
        <v>1</v>
      </c>
      <c r="AX22" s="1">
        <f>-COUNTIF(AX$2:AX$12,$A22 &amp; "*") +$B22</f>
        <v>1</v>
      </c>
      <c r="AZ22" s="5" t="s">
        <v>25</v>
      </c>
      <c r="BA22" s="1">
        <f>-COUNTIF(BA$2:BA$12,$A22 &amp; "*") +$B22</f>
        <v>1</v>
      </c>
      <c r="BB22" s="1">
        <f>-COUNTIF(BB$2:BB$12,$A22 &amp; "*") +$B22</f>
        <v>1</v>
      </c>
      <c r="BC22" s="1">
        <f>-COUNTIF(BC$2:BC$12,$A22 &amp; "*") +$B22</f>
        <v>1</v>
      </c>
      <c r="BD22" s="1">
        <f>-COUNTIF(BD$2:BD$12,$A22 &amp; "*") +$B22</f>
        <v>1</v>
      </c>
      <c r="BE22" s="1">
        <f>-COUNTIF(BE$2:BE$12,$A22 &amp; "*") +$B22</f>
        <v>1</v>
      </c>
      <c r="BG22" s="5" t="s">
        <v>25</v>
      </c>
      <c r="BH22" s="1">
        <f>-COUNTIF(BH$2:BH$12,$A22 &amp; "*") +$B22</f>
        <v>1</v>
      </c>
    </row>
    <row r="23" spans="1:63" x14ac:dyDescent="0.2">
      <c r="A23" s="24" t="s">
        <v>22</v>
      </c>
      <c r="B23" s="23">
        <v>1</v>
      </c>
      <c r="C23" s="5" t="s">
        <v>22</v>
      </c>
      <c r="D23" s="1">
        <f>-COUNTIF(D$2:D$12,$A23 &amp; "*") +$B23</f>
        <v>0</v>
      </c>
      <c r="E23" s="1">
        <f>-COUNTIF(E$2:E$12,$A23 &amp; "*") +$B23</f>
        <v>0</v>
      </c>
      <c r="F23" s="1">
        <f>-COUNTIF(F$2:F$12,$A23 &amp; "*") +$B23</f>
        <v>0</v>
      </c>
      <c r="G23" s="1">
        <f>-COUNTIF(G$2:G$12,$A23 &amp; "*") +$B23</f>
        <v>0</v>
      </c>
      <c r="H23" s="1">
        <f>-COUNTIF(H$2:H$12,$A23 &amp; "*") +$B23</f>
        <v>0</v>
      </c>
      <c r="J23" s="5" t="s">
        <v>22</v>
      </c>
      <c r="K23" s="1">
        <f>-COUNTIF(K$2:K$12,$A23 &amp; "*") +$B23</f>
        <v>0</v>
      </c>
      <c r="L23" s="1">
        <f>-COUNTIF(L$2:L$12,$A23 &amp; "*") +$B23</f>
        <v>0</v>
      </c>
      <c r="M23" s="1">
        <f>-COUNTIF(M$2:M$12,$A23 &amp; "*") +$B23</f>
        <v>0</v>
      </c>
      <c r="N23" s="1">
        <f>-COUNTIF(N$2:N$12,$A23 &amp; "*") +$B23</f>
        <v>0</v>
      </c>
      <c r="O23" s="1">
        <f>-COUNTIF(O$2:O$12,$A23 &amp; "*") +$B23</f>
        <v>0</v>
      </c>
      <c r="Q23" s="5" t="s">
        <v>22</v>
      </c>
      <c r="R23" s="1">
        <f>-COUNTIF(R$2:R$12,$A23 &amp; "*") +$B23</f>
        <v>0</v>
      </c>
      <c r="S23" s="1">
        <f>-COUNTIF(S$2:S$12,$A23 &amp; "*") +$B23</f>
        <v>0</v>
      </c>
      <c r="T23" s="1">
        <f>-COUNTIF(T$2:T$12,$A23 &amp; "*") +$B23</f>
        <v>0</v>
      </c>
      <c r="U23" s="1">
        <f>-COUNTIF(U$2:U$12,$A23 &amp; "*") +$B23</f>
        <v>0</v>
      </c>
      <c r="V23" s="1">
        <f>-COUNTIF(V$2:V$12,$A23 &amp; "*") +$B23</f>
        <v>0</v>
      </c>
      <c r="X23" s="5" t="s">
        <v>22</v>
      </c>
      <c r="Y23" s="1">
        <f>-COUNTIF(Y$2:Y$12,$A23 &amp; "*") +$B23</f>
        <v>0</v>
      </c>
      <c r="Z23" s="1">
        <f>-COUNTIF(Z$2:Z$12,$A23 &amp; "*") +$B23</f>
        <v>0</v>
      </c>
      <c r="AA23" s="1">
        <f>-COUNTIF(AA$2:AA$12,$A23 &amp; "*") +$B23</f>
        <v>0</v>
      </c>
      <c r="AB23" s="1">
        <f>-COUNTIF(AB$2:AB$12,$A23 &amp; "*") +$B23</f>
        <v>0</v>
      </c>
      <c r="AC23" s="1">
        <f>-COUNTIF(AC$2:AC$12,$A23 &amp; "*") +$B23</f>
        <v>0</v>
      </c>
      <c r="AE23" s="5" t="s">
        <v>22</v>
      </c>
      <c r="AF23" s="1">
        <f>-COUNTIF(AF$2:AF$12,$A23 &amp; "*") +$B23</f>
        <v>0</v>
      </c>
      <c r="AG23" s="1">
        <f>-COUNTIF(AG$2:AG$12,$A23 &amp; "*") +$B23</f>
        <v>1</v>
      </c>
      <c r="AH23" s="1">
        <f>-COUNTIF(AH$2:AH$12,$A23 &amp; "*") +$B23</f>
        <v>1</v>
      </c>
      <c r="AI23" s="1">
        <f>-COUNTIF(AI$2:AI$12,$A23 &amp; "*") +$B23</f>
        <v>1</v>
      </c>
      <c r="AJ23" s="1">
        <f>-COUNTIF(AJ$2:AJ$12,$A23 &amp; "*") +$B23</f>
        <v>1</v>
      </c>
      <c r="AL23" s="5" t="s">
        <v>22</v>
      </c>
      <c r="AM23" s="1">
        <f>-COUNTIF(AM$2:AM$12,$A23 &amp; "*") +$B23</f>
        <v>1</v>
      </c>
      <c r="AN23" s="1">
        <f>-COUNTIF(AN$2:AN$12,$A23 &amp; "*") +$B23</f>
        <v>1</v>
      </c>
      <c r="AO23" s="1">
        <f>-COUNTIF(AO$2:AO$12,$A23 &amp; "*") +$B23</f>
        <v>1</v>
      </c>
      <c r="AP23" s="1">
        <f>-COUNTIF(AP$2:AP$12,$A23 &amp; "*") +$B23</f>
        <v>1</v>
      </c>
      <c r="AQ23" s="1">
        <f>-COUNTIF(AQ$2:AQ$12,$A23 &amp; "*") +$B23</f>
        <v>1</v>
      </c>
      <c r="AS23" s="5" t="s">
        <v>22</v>
      </c>
      <c r="AT23" s="1">
        <f>-COUNTIF(AT$2:AT$12,$A23 &amp; "*") +$B23</f>
        <v>1</v>
      </c>
      <c r="AU23" s="1">
        <f>-COUNTIF(AU$2:AU$12,$A23 &amp; "*") +$B23</f>
        <v>1</v>
      </c>
      <c r="AV23" s="1">
        <f>-COUNTIF(AV$2:AV$12,$A23 &amp; "*") +$B23</f>
        <v>1</v>
      </c>
      <c r="AW23" s="1">
        <f>-COUNTIF(AW$2:AW$12,$A23 &amp; "*") +$B23</f>
        <v>1</v>
      </c>
      <c r="AX23" s="1">
        <f>-COUNTIF(AX$2:AX$12,$A23 &amp; "*") +$B23</f>
        <v>1</v>
      </c>
      <c r="AZ23" s="5" t="s">
        <v>22</v>
      </c>
      <c r="BA23" s="1">
        <f>-COUNTIF(BA$2:BA$12,$A23 &amp; "*") +$B23</f>
        <v>1</v>
      </c>
      <c r="BB23" s="1">
        <f>-COUNTIF(BB$2:BB$12,$A23 &amp; "*") +$B23</f>
        <v>1</v>
      </c>
      <c r="BC23" s="1">
        <f>-COUNTIF(BC$2:BC$12,$A23 &amp; "*") +$B23</f>
        <v>1</v>
      </c>
      <c r="BD23" s="1">
        <f>-COUNTIF(BD$2:BD$12,$A23 &amp; "*") +$B23</f>
        <v>1</v>
      </c>
      <c r="BE23" s="1">
        <f>-COUNTIF(BE$2:BE$12,$A23 &amp; "*") +$B23</f>
        <v>1</v>
      </c>
      <c r="BG23" s="5" t="s">
        <v>22</v>
      </c>
      <c r="BH23" s="1">
        <f>-COUNTIF(BH$2:BH$12,$A23 &amp; "*") +$B23</f>
        <v>1</v>
      </c>
    </row>
    <row r="24" spans="1:63" s="14" customFormat="1" x14ac:dyDescent="0.2">
      <c r="A24" s="25" t="s">
        <v>35</v>
      </c>
      <c r="B24" s="25">
        <v>1</v>
      </c>
      <c r="C24" s="15" t="s">
        <v>13</v>
      </c>
      <c r="D24" s="1">
        <f>-COUNTIF(D$2:D$12,$A24 &amp; "*") +$B24</f>
        <v>0</v>
      </c>
      <c r="E24" s="1">
        <f>-COUNTIF(E$2:E$12,$A24 &amp; "*") +$B24</f>
        <v>0</v>
      </c>
      <c r="F24" s="1">
        <f>-COUNTIF(F$2:F$12,$A24 &amp; "*") +$B24</f>
        <v>0</v>
      </c>
      <c r="G24" s="1">
        <f>-COUNTIF(G$2:G$12,$A24 &amp; "*") +$B24</f>
        <v>0</v>
      </c>
      <c r="H24" s="1">
        <f>-COUNTIF(H$2:H$12,$A24 &amp; "*") +$B24</f>
        <v>0</v>
      </c>
      <c r="J24" s="15" t="s">
        <v>13</v>
      </c>
      <c r="K24" s="1">
        <f>-COUNTIF(K$2:K$12,$A24 &amp; "*") +$B24</f>
        <v>0</v>
      </c>
      <c r="L24" s="1">
        <f>-COUNTIF(L$2:L$12,$A24 &amp; "*") +$B24</f>
        <v>0</v>
      </c>
      <c r="M24" s="1">
        <f>-COUNTIF(M$2:M$12,$A24 &amp; "*") +$B24</f>
        <v>0</v>
      </c>
      <c r="N24" s="1">
        <f>-COUNTIF(N$2:N$12,$A24 &amp; "*") +$B24</f>
        <v>0</v>
      </c>
      <c r="O24" s="1">
        <f>-COUNTIF(O$2:O$12,$A24 &amp; "*") +$B24</f>
        <v>0</v>
      </c>
      <c r="Q24" s="15" t="s">
        <v>13</v>
      </c>
      <c r="R24" s="1">
        <f>-COUNTIF(R$2:R$12,$A24 &amp; "*") +$B24</f>
        <v>0</v>
      </c>
      <c r="S24" s="1">
        <f>-COUNTIF(S$2:S$12,$A24 &amp; "*") +$B24</f>
        <v>0</v>
      </c>
      <c r="T24" s="1">
        <f>-COUNTIF(T$2:T$12,$A24 &amp; "*") +$B24</f>
        <v>0</v>
      </c>
      <c r="U24" s="1">
        <f>-COUNTIF(U$2:U$12,$A24 &amp; "*") +$B24</f>
        <v>0</v>
      </c>
      <c r="V24" s="1">
        <f>-COUNTIF(V$2:V$12,$A24 &amp; "*") +$B24</f>
        <v>0</v>
      </c>
      <c r="X24" s="15" t="s">
        <v>13</v>
      </c>
      <c r="Y24" s="1">
        <f>-COUNTIF(Y$2:Y$12,$A24 &amp; "*") +$B24</f>
        <v>0</v>
      </c>
      <c r="Z24" s="1">
        <f>-COUNTIF(Z$2:Z$12,$A24 &amp; "*") +$B24</f>
        <v>0</v>
      </c>
      <c r="AA24" s="1">
        <f>-COUNTIF(AA$2:AA$12,$A24 &amp; "*") +$B24</f>
        <v>0</v>
      </c>
      <c r="AB24" s="1">
        <f>-COUNTIF(AB$2:AB$12,$A24 &amp; "*") +$B24</f>
        <v>0</v>
      </c>
      <c r="AC24" s="1">
        <f>-COUNTIF(AC$2:AC$12,$A24 &amp; "*") +$B24</f>
        <v>0</v>
      </c>
      <c r="AE24" s="15" t="s">
        <v>13</v>
      </c>
      <c r="AF24" s="1">
        <f>-COUNTIF(AF$2:AF$12,$A24 &amp; "*") +$B24</f>
        <v>0</v>
      </c>
      <c r="AG24" s="1">
        <f>-COUNTIF(AG$2:AG$12,$A24 &amp; "*") +$B24</f>
        <v>1</v>
      </c>
      <c r="AH24" s="1">
        <f>-COUNTIF(AH$2:AH$12,$A24 &amp; "*") +$B24</f>
        <v>1</v>
      </c>
      <c r="AI24" s="1">
        <f>-COUNTIF(AI$2:AI$12,$A24 &amp; "*") +$B24</f>
        <v>1</v>
      </c>
      <c r="AJ24" s="1">
        <f>-COUNTIF(AJ$2:AJ$12,$A24 &amp; "*") +$B24</f>
        <v>1</v>
      </c>
      <c r="AL24" s="15" t="s">
        <v>13</v>
      </c>
      <c r="AM24" s="1">
        <f>-COUNTIF(AM$2:AM$12,$A24 &amp; "*") +$B24</f>
        <v>1</v>
      </c>
      <c r="AN24" s="1">
        <f>-COUNTIF(AN$2:AN$12,$A24 &amp; "*") +$B24</f>
        <v>1</v>
      </c>
      <c r="AO24" s="1">
        <f>-COUNTIF(AO$2:AO$12,$A24 &amp; "*") +$B24</f>
        <v>1</v>
      </c>
      <c r="AP24" s="1">
        <f>-COUNTIF(AP$2:AP$12,$A24 &amp; "*") +$B24</f>
        <v>1</v>
      </c>
      <c r="AQ24" s="1">
        <f>-COUNTIF(AQ$2:AQ$12,$A24 &amp; "*") +$B24</f>
        <v>1</v>
      </c>
      <c r="AS24" s="15" t="s">
        <v>13</v>
      </c>
      <c r="AT24" s="1">
        <f>-COUNTIF(AT$2:AT$12,$A24 &amp; "*") +$B24</f>
        <v>1</v>
      </c>
      <c r="AU24" s="1">
        <f>-COUNTIF(AU$2:AU$12,$A24 &amp; "*") +$B24</f>
        <v>1</v>
      </c>
      <c r="AV24" s="1">
        <f>-COUNTIF(AV$2:AV$12,$A24 &amp; "*") +$B24</f>
        <v>1</v>
      </c>
      <c r="AW24" s="1">
        <f>-COUNTIF(AW$2:AW$12,$A24 &amp; "*") +$B24</f>
        <v>1</v>
      </c>
      <c r="AX24" s="1">
        <f>-COUNTIF(AX$2:AX$12,$A24 &amp; "*") +$B24</f>
        <v>1</v>
      </c>
      <c r="AZ24" s="15" t="s">
        <v>13</v>
      </c>
      <c r="BA24" s="1">
        <f>-COUNTIF(BA$2:BA$12,$A24 &amp; "*") +$B24</f>
        <v>1</v>
      </c>
      <c r="BB24" s="1">
        <f>-COUNTIF(BB$2:BB$12,$A24 &amp; "*") +$B24</f>
        <v>1</v>
      </c>
      <c r="BC24" s="1">
        <f>-COUNTIF(BC$2:BC$12,$A24 &amp; "*") +$B24</f>
        <v>1</v>
      </c>
      <c r="BD24" s="1">
        <f>-COUNTIF(BD$2:BD$12,$A24 &amp; "*") +$B24</f>
        <v>1</v>
      </c>
      <c r="BE24" s="1">
        <f>-COUNTIF(BE$2:BE$12,$A24 &amp; "*") +$B24</f>
        <v>1</v>
      </c>
      <c r="BG24" s="15" t="s">
        <v>13</v>
      </c>
      <c r="BH24" s="1">
        <f>-COUNTIF(BH$2:BH$12,$A24 &amp; "*") +$B24</f>
        <v>1</v>
      </c>
      <c r="BJ24" s="16"/>
      <c r="BK24" s="16"/>
    </row>
    <row r="25" spans="1:63" s="3" customFormat="1" hidden="1" x14ac:dyDescent="0.2">
      <c r="A25" s="2" t="s">
        <v>15</v>
      </c>
      <c r="B25" s="2" t="s">
        <v>19</v>
      </c>
      <c r="C25" s="6"/>
      <c r="D25" s="3" t="s">
        <v>18</v>
      </c>
      <c r="I25" s="4"/>
      <c r="J25" s="6"/>
      <c r="K25" s="3" t="s">
        <v>18</v>
      </c>
      <c r="P25" s="4"/>
      <c r="Q25" s="6"/>
      <c r="R25" s="3" t="s">
        <v>18</v>
      </c>
      <c r="W25" s="4"/>
      <c r="X25" s="6"/>
      <c r="Y25" s="3" t="s">
        <v>18</v>
      </c>
      <c r="AD25" s="4"/>
      <c r="AE25" s="6"/>
      <c r="AF25" s="3" t="s">
        <v>18</v>
      </c>
      <c r="AK25" s="4"/>
      <c r="AL25" s="6"/>
      <c r="AM25" s="3" t="s">
        <v>18</v>
      </c>
      <c r="AR25" s="4"/>
      <c r="AS25" s="6"/>
      <c r="AT25" s="3" t="s">
        <v>18</v>
      </c>
      <c r="AY25" s="4"/>
      <c r="AZ25" s="6"/>
      <c r="BA25" s="3" t="s">
        <v>18</v>
      </c>
      <c r="BF25" s="4"/>
      <c r="BG25" s="6"/>
      <c r="BJ25" s="12"/>
      <c r="BK25" s="12"/>
    </row>
    <row r="26" spans="1:63" s="1" customFormat="1" hidden="1" x14ac:dyDescent="0.2">
      <c r="A26" s="1">
        <v>3</v>
      </c>
      <c r="B26" s="1">
        <v>7</v>
      </c>
      <c r="C26" s="5" t="s">
        <v>21</v>
      </c>
      <c r="D26">
        <f>COUNTIF(D$2:D$12,#REF! &amp; "*") -$A26</f>
        <v>-3</v>
      </c>
      <c r="E26">
        <f>COUNTIF(E$2:E$12,#REF! &amp; "*") -$A26</f>
        <v>-3</v>
      </c>
      <c r="F26">
        <f>COUNTIF(F$2:F$12,#REF! &amp; "*") -$A26</f>
        <v>-3</v>
      </c>
      <c r="G26">
        <f>COUNTIF(G$2:G$12,#REF! &amp; "*") -$A26</f>
        <v>-3</v>
      </c>
      <c r="H26" s="1">
        <f>COUNTIF(H$2:H$12,#REF! &amp; "*") -$A26</f>
        <v>-3</v>
      </c>
      <c r="J26" s="5" t="s">
        <v>21</v>
      </c>
      <c r="K26" s="1">
        <f>COUNTIF(K$2:K$12,#REF! &amp; "*") -$A26</f>
        <v>-3</v>
      </c>
      <c r="L26" s="1">
        <f>COUNTIF(L$2:L$12,#REF! &amp; "*") -$A26</f>
        <v>-3</v>
      </c>
      <c r="M26" s="1">
        <f>COUNTIF(M$2:M$12,#REF! &amp; "*") -$A26</f>
        <v>-3</v>
      </c>
      <c r="N26" s="1">
        <f>COUNTIF(N$2:N$12,#REF! &amp; "*") -$A26</f>
        <v>-3</v>
      </c>
      <c r="O26" s="1">
        <f>COUNTIF(O$2:O$12,#REF! &amp; "*") -$A26</f>
        <v>-3</v>
      </c>
      <c r="Q26" s="5" t="s">
        <v>21</v>
      </c>
      <c r="R26" s="1">
        <f>COUNTIF(R$2:R$12,#REF! &amp; "*") -$A26</f>
        <v>-3</v>
      </c>
      <c r="S26" s="1">
        <f>COUNTIF(S$2:S$12,#REF! &amp; "*") -$A26</f>
        <v>-3</v>
      </c>
      <c r="T26" s="1">
        <f>COUNTIF(T$2:T$12,#REF! &amp; "*") -$A26</f>
        <v>-3</v>
      </c>
      <c r="U26" s="1">
        <f>COUNTIF(U$2:U$12,#REF! &amp; "*") -$A26</f>
        <v>-3</v>
      </c>
      <c r="V26" s="1">
        <f>COUNTIF(V$2:V$12,#REF! &amp; "*") -$A26</f>
        <v>-3</v>
      </c>
      <c r="X26" s="5" t="s">
        <v>21</v>
      </c>
      <c r="Y26" s="1">
        <f>COUNTIF(Y$2:Y$12,#REF! &amp; "*") -$A26</f>
        <v>-3</v>
      </c>
      <c r="Z26" s="1">
        <f>COUNTIF(Z$2:Z$12,#REF! &amp; "*") -$A26</f>
        <v>-3</v>
      </c>
      <c r="AA26" s="1">
        <f>COUNTIF(AA$2:AA$12,#REF! &amp; "*") -$A26</f>
        <v>-3</v>
      </c>
      <c r="AB26" s="1">
        <f>COUNTIF(AB$2:AB$12,#REF! &amp; "*") -$A26</f>
        <v>-3</v>
      </c>
      <c r="AC26" s="1">
        <f>COUNTIF(AC$2:AC$12,#REF! &amp; "*") -$A26</f>
        <v>-3</v>
      </c>
      <c r="AE26" s="5" t="s">
        <v>21</v>
      </c>
      <c r="AF26" s="1">
        <f>COUNTIF(AF$2:AF$12,#REF! &amp; "*") -$A26</f>
        <v>-3</v>
      </c>
      <c r="AG26" s="1">
        <f>COUNTIF(AG$2:AG$12,#REF! &amp; "*") -$A26</f>
        <v>-3</v>
      </c>
      <c r="AH26" s="1">
        <f>COUNTIF(AH$2:AH$12,#REF! &amp; "*") -$A26</f>
        <v>-3</v>
      </c>
      <c r="AI26" s="1">
        <f>COUNTIF(AI$2:AI$12,#REF! &amp; "*") -$A26</f>
        <v>-3</v>
      </c>
      <c r="AJ26" s="1">
        <f>COUNTIF(AJ$2:AJ$12,#REF! &amp; "*") -$A26</f>
        <v>-3</v>
      </c>
      <c r="AL26" s="5" t="s">
        <v>21</v>
      </c>
      <c r="AM26" s="1">
        <f>COUNTIF(AM$2:AM$12,#REF! &amp; "*") -$A26</f>
        <v>-3</v>
      </c>
      <c r="AN26" s="1">
        <f>COUNTIF(AN$2:AN$12,#REF! &amp; "*") -$A26</f>
        <v>-3</v>
      </c>
      <c r="AO26" s="1">
        <f>COUNTIF(AO$2:AO$12,#REF! &amp; "*") -$A26</f>
        <v>-3</v>
      </c>
      <c r="AP26" s="1">
        <f>COUNTIF(AP$2:AP$12,#REF! &amp; "*") -$A26</f>
        <v>-3</v>
      </c>
      <c r="AQ26" s="1">
        <f>COUNTIF(AQ$2:AQ$12,#REF! &amp; "*") -$A26</f>
        <v>-3</v>
      </c>
      <c r="AS26" s="5" t="s">
        <v>21</v>
      </c>
      <c r="AT26" s="1">
        <f>COUNTIF(AT$2:AT$12,#REF! &amp; "*") -$A26</f>
        <v>-3</v>
      </c>
      <c r="AU26" s="1">
        <f>COUNTIF(AU$2:AU$12,#REF! &amp; "*") -$A26</f>
        <v>-3</v>
      </c>
      <c r="AV26" s="1">
        <f>COUNTIF(AV$2:AV$12,#REF! &amp; "*") -$A26</f>
        <v>-3</v>
      </c>
      <c r="AW26" s="1">
        <f>COUNTIF(AW$2:AW$12,#REF! &amp; "*") -$A26</f>
        <v>-3</v>
      </c>
      <c r="AX26" s="1">
        <f>COUNTIF(AX$2:AX$12,#REF! &amp; "*") -$A26</f>
        <v>-3</v>
      </c>
      <c r="AZ26" s="5" t="s">
        <v>21</v>
      </c>
      <c r="BA26" s="1">
        <f>COUNTIF(BA$2:BA$12,#REF! &amp; "*") -$A26</f>
        <v>-3</v>
      </c>
      <c r="BB26" s="1">
        <f>COUNTIF(BB$2:BB$12,#REF! &amp; "*") -$A26</f>
        <v>-3</v>
      </c>
      <c r="BC26" s="1">
        <f>COUNTIF(BC$2:BC$12,#REF! &amp; "*") -$A26</f>
        <v>-3</v>
      </c>
      <c r="BD26" s="1">
        <f>COUNTIF(BD$2:BD$12,#REF! &amp; "*") -$A26</f>
        <v>-3</v>
      </c>
      <c r="BE26" s="1">
        <f>COUNTIF(BE$2:BE$12,#REF! &amp; "*") -$A26</f>
        <v>-3</v>
      </c>
      <c r="BG26" s="5" t="s">
        <v>21</v>
      </c>
      <c r="BH26" s="1">
        <f>COUNTIF(BH$2:BH$12,#REF! &amp; "*") -$A26</f>
        <v>-3</v>
      </c>
      <c r="BJ26" s="11"/>
      <c r="BK26" s="11"/>
    </row>
    <row r="27" spans="1:63" s="1" customFormat="1" hidden="1" x14ac:dyDescent="0.2">
      <c r="A27" s="1">
        <v>2</v>
      </c>
      <c r="B27" s="1">
        <v>6</v>
      </c>
      <c r="C27" s="5" t="s">
        <v>24</v>
      </c>
      <c r="D27" s="1">
        <f>COUNTIF(D$2:D$12,#REF! &amp; "*") -$A27</f>
        <v>-2</v>
      </c>
      <c r="E27" s="1">
        <f>COUNTIF(E$2:E$12,#REF! &amp; "*") -$A27</f>
        <v>-2</v>
      </c>
      <c r="F27" s="1">
        <f>COUNTIF(F$2:F$12,#REF! &amp; "*") -$A27</f>
        <v>-2</v>
      </c>
      <c r="G27" s="1">
        <f>COUNTIF(G$2:G$12,#REF! &amp; "*") -$A27</f>
        <v>-2</v>
      </c>
      <c r="H27" s="1">
        <f>COUNTIF(H$2:H$12,#REF! &amp; "*") -$A27</f>
        <v>-2</v>
      </c>
      <c r="J27" s="5" t="s">
        <v>24</v>
      </c>
      <c r="K27" s="1">
        <f>COUNTIF(K$2:K$12,#REF! &amp; "*") -$A27</f>
        <v>-2</v>
      </c>
      <c r="L27" s="1">
        <f>COUNTIF(L$2:L$12,#REF! &amp; "*") -$A27</f>
        <v>-2</v>
      </c>
      <c r="M27" s="1">
        <f>COUNTIF(M$2:M$12,#REF! &amp; "*") -$A27</f>
        <v>-2</v>
      </c>
      <c r="N27" s="1">
        <f>COUNTIF(N$2:N$12,#REF! &amp; "*") -$A27</f>
        <v>-2</v>
      </c>
      <c r="O27" s="1">
        <f>COUNTIF(O$2:O$12,#REF! &amp; "*") -$A27</f>
        <v>-2</v>
      </c>
      <c r="Q27" s="5" t="s">
        <v>24</v>
      </c>
      <c r="R27" s="1">
        <f>COUNTIF(R$2:R$12,#REF! &amp; "*") -$A27</f>
        <v>-2</v>
      </c>
      <c r="S27" s="1">
        <f>COUNTIF(S$2:S$12,#REF! &amp; "*") -$A27</f>
        <v>-2</v>
      </c>
      <c r="T27" s="1">
        <f>COUNTIF(T$2:T$12,#REF! &amp; "*") -$A27</f>
        <v>-2</v>
      </c>
      <c r="U27" s="1">
        <f>COUNTIF(U$2:U$12,#REF! &amp; "*") -$A27</f>
        <v>-2</v>
      </c>
      <c r="V27" s="1">
        <f>COUNTIF(V$2:V$12,#REF! &amp; "*") -$A27</f>
        <v>-2</v>
      </c>
      <c r="X27" s="5" t="s">
        <v>24</v>
      </c>
      <c r="Y27" s="1">
        <f>COUNTIF(Y$2:Y$12,#REF! &amp; "*") -$A27</f>
        <v>-2</v>
      </c>
      <c r="Z27" s="1">
        <f>COUNTIF(Z$2:Z$12,#REF! &amp; "*") -$A27</f>
        <v>-2</v>
      </c>
      <c r="AA27" s="1">
        <f>COUNTIF(AA$2:AA$12,#REF! &amp; "*") -$A27</f>
        <v>-2</v>
      </c>
      <c r="AB27" s="1">
        <f>COUNTIF(AB$2:AB$12,#REF! &amp; "*") -$A27</f>
        <v>-2</v>
      </c>
      <c r="AC27" s="1">
        <f>COUNTIF(AC$2:AC$12,#REF! &amp; "*") -$A27</f>
        <v>-2</v>
      </c>
      <c r="AE27" s="5" t="s">
        <v>24</v>
      </c>
      <c r="AF27" s="1">
        <f>COUNTIF(AF$2:AF$12,#REF! &amp; "*") -$A27</f>
        <v>-2</v>
      </c>
      <c r="AG27" s="1">
        <f>COUNTIF(AG$2:AG$12,#REF! &amp; "*") -$A27</f>
        <v>-2</v>
      </c>
      <c r="AH27" s="1">
        <f>COUNTIF(AH$2:AH$12,#REF! &amp; "*") -$A27</f>
        <v>-2</v>
      </c>
      <c r="AI27" s="1">
        <f>COUNTIF(AI$2:AI$12,#REF! &amp; "*") -$A27</f>
        <v>-2</v>
      </c>
      <c r="AJ27" s="1">
        <f>COUNTIF(AJ$2:AJ$12,#REF! &amp; "*") -$A27</f>
        <v>-2</v>
      </c>
      <c r="AL27" s="5" t="s">
        <v>24</v>
      </c>
      <c r="AM27" s="1">
        <f>COUNTIF(AM$2:AM$12,#REF! &amp; "*") -$A27</f>
        <v>-2</v>
      </c>
      <c r="AN27" s="1">
        <f>COUNTIF(AN$2:AN$12,#REF! &amp; "*") -$A27</f>
        <v>-2</v>
      </c>
      <c r="AO27" s="1">
        <f>COUNTIF(AO$2:AO$12,#REF! &amp; "*") -$A27</f>
        <v>-2</v>
      </c>
      <c r="AP27" s="1">
        <f>COUNTIF(AP$2:AP$12,#REF! &amp; "*") -$A27</f>
        <v>-2</v>
      </c>
      <c r="AQ27" s="1">
        <f>COUNTIF(AQ$2:AQ$12,#REF! &amp; "*") -$A27</f>
        <v>-2</v>
      </c>
      <c r="AS27" s="5" t="s">
        <v>24</v>
      </c>
      <c r="AT27" s="1">
        <f>COUNTIF(AT$2:AT$12,#REF! &amp; "*") -$A27</f>
        <v>-2</v>
      </c>
      <c r="AU27" s="1">
        <f>COUNTIF(AU$2:AU$12,#REF! &amp; "*") -$A27</f>
        <v>-2</v>
      </c>
      <c r="AV27" s="1">
        <f>COUNTIF(AV$2:AV$12,#REF! &amp; "*") -$A27</f>
        <v>-2</v>
      </c>
      <c r="AW27" s="1">
        <f>COUNTIF(AW$2:AW$12,#REF! &amp; "*") -$A27</f>
        <v>-2</v>
      </c>
      <c r="AX27" s="1">
        <f>COUNTIF(AX$2:AX$12,#REF! &amp; "*") -$A27</f>
        <v>-2</v>
      </c>
      <c r="AZ27" s="5" t="s">
        <v>24</v>
      </c>
      <c r="BA27" s="1">
        <f>COUNTIF(BA$2:BA$12,#REF! &amp; "*") -$A27</f>
        <v>-2</v>
      </c>
      <c r="BB27" s="1">
        <f>COUNTIF(BB$2:BB$12,#REF! &amp; "*") -$A27</f>
        <v>-2</v>
      </c>
      <c r="BC27" s="1">
        <f>COUNTIF(BC$2:BC$12,#REF! &amp; "*") -$A27</f>
        <v>-2</v>
      </c>
      <c r="BD27" s="1">
        <f>COUNTIF(BD$2:BD$12,#REF! &amp; "*") -$A27</f>
        <v>-2</v>
      </c>
      <c r="BE27" s="1">
        <f>COUNTIF(BE$2:BE$12,#REF! &amp; "*") -$A27</f>
        <v>-2</v>
      </c>
      <c r="BG27" s="5" t="s">
        <v>24</v>
      </c>
      <c r="BH27" s="1">
        <f>COUNTIF(BH$2:BH$12,#REF! &amp; "*") -$A27</f>
        <v>-2</v>
      </c>
      <c r="BJ27" s="11"/>
      <c r="BK27" s="11"/>
    </row>
    <row r="28" spans="1:63" s="1" customFormat="1" hidden="1" x14ac:dyDescent="0.2">
      <c r="A28" s="1">
        <v>2</v>
      </c>
      <c r="B28" s="1">
        <v>2</v>
      </c>
      <c r="C28" s="5" t="s">
        <v>23</v>
      </c>
      <c r="D28" s="1">
        <f>COUNTIF(D$2:D$12,#REF! &amp; "*") -$A28</f>
        <v>-2</v>
      </c>
      <c r="E28" s="1">
        <f>COUNTIF(E$2:E$12,#REF! &amp; "*") -$A28</f>
        <v>-2</v>
      </c>
      <c r="F28" s="1">
        <f>COUNTIF(F$2:F$12,#REF! &amp; "*") -$A28</f>
        <v>-2</v>
      </c>
      <c r="G28" s="1">
        <f>COUNTIF(G$2:G$12,#REF! &amp; "*") -$A28</f>
        <v>-2</v>
      </c>
      <c r="H28" s="1">
        <f>COUNTIF(H$2:H$12,#REF! &amp; "*") -$A28</f>
        <v>-2</v>
      </c>
      <c r="J28" s="5" t="s">
        <v>23</v>
      </c>
      <c r="K28" s="1">
        <f>COUNTIF(K$2:K$12,#REF! &amp; "*") -$A28</f>
        <v>-2</v>
      </c>
      <c r="L28" s="1">
        <f>COUNTIF(L$2:L$12,#REF! &amp; "*") -$A28</f>
        <v>-2</v>
      </c>
      <c r="M28" s="1">
        <f>COUNTIF(M$2:M$12,#REF! &amp; "*") -$A28</f>
        <v>-2</v>
      </c>
      <c r="N28" s="1">
        <f>COUNTIF(N$2:N$12,#REF! &amp; "*") -$A28</f>
        <v>-2</v>
      </c>
      <c r="O28" s="1">
        <f>COUNTIF(O$2:O$12,#REF! &amp; "*") -$A28</f>
        <v>-2</v>
      </c>
      <c r="Q28" s="5" t="s">
        <v>23</v>
      </c>
      <c r="R28" s="1">
        <f>COUNTIF(R$2:R$12,#REF! &amp; "*") -$A28</f>
        <v>-2</v>
      </c>
      <c r="S28" s="1">
        <f>COUNTIF(S$2:S$12,#REF! &amp; "*") -$A28</f>
        <v>-2</v>
      </c>
      <c r="T28" s="1">
        <f>COUNTIF(T$2:T$12,#REF! &amp; "*") -$A28</f>
        <v>-2</v>
      </c>
      <c r="U28" s="1">
        <f>COUNTIF(U$2:U$12,#REF! &amp; "*") -$A28</f>
        <v>-2</v>
      </c>
      <c r="V28" s="1">
        <f>COUNTIF(V$2:V$12,#REF! &amp; "*") -$A28</f>
        <v>-2</v>
      </c>
      <c r="X28" s="5" t="s">
        <v>23</v>
      </c>
      <c r="Y28" s="1">
        <f>COUNTIF(Y$2:Y$12,#REF! &amp; "*") -$A28</f>
        <v>-2</v>
      </c>
      <c r="Z28" s="1">
        <f>COUNTIF(Z$2:Z$12,#REF! &amp; "*") -$A28</f>
        <v>-2</v>
      </c>
      <c r="AA28" s="1">
        <f>COUNTIF(AA$2:AA$12,#REF! &amp; "*") -$A28</f>
        <v>-2</v>
      </c>
      <c r="AB28" s="1">
        <f>COUNTIF(AB$2:AB$12,#REF! &amp; "*") -$A28</f>
        <v>-2</v>
      </c>
      <c r="AC28" s="1">
        <f>COUNTIF(AC$2:AC$12,#REF! &amp; "*") -$A28</f>
        <v>-2</v>
      </c>
      <c r="AE28" s="5" t="s">
        <v>23</v>
      </c>
      <c r="AF28" s="1">
        <f>COUNTIF(AF$2:AF$12,#REF! &amp; "*") -$A28</f>
        <v>-2</v>
      </c>
      <c r="AG28" s="1">
        <f>COUNTIF(AG$2:AG$12,#REF! &amp; "*") -$A28</f>
        <v>-2</v>
      </c>
      <c r="AH28" s="1">
        <f>COUNTIF(AH$2:AH$12,#REF! &amp; "*") -$A28</f>
        <v>-2</v>
      </c>
      <c r="AI28" s="1">
        <f>COUNTIF(AI$2:AI$12,#REF! &amp; "*") -$A28</f>
        <v>-2</v>
      </c>
      <c r="AJ28" s="1">
        <f>COUNTIF(AJ$2:AJ$12,#REF! &amp; "*") -$A28</f>
        <v>-2</v>
      </c>
      <c r="AL28" s="5" t="s">
        <v>23</v>
      </c>
      <c r="AM28" s="1">
        <f>COUNTIF(AM$2:AM$12,#REF! &amp; "*") -$A28</f>
        <v>-2</v>
      </c>
      <c r="AN28" s="1">
        <f>COUNTIF(AN$2:AN$12,#REF! &amp; "*") -$A28</f>
        <v>-2</v>
      </c>
      <c r="AO28" s="1">
        <f>COUNTIF(AO$2:AO$12,#REF! &amp; "*") -$A28</f>
        <v>-2</v>
      </c>
      <c r="AP28" s="1">
        <f>COUNTIF(AP$2:AP$12,#REF! &amp; "*") -$A28</f>
        <v>-2</v>
      </c>
      <c r="AQ28" s="1">
        <f>COUNTIF(AQ$2:AQ$12,#REF! &amp; "*") -$A28</f>
        <v>-2</v>
      </c>
      <c r="AS28" s="5" t="s">
        <v>23</v>
      </c>
      <c r="AT28" s="1">
        <f>COUNTIF(AT$2:AT$12,#REF! &amp; "*") -$A28</f>
        <v>-2</v>
      </c>
      <c r="AU28" s="1">
        <f>COUNTIF(AU$2:AU$12,#REF! &amp; "*") -$A28</f>
        <v>-2</v>
      </c>
      <c r="AV28" s="1">
        <f>COUNTIF(AV$2:AV$12,#REF! &amp; "*") -$A28</f>
        <v>-2</v>
      </c>
      <c r="AW28" s="1">
        <f>COUNTIF(AW$2:AW$12,#REF! &amp; "*") -$A28</f>
        <v>-2</v>
      </c>
      <c r="AX28" s="1">
        <f>COUNTIF(AX$2:AX$12,#REF! &amp; "*") -$A28</f>
        <v>-2</v>
      </c>
      <c r="AZ28" s="5" t="s">
        <v>23</v>
      </c>
      <c r="BA28" s="1">
        <f>COUNTIF(BA$2:BA$12,#REF! &amp; "*") -$A28</f>
        <v>-2</v>
      </c>
      <c r="BB28" s="1">
        <f>COUNTIF(BB$2:BB$12,#REF! &amp; "*") -$A28</f>
        <v>-2</v>
      </c>
      <c r="BC28" s="1">
        <f>COUNTIF(BC$2:BC$12,#REF! &amp; "*") -$A28</f>
        <v>-2</v>
      </c>
      <c r="BD28" s="1">
        <f>COUNTIF(BD$2:BD$12,#REF! &amp; "*") -$A28</f>
        <v>-2</v>
      </c>
      <c r="BE28" s="1">
        <f>COUNTIF(BE$2:BE$12,#REF! &amp; "*") -$A28</f>
        <v>-2</v>
      </c>
      <c r="BG28" s="5" t="s">
        <v>23</v>
      </c>
      <c r="BH28" s="1">
        <f>COUNTIF(BH$2:BH$12,#REF! &amp; "*") -$A28</f>
        <v>-2</v>
      </c>
      <c r="BJ28" s="11"/>
      <c r="BK28" s="11"/>
    </row>
    <row r="29" spans="1:63" hidden="1" x14ac:dyDescent="0.2">
      <c r="A29">
        <v>1</v>
      </c>
      <c r="B29">
        <v>0</v>
      </c>
      <c r="C29" s="5" t="s">
        <v>20</v>
      </c>
      <c r="D29">
        <f>COUNTIF(D$2:D$12,#REF! &amp; "*") -$A29</f>
        <v>-1</v>
      </c>
      <c r="E29">
        <f>COUNTIF(E$2:E$12,#REF! &amp; "*") -$A29</f>
        <v>-1</v>
      </c>
      <c r="F29">
        <f>COUNTIF(F$2:F$12,#REF! &amp; "*") -$A29</f>
        <v>-1</v>
      </c>
      <c r="G29">
        <f>COUNTIF(G$2:G$12,#REF! &amp; "*") -$A29</f>
        <v>-1</v>
      </c>
      <c r="H29">
        <f>COUNTIF(H$2:H$12,#REF! &amp; "*") -$A29</f>
        <v>-1</v>
      </c>
      <c r="J29" s="5" t="s">
        <v>20</v>
      </c>
      <c r="K29">
        <f>COUNTIF(K$2:K$12,#REF! &amp; "*") -$A29</f>
        <v>-1</v>
      </c>
      <c r="L29">
        <f>COUNTIF(L$2:L$12,#REF! &amp; "*") -$A29</f>
        <v>-1</v>
      </c>
      <c r="M29">
        <f>COUNTIF(M$2:M$12,#REF! &amp; "*") -$A29</f>
        <v>-1</v>
      </c>
      <c r="N29">
        <f>COUNTIF(N$2:N$12,#REF! &amp; "*") -$A29</f>
        <v>-1</v>
      </c>
      <c r="O29">
        <f>COUNTIF(O$2:O$12,#REF! &amp; "*") -$A29</f>
        <v>-1</v>
      </c>
      <c r="Q29" s="5" t="s">
        <v>20</v>
      </c>
      <c r="R29">
        <f>COUNTIF(R$2:R$12,#REF! &amp; "*") -$A29</f>
        <v>-1</v>
      </c>
      <c r="S29">
        <f>COUNTIF(S$2:S$12,#REF! &amp; "*") -$A29</f>
        <v>-1</v>
      </c>
      <c r="T29">
        <f>COUNTIF(T$2:T$12,#REF! &amp; "*") -$A29</f>
        <v>-1</v>
      </c>
      <c r="U29">
        <f>COUNTIF(U$2:U$12,#REF! &amp; "*") -$A29</f>
        <v>-1</v>
      </c>
      <c r="V29">
        <f>COUNTIF(V$2:V$12,#REF! &amp; "*") -$A29</f>
        <v>-1</v>
      </c>
      <c r="X29" s="5" t="s">
        <v>20</v>
      </c>
      <c r="Y29">
        <f>COUNTIF(Y$2:Y$12,#REF! &amp; "*") -$A29</f>
        <v>-1</v>
      </c>
      <c r="Z29">
        <f>COUNTIF(Z$2:Z$12,#REF! &amp; "*") -$A29</f>
        <v>-1</v>
      </c>
      <c r="AA29">
        <f>COUNTIF(AA$2:AA$12,#REF! &amp; "*") -$A29</f>
        <v>-1</v>
      </c>
      <c r="AB29">
        <f>COUNTIF(AB$2:AB$12,#REF! &amp; "*") -$A29</f>
        <v>-1</v>
      </c>
      <c r="AC29">
        <f>COUNTIF(AC$2:AC$12,#REF! &amp; "*") -$A29</f>
        <v>-1</v>
      </c>
      <c r="AE29" s="5" t="s">
        <v>20</v>
      </c>
      <c r="AF29">
        <f>COUNTIF(AF$2:AF$12,#REF! &amp; "*") -$A29</f>
        <v>-1</v>
      </c>
      <c r="AG29">
        <f>COUNTIF(AG$2:AG$12,#REF! &amp; "*") -$A29</f>
        <v>-1</v>
      </c>
      <c r="AH29">
        <f>COUNTIF(AH$2:AH$12,#REF! &amp; "*") -$A29</f>
        <v>-1</v>
      </c>
      <c r="AI29">
        <f>COUNTIF(AI$2:AI$12,#REF! &amp; "*") -$A29</f>
        <v>-1</v>
      </c>
      <c r="AJ29">
        <f>COUNTIF(AJ$2:AJ$12,#REF! &amp; "*") -$A29</f>
        <v>-1</v>
      </c>
      <c r="AL29" s="5" t="s">
        <v>20</v>
      </c>
      <c r="AM29">
        <f>COUNTIF(AM$2:AM$12,#REF! &amp; "*") -$A29</f>
        <v>-1</v>
      </c>
      <c r="AN29">
        <f>COUNTIF(AN$2:AN$12,#REF! &amp; "*") -$A29</f>
        <v>-1</v>
      </c>
      <c r="AO29">
        <f>COUNTIF(AO$2:AO$12,#REF! &amp; "*") -$A29</f>
        <v>-1</v>
      </c>
      <c r="AP29">
        <f>COUNTIF(AP$2:AP$12,#REF! &amp; "*") -$A29</f>
        <v>-1</v>
      </c>
      <c r="AQ29">
        <f>COUNTIF(AQ$2:AQ$12,#REF! &amp; "*") -$A29</f>
        <v>-1</v>
      </c>
      <c r="AS29" s="5" t="s">
        <v>20</v>
      </c>
      <c r="AT29">
        <f>COUNTIF(AT$2:AT$12,#REF! &amp; "*") -$A29</f>
        <v>-1</v>
      </c>
      <c r="AU29">
        <f>COUNTIF(AU$2:AU$12,#REF! &amp; "*") -$A29</f>
        <v>-1</v>
      </c>
      <c r="AV29">
        <f>COUNTIF(AV$2:AV$12,#REF! &amp; "*") -$A29</f>
        <v>-1</v>
      </c>
      <c r="AW29">
        <f>COUNTIF(AW$2:AW$12,#REF! &amp; "*") -$A29</f>
        <v>-1</v>
      </c>
      <c r="AX29">
        <f>COUNTIF(AX$2:AX$12,#REF! &amp; "*") -$A29</f>
        <v>-1</v>
      </c>
      <c r="AZ29" s="5" t="s">
        <v>20</v>
      </c>
      <c r="BA29">
        <f>COUNTIF(BA$2:BA$12,#REF! &amp; "*") -$A29</f>
        <v>-1</v>
      </c>
      <c r="BB29">
        <f>COUNTIF(BB$2:BB$12,#REF! &amp; "*") -$A29</f>
        <v>-1</v>
      </c>
      <c r="BC29">
        <f>COUNTIF(BC$2:BC$12,#REF! &amp; "*") -$A29</f>
        <v>-1</v>
      </c>
      <c r="BD29">
        <f>COUNTIF(BD$2:BD$12,#REF! &amp; "*") -$A29</f>
        <v>-1</v>
      </c>
      <c r="BE29">
        <f>COUNTIF(BE$2:BE$12,#REF! &amp; "*") -$A29</f>
        <v>-1</v>
      </c>
      <c r="BG29" s="5" t="s">
        <v>20</v>
      </c>
      <c r="BH29">
        <f>COUNTIF(BH$2:BH$12,#REF! &amp; "*") -$A29</f>
        <v>-1</v>
      </c>
    </row>
    <row r="30" spans="1:63" hidden="1" x14ac:dyDescent="0.2">
      <c r="A30">
        <v>1</v>
      </c>
      <c r="B30">
        <v>0</v>
      </c>
      <c r="C30" s="5" t="s">
        <v>25</v>
      </c>
      <c r="D30">
        <f>COUNTIF(D$2:D$12,#REF! &amp; "*") -$A30</f>
        <v>-1</v>
      </c>
      <c r="E30">
        <f>COUNTIF(E$2:E$12,#REF! &amp; "*") -$A30</f>
        <v>-1</v>
      </c>
      <c r="F30">
        <f>COUNTIF(F$2:F$12,#REF! &amp; "*") -$A30</f>
        <v>-1</v>
      </c>
      <c r="G30">
        <f>COUNTIF(G$2:G$12,#REF! &amp; "*") -$A30</f>
        <v>-1</v>
      </c>
      <c r="H30">
        <f>COUNTIF(H$2:H$12,#REF! &amp; "*") -$A30</f>
        <v>-1</v>
      </c>
      <c r="J30" s="5" t="s">
        <v>25</v>
      </c>
      <c r="K30">
        <f>COUNTIF(K$2:K$12,#REF! &amp; "*") -$A30</f>
        <v>-1</v>
      </c>
      <c r="L30">
        <f>COUNTIF(L$2:L$12,#REF! &amp; "*") -$A30</f>
        <v>-1</v>
      </c>
      <c r="M30">
        <f>COUNTIF(M$2:M$12,#REF! &amp; "*") -$A30</f>
        <v>-1</v>
      </c>
      <c r="N30">
        <f>COUNTIF(N$2:N$12,#REF! &amp; "*") -$A30</f>
        <v>-1</v>
      </c>
      <c r="O30">
        <f>COUNTIF(O$2:O$12,#REF! &amp; "*") -$A30</f>
        <v>-1</v>
      </c>
      <c r="Q30" s="5" t="s">
        <v>25</v>
      </c>
      <c r="R30">
        <f>COUNTIF(R$2:R$12,#REF! &amp; "*") -$A30</f>
        <v>-1</v>
      </c>
      <c r="S30">
        <f>COUNTIF(S$2:S$12,#REF! &amp; "*") -$A30</f>
        <v>-1</v>
      </c>
      <c r="T30">
        <f>COUNTIF(T$2:T$12,#REF! &amp; "*") -$A30</f>
        <v>-1</v>
      </c>
      <c r="U30">
        <f>COUNTIF(U$2:U$12,#REF! &amp; "*") -$A30</f>
        <v>-1</v>
      </c>
      <c r="V30">
        <f>COUNTIF(V$2:V$12,#REF! &amp; "*") -$A30</f>
        <v>-1</v>
      </c>
      <c r="X30" s="5" t="s">
        <v>25</v>
      </c>
      <c r="Y30">
        <f>COUNTIF(Y$2:Y$12,#REF! &amp; "*") -$A30</f>
        <v>-1</v>
      </c>
      <c r="Z30">
        <f>COUNTIF(Z$2:Z$12,#REF! &amp; "*") -$A30</f>
        <v>-1</v>
      </c>
      <c r="AA30">
        <f>COUNTIF(AA$2:AA$12,#REF! &amp; "*") -$A30</f>
        <v>-1</v>
      </c>
      <c r="AB30">
        <f>COUNTIF(AB$2:AB$12,#REF! &amp; "*") -$A30</f>
        <v>-1</v>
      </c>
      <c r="AC30">
        <f>COUNTIF(AC$2:AC$12,#REF! &amp; "*") -$A30</f>
        <v>-1</v>
      </c>
      <c r="AE30" s="5" t="s">
        <v>25</v>
      </c>
      <c r="AF30">
        <f>COUNTIF(AF$2:AF$12,#REF! &amp; "*") -$A30</f>
        <v>-1</v>
      </c>
      <c r="AG30">
        <f>COUNTIF(AG$2:AG$12,#REF! &amp; "*") -$A30</f>
        <v>-1</v>
      </c>
      <c r="AH30">
        <f>COUNTIF(AH$2:AH$12,#REF! &amp; "*") -$A30</f>
        <v>-1</v>
      </c>
      <c r="AI30">
        <f>COUNTIF(AI$2:AI$12,#REF! &amp; "*") -$A30</f>
        <v>-1</v>
      </c>
      <c r="AJ30">
        <f>COUNTIF(AJ$2:AJ$12,#REF! &amp; "*") -$A30</f>
        <v>-1</v>
      </c>
      <c r="AL30" s="5" t="s">
        <v>25</v>
      </c>
      <c r="AM30">
        <f>COUNTIF(AM$2:AM$12,#REF! &amp; "*") -$A30</f>
        <v>-1</v>
      </c>
      <c r="AN30">
        <f>COUNTIF(AN$2:AN$12,#REF! &amp; "*") -$A30</f>
        <v>-1</v>
      </c>
      <c r="AO30">
        <f>COUNTIF(AO$2:AO$12,#REF! &amp; "*") -$A30</f>
        <v>-1</v>
      </c>
      <c r="AP30">
        <f>COUNTIF(AP$2:AP$12,#REF! &amp; "*") -$A30</f>
        <v>-1</v>
      </c>
      <c r="AQ30">
        <f>COUNTIF(AQ$2:AQ$12,#REF! &amp; "*") -$A30</f>
        <v>-1</v>
      </c>
      <c r="AS30" s="5" t="s">
        <v>25</v>
      </c>
      <c r="AT30">
        <f>COUNTIF(AT$2:AT$12,#REF! &amp; "*") -$A30</f>
        <v>-1</v>
      </c>
      <c r="AU30">
        <f>COUNTIF(AU$2:AU$12,#REF! &amp; "*") -$A30</f>
        <v>-1</v>
      </c>
      <c r="AV30">
        <f>COUNTIF(AV$2:AV$12,#REF! &amp; "*") -$A30</f>
        <v>-1</v>
      </c>
      <c r="AW30">
        <f>COUNTIF(AW$2:AW$12,#REF! &amp; "*") -$A30</f>
        <v>-1</v>
      </c>
      <c r="AX30">
        <f>COUNTIF(AX$2:AX$12,#REF! &amp; "*") -$A30</f>
        <v>-1</v>
      </c>
      <c r="AZ30" s="5" t="s">
        <v>25</v>
      </c>
      <c r="BA30">
        <f>COUNTIF(BA$2:BA$12,#REF! &amp; "*") -$A30</f>
        <v>-1</v>
      </c>
      <c r="BB30">
        <f>COUNTIF(BB$2:BB$12,#REF! &amp; "*") -$A30</f>
        <v>-1</v>
      </c>
      <c r="BC30">
        <f>COUNTIF(BC$2:BC$12,#REF! &amp; "*") -$A30</f>
        <v>-1</v>
      </c>
      <c r="BD30">
        <f>COUNTIF(BD$2:BD$12,#REF! &amp; "*") -$A30</f>
        <v>-1</v>
      </c>
      <c r="BE30">
        <f>COUNTIF(BE$2:BE$12,#REF! &amp; "*") -$A30</f>
        <v>-1</v>
      </c>
      <c r="BG30" s="5" t="s">
        <v>25</v>
      </c>
      <c r="BH30">
        <f>COUNTIF(BH$2:BH$12,#REF! &amp; "*") -$A30</f>
        <v>-1</v>
      </c>
    </row>
    <row r="31" spans="1:63" hidden="1" x14ac:dyDescent="0.2">
      <c r="A31">
        <v>1</v>
      </c>
      <c r="B31">
        <v>0</v>
      </c>
      <c r="C31" s="5" t="s">
        <v>22</v>
      </c>
      <c r="D31">
        <f>COUNTIF(D$2:D$12,#REF! &amp; "*") -$A31</f>
        <v>-1</v>
      </c>
      <c r="E31">
        <f>COUNTIF(E$2:E$12,#REF! &amp; "*") -$A31</f>
        <v>-1</v>
      </c>
      <c r="F31">
        <f>COUNTIF(F$2:F$12,#REF! &amp; "*") -$A31</f>
        <v>-1</v>
      </c>
      <c r="G31">
        <f>COUNTIF(G$2:G$12,#REF! &amp; "*") -$A31</f>
        <v>-1</v>
      </c>
      <c r="H31">
        <f>COUNTIF(H$2:H$12,#REF! &amp; "*") -$A31</f>
        <v>-1</v>
      </c>
      <c r="J31" s="5" t="s">
        <v>22</v>
      </c>
      <c r="K31">
        <f>COUNTIF(K$2:K$12,#REF! &amp; "*") -$A31</f>
        <v>-1</v>
      </c>
      <c r="L31">
        <f>COUNTIF(L$2:L$12,#REF! &amp; "*") -$A31</f>
        <v>-1</v>
      </c>
      <c r="M31">
        <f>COUNTIF(M$2:M$12,#REF! &amp; "*") -$A31</f>
        <v>-1</v>
      </c>
      <c r="N31">
        <f>COUNTIF(N$2:N$12,#REF! &amp; "*") -$A31</f>
        <v>-1</v>
      </c>
      <c r="O31">
        <f>COUNTIF(O$2:O$12,#REF! &amp; "*") -$A31</f>
        <v>-1</v>
      </c>
      <c r="Q31" s="5" t="s">
        <v>22</v>
      </c>
      <c r="R31">
        <f>COUNTIF(R$2:R$12,#REF! &amp; "*") -$A31</f>
        <v>-1</v>
      </c>
      <c r="S31">
        <f>COUNTIF(S$2:S$12,#REF! &amp; "*") -$A31</f>
        <v>-1</v>
      </c>
      <c r="T31">
        <f>COUNTIF(T$2:T$12,#REF! &amp; "*") -$A31</f>
        <v>-1</v>
      </c>
      <c r="U31">
        <f>COUNTIF(U$2:U$12,#REF! &amp; "*") -$A31</f>
        <v>-1</v>
      </c>
      <c r="V31">
        <f>COUNTIF(V$2:V$12,#REF! &amp; "*") -$A31</f>
        <v>-1</v>
      </c>
      <c r="X31" s="5" t="s">
        <v>22</v>
      </c>
      <c r="Y31">
        <f>COUNTIF(Y$2:Y$12,#REF! &amp; "*") -$A31</f>
        <v>-1</v>
      </c>
      <c r="Z31">
        <f>COUNTIF(Z$2:Z$12,#REF! &amp; "*") -$A31</f>
        <v>-1</v>
      </c>
      <c r="AA31">
        <f>COUNTIF(AA$2:AA$12,#REF! &amp; "*") -$A31</f>
        <v>-1</v>
      </c>
      <c r="AB31">
        <f>COUNTIF(AB$2:AB$12,#REF! &amp; "*") -$A31</f>
        <v>-1</v>
      </c>
      <c r="AC31">
        <f>COUNTIF(AC$2:AC$12,#REF! &amp; "*") -$A31</f>
        <v>-1</v>
      </c>
      <c r="AE31" s="5" t="s">
        <v>22</v>
      </c>
      <c r="AF31">
        <f>COUNTIF(AF$2:AF$12,#REF! &amp; "*") -$A31</f>
        <v>-1</v>
      </c>
      <c r="AG31">
        <f>COUNTIF(AG$2:AG$12,#REF! &amp; "*") -$A31</f>
        <v>-1</v>
      </c>
      <c r="AH31">
        <f>COUNTIF(AH$2:AH$12,#REF! &amp; "*") -$A31</f>
        <v>-1</v>
      </c>
      <c r="AI31">
        <f>COUNTIF(AI$2:AI$12,#REF! &amp; "*") -$A31</f>
        <v>-1</v>
      </c>
      <c r="AJ31">
        <f>COUNTIF(AJ$2:AJ$12,#REF! &amp; "*") -$A31</f>
        <v>-1</v>
      </c>
      <c r="AL31" s="5" t="s">
        <v>22</v>
      </c>
      <c r="AM31">
        <f>COUNTIF(AM$2:AM$12,#REF! &amp; "*") -$A31</f>
        <v>-1</v>
      </c>
      <c r="AN31">
        <f>COUNTIF(AN$2:AN$12,#REF! &amp; "*") -$A31</f>
        <v>-1</v>
      </c>
      <c r="AO31">
        <f>COUNTIF(AO$2:AO$12,#REF! &amp; "*") -$A31</f>
        <v>-1</v>
      </c>
      <c r="AP31">
        <f>COUNTIF(AP$2:AP$12,#REF! &amp; "*") -$A31</f>
        <v>-1</v>
      </c>
      <c r="AQ31">
        <f>COUNTIF(AQ$2:AQ$12,#REF! &amp; "*") -$A31</f>
        <v>-1</v>
      </c>
      <c r="AS31" s="5" t="s">
        <v>22</v>
      </c>
      <c r="AT31">
        <f>COUNTIF(AT$2:AT$12,#REF! &amp; "*") -$A31</f>
        <v>-1</v>
      </c>
      <c r="AU31">
        <f>COUNTIF(AU$2:AU$12,#REF! &amp; "*") -$A31</f>
        <v>-1</v>
      </c>
      <c r="AV31">
        <f>COUNTIF(AV$2:AV$12,#REF! &amp; "*") -$A31</f>
        <v>-1</v>
      </c>
      <c r="AW31">
        <f>COUNTIF(AW$2:AW$12,#REF! &amp; "*") -$A31</f>
        <v>-1</v>
      </c>
      <c r="AX31">
        <f>COUNTIF(AX$2:AX$12,#REF! &amp; "*") -$A31</f>
        <v>-1</v>
      </c>
      <c r="AZ31" s="5" t="s">
        <v>22</v>
      </c>
      <c r="BA31">
        <f>COUNTIF(BA$2:BA$12,#REF! &amp; "*") -$A31</f>
        <v>-1</v>
      </c>
      <c r="BB31">
        <f>COUNTIF(BB$2:BB$12,#REF! &amp; "*") -$A31</f>
        <v>-1</v>
      </c>
      <c r="BC31">
        <f>COUNTIF(BC$2:BC$12,#REF! &amp; "*") -$A31</f>
        <v>-1</v>
      </c>
      <c r="BD31">
        <f>COUNTIF(BD$2:BD$12,#REF! &amp; "*") -$A31</f>
        <v>-1</v>
      </c>
      <c r="BE31">
        <f>COUNTIF(BE$2:BE$12,#REF! &amp; "*") -$A31</f>
        <v>-1</v>
      </c>
      <c r="BG31" s="5" t="s">
        <v>22</v>
      </c>
      <c r="BH31">
        <f>COUNTIF(BH$2:BH$12,#REF! &amp; "*") -$A31</f>
        <v>-1</v>
      </c>
    </row>
    <row r="32" spans="1:63" s="1" customFormat="1" hidden="1" x14ac:dyDescent="0.2">
      <c r="B32" s="1">
        <v>0</v>
      </c>
      <c r="C32" s="5" t="s">
        <v>13</v>
      </c>
      <c r="D32" s="1">
        <f>COUNTIF(D$2:D$12,#REF! &amp; "*") -$A32</f>
        <v>0</v>
      </c>
      <c r="E32" s="1">
        <f>COUNTIF(E$2:E$12,#REF! &amp; "*") -$A32</f>
        <v>0</v>
      </c>
      <c r="F32" s="1">
        <f>COUNTIF(F$2:F$12,#REF! &amp; "*") -$A32</f>
        <v>0</v>
      </c>
      <c r="G32" s="1">
        <f>COUNTIF(G$2:G$12,#REF! &amp; "*") -$A32</f>
        <v>0</v>
      </c>
      <c r="H32" s="1">
        <f>COUNTIF(H$2:H$12,#REF! &amp; "*") -$A32</f>
        <v>0</v>
      </c>
      <c r="J32" s="5" t="s">
        <v>13</v>
      </c>
      <c r="K32" s="1">
        <f>COUNTIF(K$2:K$12,#REF! &amp; "*") -$A32</f>
        <v>0</v>
      </c>
      <c r="L32" s="1">
        <f>COUNTIF(L$2:L$12,#REF! &amp; "*") -$A32</f>
        <v>0</v>
      </c>
      <c r="M32" s="1">
        <f>COUNTIF(M$2:M$12,#REF! &amp; "*") -$A32</f>
        <v>0</v>
      </c>
      <c r="N32" s="1">
        <f>COUNTIF(N$2:N$12,#REF! &amp; "*") -$A32</f>
        <v>0</v>
      </c>
      <c r="O32" s="1">
        <f>COUNTIF(O$2:O$12,#REF! &amp; "*") -$A32</f>
        <v>0</v>
      </c>
      <c r="Q32" s="5" t="s">
        <v>13</v>
      </c>
      <c r="R32" s="1">
        <f>COUNTIF(R$2:R$12,#REF! &amp; "*") -$A32</f>
        <v>0</v>
      </c>
      <c r="S32" s="1">
        <f>COUNTIF(S$2:S$12,#REF! &amp; "*") -$A32</f>
        <v>0</v>
      </c>
      <c r="T32" s="1">
        <f>COUNTIF(T$2:T$12,#REF! &amp; "*") -$A32</f>
        <v>0</v>
      </c>
      <c r="U32" s="1">
        <f>COUNTIF(U$2:U$12,#REF! &amp; "*") -$A32</f>
        <v>0</v>
      </c>
      <c r="V32" s="1">
        <f>COUNTIF(V$2:V$12,#REF! &amp; "*") -$A32</f>
        <v>0</v>
      </c>
      <c r="X32" s="5" t="s">
        <v>13</v>
      </c>
      <c r="Y32" s="1">
        <f>COUNTIF(Y$2:Y$12,#REF! &amp; "*") -$A32</f>
        <v>0</v>
      </c>
      <c r="Z32" s="1">
        <f>COUNTIF(Z$2:Z$12,#REF! &amp; "*") -$A32</f>
        <v>0</v>
      </c>
      <c r="AA32" s="1">
        <f>COUNTIF(AA$2:AA$12,#REF! &amp; "*") -$A32</f>
        <v>0</v>
      </c>
      <c r="AB32" s="1">
        <f>COUNTIF(AB$2:AB$12,#REF! &amp; "*") -$A32</f>
        <v>0</v>
      </c>
      <c r="AC32" s="1">
        <f>COUNTIF(AC$2:AC$12,#REF! &amp; "*") -$A32</f>
        <v>0</v>
      </c>
      <c r="AE32" s="5" t="s">
        <v>13</v>
      </c>
      <c r="AF32" s="1">
        <f>COUNTIF(AF$2:AF$12,#REF! &amp; "*") -$A32</f>
        <v>0</v>
      </c>
      <c r="AG32" s="1">
        <f>COUNTIF(AG$2:AG$12,#REF! &amp; "*") -$A32</f>
        <v>0</v>
      </c>
      <c r="AH32" s="1">
        <f>COUNTIF(AH$2:AH$12,#REF! &amp; "*") -$A32</f>
        <v>0</v>
      </c>
      <c r="AI32" s="1">
        <f>COUNTIF(AI$2:AI$12,#REF! &amp; "*") -$A32</f>
        <v>0</v>
      </c>
      <c r="AJ32" s="1">
        <f>COUNTIF(AJ$2:AJ$12,#REF! &amp; "*") -$A32</f>
        <v>0</v>
      </c>
      <c r="AL32" s="5" t="s">
        <v>13</v>
      </c>
      <c r="AM32" s="1">
        <f>COUNTIF(AM$2:AM$12,#REF! &amp; "*") -$A32</f>
        <v>0</v>
      </c>
      <c r="AN32" s="1">
        <f>COUNTIF(AN$2:AN$12,#REF! &amp; "*") -$A32</f>
        <v>0</v>
      </c>
      <c r="AO32" s="1">
        <f>COUNTIF(AO$2:AO$12,#REF! &amp; "*") -$A32</f>
        <v>0</v>
      </c>
      <c r="AP32" s="1">
        <f>COUNTIF(AP$2:AP$12,#REF! &amp; "*") -$A32</f>
        <v>0</v>
      </c>
      <c r="AQ32" s="1">
        <f>COUNTIF(AQ$2:AQ$12,#REF! &amp; "*") -$A32</f>
        <v>0</v>
      </c>
      <c r="AS32" s="5" t="s">
        <v>13</v>
      </c>
      <c r="AT32" s="1">
        <f>COUNTIF(AT$2:AT$12,#REF! &amp; "*") -$A32</f>
        <v>0</v>
      </c>
      <c r="AU32" s="1">
        <f>COUNTIF(AU$2:AU$12,#REF! &amp; "*") -$A32</f>
        <v>0</v>
      </c>
      <c r="AV32" s="1">
        <f>COUNTIF(AV$2:AV$12,#REF! &amp; "*") -$A32</f>
        <v>0</v>
      </c>
      <c r="AW32" s="1">
        <f>COUNTIF(AW$2:AW$12,#REF! &amp; "*") -$A32</f>
        <v>0</v>
      </c>
      <c r="AX32" s="1">
        <f>COUNTIF(AX$2:AX$12,#REF! &amp; "*") -$A32</f>
        <v>0</v>
      </c>
      <c r="AZ32" s="5" t="s">
        <v>13</v>
      </c>
      <c r="BA32" s="1">
        <f>COUNTIF(BA$2:BA$12,#REF! &amp; "*") -$A32</f>
        <v>0</v>
      </c>
      <c r="BB32" s="1">
        <f>COUNTIF(BB$2:BB$12,#REF! &amp; "*") -$A32</f>
        <v>0</v>
      </c>
      <c r="BC32" s="1">
        <f>COUNTIF(BC$2:BC$12,#REF! &amp; "*") -$A32</f>
        <v>0</v>
      </c>
      <c r="BD32" s="1">
        <f>COUNTIF(BD$2:BD$12,#REF! &amp; "*") -$A32</f>
        <v>0</v>
      </c>
      <c r="BE32" s="1">
        <f>COUNTIF(BE$2:BE$12,#REF! &amp; "*") -$A32</f>
        <v>0</v>
      </c>
      <c r="BG32" s="5" t="s">
        <v>13</v>
      </c>
      <c r="BH32" s="1">
        <f>COUNTIF(BH$2:BH$12,#REF! &amp; "*") -$A32</f>
        <v>0</v>
      </c>
      <c r="BJ32" s="11"/>
      <c r="BK32" s="11"/>
    </row>
    <row r="33" spans="1:63" hidden="1" x14ac:dyDescent="0.2">
      <c r="A33">
        <v>1</v>
      </c>
      <c r="B33">
        <v>0</v>
      </c>
      <c r="C33" s="5" t="s">
        <v>2</v>
      </c>
      <c r="D33">
        <f>COUNTIF(D$2:D$12,#REF! &amp; "*") -$A33</f>
        <v>-1</v>
      </c>
      <c r="E33">
        <f>COUNTIF(E$2:E$12,#REF! &amp; "*") -$A33</f>
        <v>-1</v>
      </c>
      <c r="F33">
        <f>COUNTIF(F$2:F$12,#REF! &amp; "*") -$A33</f>
        <v>-1</v>
      </c>
      <c r="G33">
        <f>COUNTIF(G$2:G$12,#REF! &amp; "*") -$A33</f>
        <v>-1</v>
      </c>
      <c r="H33">
        <f>COUNTIF(H$2:H$12,#REF! &amp; "*") -$A33</f>
        <v>-1</v>
      </c>
      <c r="J33" s="5" t="s">
        <v>2</v>
      </c>
      <c r="K33">
        <f>COUNTIF(K$2:K$12,#REF! &amp; "*") -$A33</f>
        <v>-1</v>
      </c>
      <c r="L33">
        <f>COUNTIF(L$2:L$12,#REF! &amp; "*") -$A33</f>
        <v>-1</v>
      </c>
      <c r="M33">
        <f>COUNTIF(M$2:M$12,#REF! &amp; "*") -$A33</f>
        <v>-1</v>
      </c>
      <c r="N33">
        <f>COUNTIF(N$2:N$12,#REF! &amp; "*") -$A33</f>
        <v>-1</v>
      </c>
      <c r="O33">
        <f>COUNTIF(O$2:O$12,#REF! &amp; "*") -$A33</f>
        <v>-1</v>
      </c>
      <c r="Q33" s="5" t="s">
        <v>2</v>
      </c>
      <c r="R33">
        <f>COUNTIF(R$2:R$12,#REF! &amp; "*") -$A33</f>
        <v>-1</v>
      </c>
      <c r="S33">
        <f>COUNTIF(S$2:S$12,#REF! &amp; "*") -$A33</f>
        <v>-1</v>
      </c>
      <c r="T33">
        <f>COUNTIF(T$2:T$12,#REF! &amp; "*") -$A33</f>
        <v>-1</v>
      </c>
      <c r="U33">
        <f>COUNTIF(U$2:U$12,#REF! &amp; "*") -$A33</f>
        <v>-1</v>
      </c>
      <c r="V33">
        <f>COUNTIF(V$2:V$12,#REF! &amp; "*") -$A33</f>
        <v>-1</v>
      </c>
      <c r="X33" s="5" t="s">
        <v>2</v>
      </c>
      <c r="Y33">
        <f>COUNTIF(Y$2:Y$12,#REF! &amp; "*") -$A33</f>
        <v>-1</v>
      </c>
      <c r="Z33">
        <f>COUNTIF(Z$2:Z$12,#REF! &amp; "*") -$A33</f>
        <v>-1</v>
      </c>
      <c r="AA33">
        <f>COUNTIF(AA$2:AA$12,#REF! &amp; "*") -$A33</f>
        <v>-1</v>
      </c>
      <c r="AB33">
        <f>COUNTIF(AB$2:AB$12,#REF! &amp; "*") -$A33</f>
        <v>-1</v>
      </c>
      <c r="AC33">
        <f>COUNTIF(AC$2:AC$12,#REF! &amp; "*") -$A33</f>
        <v>-1</v>
      </c>
      <c r="AE33" s="5" t="s">
        <v>2</v>
      </c>
      <c r="AF33">
        <f>COUNTIF(AF$2:AF$12,#REF! &amp; "*") -$A33</f>
        <v>-1</v>
      </c>
      <c r="AG33">
        <f>COUNTIF(AG$2:AG$12,#REF! &amp; "*") -$A33</f>
        <v>-1</v>
      </c>
      <c r="AH33">
        <f>COUNTIF(AH$2:AH$12,#REF! &amp; "*") -$A33</f>
        <v>-1</v>
      </c>
      <c r="AI33">
        <f>COUNTIF(AI$2:AI$12,#REF! &amp; "*") -$A33</f>
        <v>-1</v>
      </c>
      <c r="AJ33">
        <f>COUNTIF(AJ$2:AJ$12,#REF! &amp; "*") -$A33</f>
        <v>-1</v>
      </c>
      <c r="AL33" s="5" t="s">
        <v>2</v>
      </c>
      <c r="AM33">
        <f>COUNTIF(AM$2:AM$12,#REF! &amp; "*") -$A33</f>
        <v>-1</v>
      </c>
      <c r="AN33">
        <f>COUNTIF(AN$2:AN$12,#REF! &amp; "*") -$A33</f>
        <v>-1</v>
      </c>
      <c r="AO33">
        <f>COUNTIF(AO$2:AO$12,#REF! &amp; "*") -$A33</f>
        <v>-1</v>
      </c>
      <c r="AP33">
        <f>COUNTIF(AP$2:AP$12,#REF! &amp; "*") -$A33</f>
        <v>-1</v>
      </c>
      <c r="AQ33">
        <f>COUNTIF(AQ$2:AQ$12,#REF! &amp; "*") -$A33</f>
        <v>-1</v>
      </c>
      <c r="AS33" s="5" t="s">
        <v>2</v>
      </c>
      <c r="AT33">
        <f>COUNTIF(AT$2:AT$12,#REF! &amp; "*") -$A33</f>
        <v>-1</v>
      </c>
      <c r="AU33">
        <f>COUNTIF(AU$2:AU$12,#REF! &amp; "*") -$A33</f>
        <v>-1</v>
      </c>
      <c r="AV33">
        <f>COUNTIF(AV$2:AV$12,#REF! &amp; "*") -$A33</f>
        <v>-1</v>
      </c>
      <c r="AW33">
        <f>COUNTIF(AW$2:AW$12,#REF! &amp; "*") -$A33</f>
        <v>-1</v>
      </c>
      <c r="AX33">
        <f>COUNTIF(AX$2:AX$12,#REF! &amp; "*") -$A33</f>
        <v>-1</v>
      </c>
      <c r="AZ33" s="5" t="s">
        <v>2</v>
      </c>
      <c r="BA33">
        <f>COUNTIF(BA$2:BA$12,#REF! &amp; "*") -$A33</f>
        <v>-1</v>
      </c>
      <c r="BB33">
        <f>COUNTIF(BB$2:BB$12,#REF! &amp; "*") -$A33</f>
        <v>-1</v>
      </c>
      <c r="BC33">
        <f>COUNTIF(BC$2:BC$12,#REF! &amp; "*") -$A33</f>
        <v>-1</v>
      </c>
      <c r="BD33">
        <f>COUNTIF(BD$2:BD$12,#REF! &amp; "*") -$A33</f>
        <v>-1</v>
      </c>
      <c r="BE33">
        <f>COUNTIF(BE$2:BE$12,#REF! &amp; "*") -$A33</f>
        <v>-1</v>
      </c>
      <c r="BG33" s="5" t="s">
        <v>2</v>
      </c>
      <c r="BH33">
        <f>COUNTIF(BH$2:BH$12,#REF! &amp; "*") -$A33</f>
        <v>-1</v>
      </c>
    </row>
    <row r="34" spans="1:63" s="30" customFormat="1" x14ac:dyDescent="0.2">
      <c r="A34" s="29" t="s">
        <v>14</v>
      </c>
      <c r="D34" s="30" t="s">
        <v>36</v>
      </c>
      <c r="K34" s="30" t="s">
        <v>36</v>
      </c>
      <c r="R34" s="30" t="s">
        <v>36</v>
      </c>
      <c r="Y34" s="30" t="s">
        <v>36</v>
      </c>
      <c r="AF34" s="30" t="s">
        <v>36</v>
      </c>
      <c r="AM34" s="30" t="s">
        <v>36</v>
      </c>
      <c r="AT34" s="30" t="s">
        <v>36</v>
      </c>
      <c r="BA34" s="30" t="s">
        <v>36</v>
      </c>
    </row>
    <row r="35" spans="1:63" x14ac:dyDescent="0.2">
      <c r="A35" s="24" t="s">
        <v>21</v>
      </c>
      <c r="C35" s="5" t="s">
        <v>21</v>
      </c>
      <c r="D35" s="1">
        <f>COUNTIF(D$2:D$12,$A35 &amp; " (call)")</f>
        <v>0</v>
      </c>
      <c r="E35" s="1">
        <f>COUNTIF(E$2:E$12,$A35 &amp; " (call)")</f>
        <v>0</v>
      </c>
      <c r="F35" s="1">
        <f>COUNTIF(F$2:F$12,$A35 &amp; " (call)")</f>
        <v>0</v>
      </c>
      <c r="G35" s="1">
        <f>COUNTIF(G$2:G$12,$A35 &amp; " (call)")</f>
        <v>0</v>
      </c>
      <c r="H35" s="1">
        <f>COUNTIF(H$2:H$12,$A35 &amp; " (call)")</f>
        <v>0</v>
      </c>
      <c r="J35" s="5" t="s">
        <v>21</v>
      </c>
      <c r="K35" s="1">
        <f>COUNTIF(K$2:K$12,$A35 &amp; " (call)")</f>
        <v>0</v>
      </c>
      <c r="L35" s="1">
        <f>COUNTIF(L$2:L$12,$A35 &amp; " (call)")</f>
        <v>0</v>
      </c>
      <c r="M35" s="1">
        <f>COUNTIF(M$2:M$12,$A35 &amp; " (call)")</f>
        <v>1</v>
      </c>
      <c r="N35" s="1">
        <f>COUNTIF(N$2:N$12,$A35 &amp; " (call)")</f>
        <v>0</v>
      </c>
      <c r="O35" s="1">
        <f>COUNTIF(O$2:O$12,$A35 &amp; " (call)")</f>
        <v>0</v>
      </c>
      <c r="Q35" s="5" t="s">
        <v>21</v>
      </c>
      <c r="R35" s="1">
        <f>COUNTIF(R$2:R$12,$A35 &amp; " (call)")</f>
        <v>0</v>
      </c>
      <c r="S35" s="1">
        <f>COUNTIF(S$2:S$12,$A35 &amp; " (call)")</f>
        <v>1</v>
      </c>
      <c r="T35" s="1">
        <f>COUNTIF(T$2:T$12,$A35 &amp; " (call)")</f>
        <v>0</v>
      </c>
      <c r="U35" s="1">
        <f>COUNTIF(U$2:U$12,$A35 &amp; " (call)")</f>
        <v>1</v>
      </c>
      <c r="V35" s="1">
        <f>COUNTIF(V$2:V$12,$A35 &amp; " (call)")</f>
        <v>1</v>
      </c>
      <c r="X35" s="5" t="s">
        <v>21</v>
      </c>
      <c r="Y35" s="1">
        <f>COUNTIF(Y$2:Y$12,$A35 &amp; " (call)")</f>
        <v>1</v>
      </c>
      <c r="Z35" s="1">
        <f>COUNTIF(Z$2:Z$12,$A35 &amp; " (call)")</f>
        <v>0</v>
      </c>
      <c r="AA35" s="1">
        <f>COUNTIF(AA$2:AA$12,$A35 &amp; " (call)")</f>
        <v>0</v>
      </c>
      <c r="AB35" s="1">
        <f>COUNTIF(AB$2:AB$12,$A35 &amp; " (call)")</f>
        <v>0</v>
      </c>
      <c r="AC35" s="1">
        <f>COUNTIF(AC$2:AC$12,$A35 &amp; " (call)")</f>
        <v>1</v>
      </c>
      <c r="AE35" s="5" t="s">
        <v>21</v>
      </c>
      <c r="AF35" s="1">
        <f>COUNTIF(AF$2:AF$12,$A35 &amp; " (call)")</f>
        <v>1</v>
      </c>
      <c r="AG35" s="1">
        <f>COUNTIF(AG$2:AG$12,$A35 &amp; " (call)")</f>
        <v>0</v>
      </c>
      <c r="AH35" s="1">
        <f>COUNTIF(AH$2:AH$12,$A35 &amp; " (call)")</f>
        <v>0</v>
      </c>
      <c r="AI35" s="1">
        <f>COUNTIF(AI$2:AI$12,$A35 &amp; " (call)")</f>
        <v>0</v>
      </c>
      <c r="AJ35" s="1">
        <f>COUNTIF(AJ$2:AJ$12,$A35 &amp; " (call)")</f>
        <v>0</v>
      </c>
      <c r="AL35" s="5" t="s">
        <v>21</v>
      </c>
      <c r="AM35" s="1">
        <f>COUNTIF(AM$2:AM$12,$A35 &amp; " (call)")</f>
        <v>0</v>
      </c>
      <c r="AN35" s="1">
        <f>COUNTIF(AN$2:AN$12,$A35 &amp; " (call)")</f>
        <v>0</v>
      </c>
      <c r="AO35" s="1">
        <f>COUNTIF(AO$2:AO$12,$A35 &amp; " (call)")</f>
        <v>0</v>
      </c>
      <c r="AP35" s="1">
        <f>COUNTIF(AP$2:AP$12,$A35 &amp; " (call)")</f>
        <v>0</v>
      </c>
      <c r="AQ35" s="1">
        <f>COUNTIF(AQ$2:AQ$12,$A35 &amp; " (call)")</f>
        <v>0</v>
      </c>
      <c r="AS35" s="5" t="s">
        <v>21</v>
      </c>
      <c r="AT35" s="1">
        <f>COUNTIF(AT$2:AT$12,$A35 &amp; " (call)")</f>
        <v>0</v>
      </c>
      <c r="AU35" s="1">
        <f>COUNTIF(AU$2:AU$12,$A35 &amp; " (call)")</f>
        <v>0</v>
      </c>
      <c r="AV35" s="1">
        <f>COUNTIF(AV$2:AV$12,$A35 &amp; " (call)")</f>
        <v>0</v>
      </c>
      <c r="AW35" s="1">
        <f>COUNTIF(AW$2:AW$12,$A35 &amp; " (call)")</f>
        <v>0</v>
      </c>
      <c r="AX35" s="1">
        <f>COUNTIF(AX$2:AX$12,$A35 &amp; " (call)")</f>
        <v>0</v>
      </c>
      <c r="AZ35" s="5" t="s">
        <v>21</v>
      </c>
      <c r="BA35" s="1">
        <f>COUNTIF(BA$2:BA$12,$A35 &amp; " (call)")</f>
        <v>0</v>
      </c>
      <c r="BB35" s="1">
        <f>COUNTIF(BB$2:BB$12,$A35 &amp; " (call)")</f>
        <v>0</v>
      </c>
      <c r="BC35" s="1">
        <f>COUNTIF(BC$2:BC$12,$A35 &amp; " (call)")</f>
        <v>0</v>
      </c>
      <c r="BD35" s="1">
        <f>COUNTIF(BD$2:BD$12,$A35 &amp; " (call)")</f>
        <v>0</v>
      </c>
      <c r="BE35" s="1">
        <f>COUNTIF(BE$2:BE$12,$A35 &amp; " (call)")</f>
        <v>0</v>
      </c>
      <c r="BG35" s="5" t="s">
        <v>21</v>
      </c>
      <c r="BH35" s="1">
        <f>COUNTIF(BH$2:BH$12,$A35 &amp; " (call)")</f>
        <v>0</v>
      </c>
      <c r="BJ35"/>
      <c r="BK35"/>
    </row>
    <row r="36" spans="1:63" x14ac:dyDescent="0.2">
      <c r="A36" s="24" t="s">
        <v>24</v>
      </c>
      <c r="C36" s="5" t="s">
        <v>24</v>
      </c>
      <c r="D36" s="1">
        <f>COUNTIF(D$2:D$12,$A36 &amp; " (call)")</f>
        <v>0</v>
      </c>
      <c r="E36" s="1">
        <f>COUNTIF(E$2:E$12,$A36 &amp; " (call)")</f>
        <v>0</v>
      </c>
      <c r="F36" s="1">
        <f>COUNTIF(F$2:F$12,$A36 &amp; " (call)")</f>
        <v>0</v>
      </c>
      <c r="G36" s="1">
        <f>COUNTIF(G$2:G$12,$A36 &amp; " (call)")</f>
        <v>0</v>
      </c>
      <c r="H36" s="1">
        <f>COUNTIF(H$2:H$12,$A36 &amp; " (call)")</f>
        <v>1</v>
      </c>
      <c r="J36" s="5" t="s">
        <v>24</v>
      </c>
      <c r="K36" s="1">
        <f>COUNTIF(K$2:K$12,$A36 &amp; " (call)")</f>
        <v>0</v>
      </c>
      <c r="L36" s="1">
        <f>COUNTIF(L$2:L$12,$A36 &amp; " (call)")</f>
        <v>0</v>
      </c>
      <c r="M36" s="1">
        <f>COUNTIF(M$2:M$12,$A36 &amp; " (call)")</f>
        <v>0</v>
      </c>
      <c r="N36" s="1">
        <f>COUNTIF(N$2:N$12,$A36 &amp; " (call)")</f>
        <v>0</v>
      </c>
      <c r="O36" s="1">
        <f>COUNTIF(O$2:O$12,$A36 &amp; " (call)")</f>
        <v>0</v>
      </c>
      <c r="Q36" s="5" t="s">
        <v>24</v>
      </c>
      <c r="R36" s="1">
        <f>COUNTIF(R$2:R$12,$A36 &amp; " (call)")</f>
        <v>0</v>
      </c>
      <c r="S36" s="1">
        <f>COUNTIF(S$2:S$12,$A36 &amp; " (call)")</f>
        <v>0</v>
      </c>
      <c r="T36" s="1">
        <f>COUNTIF(T$2:T$12,$A36 &amp; " (call)")</f>
        <v>0</v>
      </c>
      <c r="U36" s="1">
        <f>COUNTIF(U$2:U$12,$A36 &amp; " (call)")</f>
        <v>0</v>
      </c>
      <c r="V36" s="1">
        <f>COUNTIF(V$2:V$12,$A36 &amp; " (call)")</f>
        <v>0</v>
      </c>
      <c r="X36" s="5" t="s">
        <v>24</v>
      </c>
      <c r="Y36" s="1">
        <f>COUNTIF(Y$2:Y$12,$A36 &amp; " (call)")</f>
        <v>0</v>
      </c>
      <c r="Z36" s="1">
        <f>COUNTIF(Z$2:Z$12,$A36 &amp; " (call)")</f>
        <v>0</v>
      </c>
      <c r="AA36" s="1">
        <f>COUNTIF(AA$2:AA$12,$A36 &amp; " (call)")</f>
        <v>1</v>
      </c>
      <c r="AB36" s="1">
        <f>COUNTIF(AB$2:AB$12,$A36 &amp; " (call)")</f>
        <v>0</v>
      </c>
      <c r="AC36" s="1">
        <f>COUNTIF(AC$2:AC$12,$A36 &amp; " (call)")</f>
        <v>0</v>
      </c>
      <c r="AE36" s="5" t="s">
        <v>24</v>
      </c>
      <c r="AF36" s="1">
        <f>COUNTIF(AF$2:AF$12,$A36 &amp; " (call)")</f>
        <v>0</v>
      </c>
      <c r="AG36" s="1">
        <f>COUNTIF(AG$2:AG$12,$A36 &amp; " (call)")</f>
        <v>0</v>
      </c>
      <c r="AH36" s="1">
        <f>COUNTIF(AH$2:AH$12,$A36 &amp; " (call)")</f>
        <v>0</v>
      </c>
      <c r="AI36" s="1">
        <f>COUNTIF(AI$2:AI$12,$A36 &amp; " (call)")</f>
        <v>0</v>
      </c>
      <c r="AJ36" s="1">
        <f>COUNTIF(AJ$2:AJ$12,$A36 &amp; " (call)")</f>
        <v>0</v>
      </c>
      <c r="AL36" s="5" t="s">
        <v>24</v>
      </c>
      <c r="AM36" s="1">
        <f>COUNTIF(AM$2:AM$12,$A36 &amp; " (call)")</f>
        <v>0</v>
      </c>
      <c r="AN36" s="1">
        <f>COUNTIF(AN$2:AN$12,$A36 &amp; " (call)")</f>
        <v>0</v>
      </c>
      <c r="AO36" s="1">
        <f>COUNTIF(AO$2:AO$12,$A36 &amp; " (call)")</f>
        <v>0</v>
      </c>
      <c r="AP36" s="1">
        <f>COUNTIF(AP$2:AP$12,$A36 &amp; " (call)")</f>
        <v>0</v>
      </c>
      <c r="AQ36" s="1">
        <f>COUNTIF(AQ$2:AQ$12,$A36 &amp; " (call)")</f>
        <v>0</v>
      </c>
      <c r="AS36" s="5" t="s">
        <v>24</v>
      </c>
      <c r="AT36" s="1">
        <f>COUNTIF(AT$2:AT$12,$A36 &amp; " (call)")</f>
        <v>0</v>
      </c>
      <c r="AU36" s="1">
        <f>COUNTIF(AU$2:AU$12,$A36 &amp; " (call)")</f>
        <v>0</v>
      </c>
      <c r="AV36" s="1">
        <f>COUNTIF(AV$2:AV$12,$A36 &amp; " (call)")</f>
        <v>0</v>
      </c>
      <c r="AW36" s="1">
        <f>COUNTIF(AW$2:AW$12,$A36 &amp; " (call)")</f>
        <v>0</v>
      </c>
      <c r="AX36" s="1">
        <f>COUNTIF(AX$2:AX$12,$A36 &amp; " (call)")</f>
        <v>0</v>
      </c>
      <c r="AZ36" s="5" t="s">
        <v>24</v>
      </c>
      <c r="BA36" s="1">
        <f>COUNTIF(BA$2:BA$12,$A36 &amp; " (call)")</f>
        <v>0</v>
      </c>
      <c r="BB36" s="1">
        <f>COUNTIF(BB$2:BB$12,$A36 &amp; " (call)")</f>
        <v>0</v>
      </c>
      <c r="BC36" s="1">
        <f>COUNTIF(BC$2:BC$12,$A36 &amp; " (call)")</f>
        <v>0</v>
      </c>
      <c r="BD36" s="1">
        <f>COUNTIF(BD$2:BD$12,$A36 &amp; " (call)")</f>
        <v>0</v>
      </c>
      <c r="BE36" s="1">
        <f>COUNTIF(BE$2:BE$12,$A36 &amp; " (call)")</f>
        <v>0</v>
      </c>
      <c r="BG36" s="5" t="s">
        <v>24</v>
      </c>
      <c r="BH36" s="1">
        <f>COUNTIF(BH$2:BH$12,$A36 &amp; " (call)")</f>
        <v>0</v>
      </c>
      <c r="BJ36"/>
      <c r="BK36"/>
    </row>
    <row r="37" spans="1:63" x14ac:dyDescent="0.2">
      <c r="A37" s="24" t="s">
        <v>23</v>
      </c>
      <c r="C37" s="5" t="s">
        <v>23</v>
      </c>
      <c r="D37" s="1">
        <f>COUNTIF(D$2:D$12,$A37 &amp; " (call)")</f>
        <v>0</v>
      </c>
      <c r="E37" s="1">
        <f>COUNTIF(E$2:E$12,$A37 &amp; " (call)")</f>
        <v>0</v>
      </c>
      <c r="F37" s="1">
        <f>COUNTIF(F$2:F$12,$A37 &amp; " (call)")</f>
        <v>1</v>
      </c>
      <c r="G37" s="1">
        <f>COUNTIF(G$2:G$12,$A37 &amp; " (call)")</f>
        <v>0</v>
      </c>
      <c r="H37" s="1">
        <f>COUNTIF(H$2:H$12,$A37 &amp; " (call)")</f>
        <v>0</v>
      </c>
      <c r="J37" s="5" t="s">
        <v>23</v>
      </c>
      <c r="K37" s="1">
        <f>COUNTIF(K$2:K$12,$A37 &amp; " (call)")</f>
        <v>1</v>
      </c>
      <c r="L37" s="1">
        <f>COUNTIF(L$2:L$12,$A37 &amp; " (call)")</f>
        <v>1</v>
      </c>
      <c r="M37" s="1">
        <f>COUNTIF(M$2:M$12,$A37 &amp; " (call)")</f>
        <v>0</v>
      </c>
      <c r="N37" s="1">
        <f>COUNTIF(N$2:N$12,$A37 &amp; " (call)")</f>
        <v>1</v>
      </c>
      <c r="O37" s="1">
        <f>COUNTIF(O$2:O$12,$A37 &amp; " (call)")</f>
        <v>0</v>
      </c>
      <c r="Q37" s="5" t="s">
        <v>23</v>
      </c>
      <c r="R37" s="1">
        <f>COUNTIF(R$2:R$12,$A37 &amp; " (call)")</f>
        <v>1</v>
      </c>
      <c r="S37" s="1">
        <f>COUNTIF(S$2:S$12,$A37 &amp; " (call)")</f>
        <v>0</v>
      </c>
      <c r="T37" s="1">
        <f>COUNTIF(T$2:T$12,$A37 &amp; " (call)")</f>
        <v>1</v>
      </c>
      <c r="U37" s="1">
        <f>COUNTIF(U$2:U$12,$A37 &amp; " (call)")</f>
        <v>0</v>
      </c>
      <c r="V37" s="1">
        <f>COUNTIF(V$2:V$12,$A37 &amp; " (call)")</f>
        <v>0</v>
      </c>
      <c r="X37" s="5" t="s">
        <v>23</v>
      </c>
      <c r="Y37" s="1">
        <f>COUNTIF(Y$2:Y$12,$A37 &amp; " (call)")</f>
        <v>0</v>
      </c>
      <c r="Z37" s="1">
        <f>COUNTIF(Z$2:Z$12,$A37 &amp; " (call)")</f>
        <v>0</v>
      </c>
      <c r="AA37" s="1">
        <f>COUNTIF(AA$2:AA$12,$A37 &amp; " (call)")</f>
        <v>0</v>
      </c>
      <c r="AB37" s="1">
        <f>COUNTIF(AB$2:AB$12,$A37 &amp; " (call)")</f>
        <v>1</v>
      </c>
      <c r="AC37" s="1">
        <f>COUNTIF(AC$2:AC$12,$A37 &amp; " (call)")</f>
        <v>0</v>
      </c>
      <c r="AE37" s="5" t="s">
        <v>23</v>
      </c>
      <c r="AF37" s="1">
        <f>COUNTIF(AF$2:AF$12,$A37 &amp; " (call)")</f>
        <v>0</v>
      </c>
      <c r="AG37" s="1">
        <f>COUNTIF(AG$2:AG$12,$A37 &amp; " (call)")</f>
        <v>0</v>
      </c>
      <c r="AH37" s="1">
        <f>COUNTIF(AH$2:AH$12,$A37 &amp; " (call)")</f>
        <v>0</v>
      </c>
      <c r="AI37" s="1">
        <f>COUNTIF(AI$2:AI$12,$A37 &amp; " (call)")</f>
        <v>0</v>
      </c>
      <c r="AJ37" s="1">
        <f>COUNTIF(AJ$2:AJ$12,$A37 &amp; " (call)")</f>
        <v>0</v>
      </c>
      <c r="AL37" s="5" t="s">
        <v>23</v>
      </c>
      <c r="AM37" s="1">
        <f>COUNTIF(AM$2:AM$12,$A37 &amp; " (call)")</f>
        <v>0</v>
      </c>
      <c r="AN37" s="1">
        <f>COUNTIF(AN$2:AN$12,$A37 &amp; " (call)")</f>
        <v>0</v>
      </c>
      <c r="AO37" s="1">
        <f>COUNTIF(AO$2:AO$12,$A37 &amp; " (call)")</f>
        <v>0</v>
      </c>
      <c r="AP37" s="1">
        <f>COUNTIF(AP$2:AP$12,$A37 &amp; " (call)")</f>
        <v>0</v>
      </c>
      <c r="AQ37" s="1">
        <f>COUNTIF(AQ$2:AQ$12,$A37 &amp; " (call)")</f>
        <v>0</v>
      </c>
      <c r="AS37" s="5" t="s">
        <v>23</v>
      </c>
      <c r="AT37" s="1">
        <f>COUNTIF(AT$2:AT$12,$A37 &amp; " (call)")</f>
        <v>0</v>
      </c>
      <c r="AU37" s="1">
        <f>COUNTIF(AU$2:AU$12,$A37 &amp; " (call)")</f>
        <v>0</v>
      </c>
      <c r="AV37" s="1">
        <f>COUNTIF(AV$2:AV$12,$A37 &amp; " (call)")</f>
        <v>0</v>
      </c>
      <c r="AW37" s="1">
        <f>COUNTIF(AW$2:AW$12,$A37 &amp; " (call)")</f>
        <v>0</v>
      </c>
      <c r="AX37" s="1">
        <f>COUNTIF(AX$2:AX$12,$A37 &amp; " (call)")</f>
        <v>0</v>
      </c>
      <c r="AZ37" s="5" t="s">
        <v>23</v>
      </c>
      <c r="BA37" s="1">
        <f>COUNTIF(BA$2:BA$12,$A37 &amp; " (call)")</f>
        <v>0</v>
      </c>
      <c r="BB37" s="1">
        <f>COUNTIF(BB$2:BB$12,$A37 &amp; " (call)")</f>
        <v>0</v>
      </c>
      <c r="BC37" s="1">
        <f>COUNTIF(BC$2:BC$12,$A37 &amp; " (call)")</f>
        <v>0</v>
      </c>
      <c r="BD37" s="1">
        <f>COUNTIF(BD$2:BD$12,$A37 &amp; " (call)")</f>
        <v>0</v>
      </c>
      <c r="BE37" s="1">
        <f>COUNTIF(BE$2:BE$12,$A37 &amp; " (call)")</f>
        <v>0</v>
      </c>
      <c r="BG37" s="5" t="s">
        <v>23</v>
      </c>
      <c r="BH37" s="1">
        <f>COUNTIF(BH$2:BH$12,$A37 &amp; " (call)")</f>
        <v>0</v>
      </c>
      <c r="BJ37"/>
      <c r="BK37"/>
    </row>
    <row r="38" spans="1:63" x14ac:dyDescent="0.2">
      <c r="A38" s="24" t="s">
        <v>20</v>
      </c>
      <c r="C38" s="5" t="s">
        <v>20</v>
      </c>
      <c r="D38" s="1">
        <f>COUNTIF(D$2:D$12,$A38 &amp; " (call)")</f>
        <v>1</v>
      </c>
      <c r="E38" s="1">
        <f>COUNTIF(E$2:E$12,$A38 &amp; " (call)")</f>
        <v>0</v>
      </c>
      <c r="F38" s="1">
        <f>COUNTIF(F$2:F$12,$A38 &amp; " (call)")</f>
        <v>0</v>
      </c>
      <c r="G38" s="1">
        <f>COUNTIF(G$2:G$12,$A38 &amp; " (call)")</f>
        <v>1</v>
      </c>
      <c r="H38" s="1">
        <f>COUNTIF(H$2:H$12,$A38 &amp; " (call)")</f>
        <v>0</v>
      </c>
      <c r="J38" s="5" t="s">
        <v>20</v>
      </c>
      <c r="K38" s="1">
        <f>COUNTIF(K$2:K$12,$A38 &amp; " (call)")</f>
        <v>0</v>
      </c>
      <c r="L38" s="1">
        <f>COUNTIF(L$2:L$12,$A38 &amp; " (call)")</f>
        <v>0</v>
      </c>
      <c r="M38" s="1">
        <f>COUNTIF(M$2:M$12,$A38 &amp; " (call)")</f>
        <v>0</v>
      </c>
      <c r="N38" s="1">
        <f>COUNTIF(N$2:N$12,$A38 &amp; " (call)")</f>
        <v>0</v>
      </c>
      <c r="O38" s="1">
        <f>COUNTIF(O$2:O$12,$A38 &amp; " (call)")</f>
        <v>0</v>
      </c>
      <c r="Q38" s="5" t="s">
        <v>20</v>
      </c>
      <c r="R38" s="1">
        <f>COUNTIF(R$2:R$12,$A38 &amp; " (call)")</f>
        <v>0</v>
      </c>
      <c r="S38" s="1">
        <f>COUNTIF(S$2:S$12,$A38 &amp; " (call)")</f>
        <v>0</v>
      </c>
      <c r="T38" s="1">
        <f>COUNTIF(T$2:T$12,$A38 &amp; " (call)")</f>
        <v>0</v>
      </c>
      <c r="U38" s="1">
        <f>COUNTIF(U$2:U$12,$A38 &amp; " (call)")</f>
        <v>0</v>
      </c>
      <c r="V38" s="1">
        <f>COUNTIF(V$2:V$12,$A38 &amp; " (call)")</f>
        <v>0</v>
      </c>
      <c r="X38" s="5" t="s">
        <v>20</v>
      </c>
      <c r="Y38" s="1">
        <f>COUNTIF(Y$2:Y$12,$A38 &amp; " (call)")</f>
        <v>0</v>
      </c>
      <c r="Z38" s="1">
        <f>COUNTIF(Z$2:Z$12,$A38 &amp; " (call)")</f>
        <v>0</v>
      </c>
      <c r="AA38" s="1">
        <f>COUNTIF(AA$2:AA$12,$A38 &amp; " (call)")</f>
        <v>0</v>
      </c>
      <c r="AB38" s="1">
        <f>COUNTIF(AB$2:AB$12,$A38 &amp; " (call)")</f>
        <v>0</v>
      </c>
      <c r="AC38" s="1">
        <f>COUNTIF(AC$2:AC$12,$A38 &amp; " (call)")</f>
        <v>0</v>
      </c>
      <c r="AE38" s="5" t="s">
        <v>20</v>
      </c>
      <c r="AF38" s="1">
        <f>COUNTIF(AF$2:AF$12,$A38 &amp; " (call)")</f>
        <v>0</v>
      </c>
      <c r="AG38" s="1">
        <f>COUNTIF(AG$2:AG$12,$A38 &amp; " (call)")</f>
        <v>0</v>
      </c>
      <c r="AH38" s="1">
        <f>COUNTIF(AH$2:AH$12,$A38 &amp; " (call)")</f>
        <v>0</v>
      </c>
      <c r="AI38" s="1">
        <f>COUNTIF(AI$2:AI$12,$A38 &amp; " (call)")</f>
        <v>0</v>
      </c>
      <c r="AJ38" s="1">
        <f>COUNTIF(AJ$2:AJ$12,$A38 &amp; " (call)")</f>
        <v>0</v>
      </c>
      <c r="AL38" s="5" t="s">
        <v>20</v>
      </c>
      <c r="AM38" s="1">
        <f>COUNTIF(AM$2:AM$12,$A38 &amp; " (call)")</f>
        <v>0</v>
      </c>
      <c r="AN38" s="1">
        <f>COUNTIF(AN$2:AN$12,$A38 &amp; " (call)")</f>
        <v>0</v>
      </c>
      <c r="AO38" s="1">
        <f>COUNTIF(AO$2:AO$12,$A38 &amp; " (call)")</f>
        <v>0</v>
      </c>
      <c r="AP38" s="1">
        <f>COUNTIF(AP$2:AP$12,$A38 &amp; " (call)")</f>
        <v>0</v>
      </c>
      <c r="AQ38" s="1">
        <f>COUNTIF(AQ$2:AQ$12,$A38 &amp; " (call)")</f>
        <v>0</v>
      </c>
      <c r="AS38" s="5" t="s">
        <v>20</v>
      </c>
      <c r="AT38" s="1">
        <f>COUNTIF(AT$2:AT$12,$A38 &amp; " (call)")</f>
        <v>0</v>
      </c>
      <c r="AU38" s="1">
        <f>COUNTIF(AU$2:AU$12,$A38 &amp; " (call)")</f>
        <v>0</v>
      </c>
      <c r="AV38" s="1">
        <f>COUNTIF(AV$2:AV$12,$A38 &amp; " (call)")</f>
        <v>0</v>
      </c>
      <c r="AW38" s="1">
        <f>COUNTIF(AW$2:AW$12,$A38 &amp; " (call)")</f>
        <v>0</v>
      </c>
      <c r="AX38" s="1">
        <f>COUNTIF(AX$2:AX$12,$A38 &amp; " (call)")</f>
        <v>0</v>
      </c>
      <c r="AZ38" s="5" t="s">
        <v>20</v>
      </c>
      <c r="BA38" s="1">
        <f>COUNTIF(BA$2:BA$12,$A38 &amp; " (call)")</f>
        <v>0</v>
      </c>
      <c r="BB38" s="1">
        <f>COUNTIF(BB$2:BB$12,$A38 &amp; " (call)")</f>
        <v>0</v>
      </c>
      <c r="BC38" s="1">
        <f>COUNTIF(BC$2:BC$12,$A38 &amp; " (call)")</f>
        <v>0</v>
      </c>
      <c r="BD38" s="1">
        <f>COUNTIF(BD$2:BD$12,$A38 &amp; " (call)")</f>
        <v>0</v>
      </c>
      <c r="BE38" s="1">
        <f>COUNTIF(BE$2:BE$12,$A38 &amp; " (call)")</f>
        <v>0</v>
      </c>
      <c r="BG38" s="5" t="s">
        <v>20</v>
      </c>
      <c r="BH38" s="1">
        <f>COUNTIF(BH$2:BH$12,$A38 &amp; " (call)")</f>
        <v>0</v>
      </c>
      <c r="BJ38"/>
      <c r="BK38"/>
    </row>
    <row r="39" spans="1:63" x14ac:dyDescent="0.2">
      <c r="A39" s="24" t="s">
        <v>25</v>
      </c>
      <c r="C39" s="5" t="s">
        <v>25</v>
      </c>
      <c r="D39" s="1">
        <f>COUNTIF(D$2:D$12,$A39 &amp; " (call)")</f>
        <v>0</v>
      </c>
      <c r="E39" s="1">
        <f>COUNTIF(E$2:E$12,$A39 &amp; " (call)")</f>
        <v>1</v>
      </c>
      <c r="F39" s="1">
        <f>COUNTIF(F$2:F$12,$A39 &amp; " (call)")</f>
        <v>0</v>
      </c>
      <c r="G39" s="1">
        <f>COUNTIF(G$2:G$12,$A39 &amp; " (call)")</f>
        <v>0</v>
      </c>
      <c r="H39" s="1">
        <f>COUNTIF(H$2:H$12,$A39 &amp; " (call)")</f>
        <v>0</v>
      </c>
      <c r="J39" s="5" t="s">
        <v>25</v>
      </c>
      <c r="K39" s="1">
        <f>COUNTIF(K$2:K$12,$A39 &amp; " (call)")</f>
        <v>0</v>
      </c>
      <c r="L39" s="1">
        <f>COUNTIF(L$2:L$12,$A39 &amp; " (call)")</f>
        <v>0</v>
      </c>
      <c r="M39" s="1">
        <f>COUNTIF(M$2:M$12,$A39 &amp; " (call)")</f>
        <v>0</v>
      </c>
      <c r="N39" s="1">
        <f>COUNTIF(N$2:N$12,$A39 &amp; " (call)")</f>
        <v>0</v>
      </c>
      <c r="O39" s="1">
        <f>COUNTIF(O$2:O$12,$A39 &amp; " (call)")</f>
        <v>0</v>
      </c>
      <c r="Q39" s="5" t="s">
        <v>25</v>
      </c>
      <c r="R39" s="1">
        <f>COUNTIF(R$2:R$12,$A39 &amp; " (call)")</f>
        <v>0</v>
      </c>
      <c r="S39" s="1">
        <f>COUNTIF(S$2:S$12,$A39 &amp; " (call)")</f>
        <v>0</v>
      </c>
      <c r="T39" s="1">
        <f>COUNTIF(T$2:T$12,$A39 &amp; " (call)")</f>
        <v>0</v>
      </c>
      <c r="U39" s="1">
        <f>COUNTIF(U$2:U$12,$A39 &amp; " (call)")</f>
        <v>0</v>
      </c>
      <c r="V39" s="1">
        <f>COUNTIF(V$2:V$12,$A39 &amp; " (call)")</f>
        <v>0</v>
      </c>
      <c r="X39" s="5" t="s">
        <v>25</v>
      </c>
      <c r="Y39" s="1">
        <f>COUNTIF(Y$2:Y$12,$A39 &amp; " (call)")</f>
        <v>0</v>
      </c>
      <c r="Z39" s="1">
        <f>COUNTIF(Z$2:Z$12,$A39 &amp; " (call)")</f>
        <v>0</v>
      </c>
      <c r="AA39" s="1">
        <f>COUNTIF(AA$2:AA$12,$A39 &amp; " (call)")</f>
        <v>0</v>
      </c>
      <c r="AB39" s="1">
        <f>COUNTIF(AB$2:AB$12,$A39 &amp; " (call)")</f>
        <v>0</v>
      </c>
      <c r="AC39" s="1">
        <f>COUNTIF(AC$2:AC$12,$A39 &amp; " (call)")</f>
        <v>0</v>
      </c>
      <c r="AE39" s="5" t="s">
        <v>25</v>
      </c>
      <c r="AF39" s="1">
        <f>COUNTIF(AF$2:AF$12,$A39 &amp; " (call)")</f>
        <v>0</v>
      </c>
      <c r="AG39" s="1">
        <f>COUNTIF(AG$2:AG$12,$A39 &amp; " (call)")</f>
        <v>0</v>
      </c>
      <c r="AH39" s="1">
        <f>COUNTIF(AH$2:AH$12,$A39 &amp; " (call)")</f>
        <v>0</v>
      </c>
      <c r="AI39" s="1">
        <f>COUNTIF(AI$2:AI$12,$A39 &amp; " (call)")</f>
        <v>0</v>
      </c>
      <c r="AJ39" s="1">
        <f>COUNTIF(AJ$2:AJ$12,$A39 &amp; " (call)")</f>
        <v>0</v>
      </c>
      <c r="AL39" s="5" t="s">
        <v>25</v>
      </c>
      <c r="AM39" s="1">
        <f>COUNTIF(AM$2:AM$12,$A39 &amp; " (call)")</f>
        <v>0</v>
      </c>
      <c r="AN39" s="1">
        <f>COUNTIF(AN$2:AN$12,$A39 &amp; " (call)")</f>
        <v>0</v>
      </c>
      <c r="AO39" s="1">
        <f>COUNTIF(AO$2:AO$12,$A39 &amp; " (call)")</f>
        <v>0</v>
      </c>
      <c r="AP39" s="1">
        <f>COUNTIF(AP$2:AP$12,$A39 &amp; " (call)")</f>
        <v>0</v>
      </c>
      <c r="AQ39" s="1">
        <f>COUNTIF(AQ$2:AQ$12,$A39 &amp; " (call)")</f>
        <v>0</v>
      </c>
      <c r="AS39" s="5" t="s">
        <v>25</v>
      </c>
      <c r="AT39" s="1">
        <f>COUNTIF(AT$2:AT$12,$A39 &amp; " (call)")</f>
        <v>0</v>
      </c>
      <c r="AU39" s="1">
        <f>COUNTIF(AU$2:AU$12,$A39 &amp; " (call)")</f>
        <v>0</v>
      </c>
      <c r="AV39" s="1">
        <f>COUNTIF(AV$2:AV$12,$A39 &amp; " (call)")</f>
        <v>0</v>
      </c>
      <c r="AW39" s="1">
        <f>COUNTIF(AW$2:AW$12,$A39 &amp; " (call)")</f>
        <v>0</v>
      </c>
      <c r="AX39" s="1">
        <f>COUNTIF(AX$2:AX$12,$A39 &amp; " (call)")</f>
        <v>0</v>
      </c>
      <c r="AZ39" s="5" t="s">
        <v>25</v>
      </c>
      <c r="BA39" s="1">
        <f>COUNTIF(BA$2:BA$12,$A39 &amp; " (call)")</f>
        <v>0</v>
      </c>
      <c r="BB39" s="1">
        <f>COUNTIF(BB$2:BB$12,$A39 &amp; " (call)")</f>
        <v>0</v>
      </c>
      <c r="BC39" s="1">
        <f>COUNTIF(BC$2:BC$12,$A39 &amp; " (call)")</f>
        <v>0</v>
      </c>
      <c r="BD39" s="1">
        <f>COUNTIF(BD$2:BD$12,$A39 &amp; " (call)")</f>
        <v>0</v>
      </c>
      <c r="BE39" s="1">
        <f>COUNTIF(BE$2:BE$12,$A39 &amp; " (call)")</f>
        <v>0</v>
      </c>
      <c r="BG39" s="5" t="s">
        <v>25</v>
      </c>
      <c r="BH39" s="1">
        <f>COUNTIF(BH$2:BH$12,$A39 &amp; " (call)")</f>
        <v>0</v>
      </c>
      <c r="BJ39"/>
      <c r="BK39"/>
    </row>
    <row r="40" spans="1:63" x14ac:dyDescent="0.2">
      <c r="A40" s="24" t="s">
        <v>22</v>
      </c>
      <c r="C40" s="5" t="s">
        <v>22</v>
      </c>
      <c r="D40" s="1">
        <f>COUNTIF(D$2:D$12,$A40 &amp; " (call)")</f>
        <v>0</v>
      </c>
      <c r="E40" s="1">
        <f>COUNTIF(E$2:E$12,$A40 &amp; " (call)")</f>
        <v>0</v>
      </c>
      <c r="F40" s="1">
        <f>COUNTIF(F$2:F$12,$A40 &amp; " (call)")</f>
        <v>0</v>
      </c>
      <c r="G40" s="1">
        <f>COUNTIF(G$2:G$12,$A40 &amp; " (call)")</f>
        <v>0</v>
      </c>
      <c r="H40" s="1">
        <f>COUNTIF(H$2:H$12,$A40 &amp; " (call)")</f>
        <v>0</v>
      </c>
      <c r="J40" s="5" t="s">
        <v>22</v>
      </c>
      <c r="K40" s="1">
        <f>COUNTIF(K$2:K$12,$A40 &amp; " (call)")</f>
        <v>0</v>
      </c>
      <c r="L40" s="1">
        <f>COUNTIF(L$2:L$12,$A40 &amp; " (call)")</f>
        <v>0</v>
      </c>
      <c r="M40" s="1">
        <f>COUNTIF(M$2:M$12,$A40 &amp; " (call)")</f>
        <v>0</v>
      </c>
      <c r="N40" s="1">
        <f>COUNTIF(N$2:N$12,$A40 &amp; " (call)")</f>
        <v>0</v>
      </c>
      <c r="O40" s="1">
        <f>COUNTIF(O$2:O$12,$A40 &amp; " (call)")</f>
        <v>1</v>
      </c>
      <c r="Q40" s="5" t="s">
        <v>22</v>
      </c>
      <c r="R40" s="1">
        <f>COUNTIF(R$2:R$12,$A40 &amp; " (call)")</f>
        <v>0</v>
      </c>
      <c r="S40" s="1">
        <f>COUNTIF(S$2:S$12,$A40 &amp; " (call)")</f>
        <v>0</v>
      </c>
      <c r="T40" s="1">
        <f>COUNTIF(T$2:T$12,$A40 &amp; " (call)")</f>
        <v>0</v>
      </c>
      <c r="U40" s="1">
        <f>COUNTIF(U$2:U$12,$A40 &amp; " (call)")</f>
        <v>0</v>
      </c>
      <c r="V40" s="1">
        <f>COUNTIF(V$2:V$12,$A40 &amp; " (call)")</f>
        <v>0</v>
      </c>
      <c r="X40" s="5" t="s">
        <v>22</v>
      </c>
      <c r="Y40" s="1">
        <f>COUNTIF(Y$2:Y$12,$A40 &amp; " (call)")</f>
        <v>0</v>
      </c>
      <c r="Z40" s="1">
        <f>COUNTIF(Z$2:Z$12,$A40 &amp; " (call)")</f>
        <v>1</v>
      </c>
      <c r="AA40" s="1">
        <f>COUNTIF(AA$2:AA$12,$A40 &amp; " (call)")</f>
        <v>0</v>
      </c>
      <c r="AB40" s="1">
        <f>COUNTIF(AB$2:AB$12,$A40 &amp; " (call)")</f>
        <v>0</v>
      </c>
      <c r="AC40" s="1">
        <f>COUNTIF(AC$2:AC$12,$A40 &amp; " (call)")</f>
        <v>0</v>
      </c>
      <c r="AE40" s="5" t="s">
        <v>22</v>
      </c>
      <c r="AF40" s="1">
        <f>COUNTIF(AF$2:AF$12,$A40 &amp; " (call)")</f>
        <v>0</v>
      </c>
      <c r="AG40" s="1">
        <f>COUNTIF(AG$2:AG$12,$A40 &amp; " (call)")</f>
        <v>0</v>
      </c>
      <c r="AH40" s="1">
        <f>COUNTIF(AH$2:AH$12,$A40 &amp; " (call)")</f>
        <v>0</v>
      </c>
      <c r="AI40" s="1">
        <f>COUNTIF(AI$2:AI$12,$A40 &amp; " (call)")</f>
        <v>0</v>
      </c>
      <c r="AJ40" s="1">
        <f>COUNTIF(AJ$2:AJ$12,$A40 &amp; " (call)")</f>
        <v>0</v>
      </c>
      <c r="AL40" s="5" t="s">
        <v>22</v>
      </c>
      <c r="AM40" s="1">
        <f>COUNTIF(AM$2:AM$12,$A40 &amp; " (call)")</f>
        <v>0</v>
      </c>
      <c r="AN40" s="1">
        <f>COUNTIF(AN$2:AN$12,$A40 &amp; " (call)")</f>
        <v>0</v>
      </c>
      <c r="AO40" s="1">
        <f>COUNTIF(AO$2:AO$12,$A40 &amp; " (call)")</f>
        <v>0</v>
      </c>
      <c r="AP40" s="1">
        <f>COUNTIF(AP$2:AP$12,$A40 &amp; " (call)")</f>
        <v>0</v>
      </c>
      <c r="AQ40" s="1">
        <f>COUNTIF(AQ$2:AQ$12,$A40 &amp; " (call)")</f>
        <v>0</v>
      </c>
      <c r="AS40" s="5" t="s">
        <v>22</v>
      </c>
      <c r="AT40" s="1">
        <f>COUNTIF(AT$2:AT$12,$A40 &amp; " (call)")</f>
        <v>0</v>
      </c>
      <c r="AU40" s="1">
        <f>COUNTIF(AU$2:AU$12,$A40 &amp; " (call)")</f>
        <v>0</v>
      </c>
      <c r="AV40" s="1">
        <f>COUNTIF(AV$2:AV$12,$A40 &amp; " (call)")</f>
        <v>0</v>
      </c>
      <c r="AW40" s="1">
        <f>COUNTIF(AW$2:AW$12,$A40 &amp; " (call)")</f>
        <v>0</v>
      </c>
      <c r="AX40" s="1">
        <f>COUNTIF(AX$2:AX$12,$A40 &amp; " (call)")</f>
        <v>0</v>
      </c>
      <c r="AZ40" s="5" t="s">
        <v>22</v>
      </c>
      <c r="BA40" s="1">
        <f>COUNTIF(BA$2:BA$12,$A40 &amp; " (call)")</f>
        <v>0</v>
      </c>
      <c r="BB40" s="1">
        <f>COUNTIF(BB$2:BB$12,$A40 &amp; " (call)")</f>
        <v>0</v>
      </c>
      <c r="BC40" s="1">
        <f>COUNTIF(BC$2:BC$12,$A40 &amp; " (call)")</f>
        <v>0</v>
      </c>
      <c r="BD40" s="1">
        <f>COUNTIF(BD$2:BD$12,$A40 &amp; " (call)")</f>
        <v>0</v>
      </c>
      <c r="BE40" s="1">
        <f>COUNTIF(BE$2:BE$12,$A40 &amp; " (call)")</f>
        <v>0</v>
      </c>
      <c r="BG40" s="5" t="s">
        <v>22</v>
      </c>
      <c r="BH40" s="1">
        <f>COUNTIF(BH$2:BH$12,$A40 &amp; " (call)")</f>
        <v>0</v>
      </c>
      <c r="BJ40"/>
      <c r="BK40"/>
    </row>
  </sheetData>
  <conditionalFormatting sqref="A18:A23">
    <cfRule type="containsText" dxfId="1204" priority="851" operator="containsText" text="9ab">
      <formula>NOT(ISERROR(SEARCH("9ab",A18)))</formula>
    </cfRule>
    <cfRule type="cellIs" dxfId="1203" priority="852" stopIfTrue="1" operator="equal">
      <formula>"leave"</formula>
    </cfRule>
    <cfRule type="containsText" dxfId="1202" priority="853" operator="containsText" text="ds">
      <formula>NOT(ISERROR(SEARCH("ds",A18)))</formula>
    </cfRule>
    <cfRule type="containsText" dxfId="1201" priority="854" operator="containsText" text="subobs">
      <formula>NOT(ISERROR(SEARCH("subobs",A18)))</formula>
    </cfRule>
    <cfRule type="containsText" dxfId="1200" priority="855" operator="containsText" text="Call">
      <formula>NOT(ISERROR(SEARCH("Call",A18)))</formula>
    </cfRule>
    <cfRule type="containsText" dxfId="1198" priority="857" operator="containsText" text="9ab">
      <formula>NOT(ISERROR(SEARCH("9ab",A18)))</formula>
    </cfRule>
    <cfRule type="cellIs" dxfId="1197" priority="858" stopIfTrue="1" operator="equal">
      <formula>"leave"</formula>
    </cfRule>
    <cfRule type="containsText" dxfId="1196" priority="859" operator="containsText" text="ds">
      <formula>NOT(ISERROR(SEARCH("ds",A18)))</formula>
    </cfRule>
    <cfRule type="containsText" dxfId="1195" priority="860" operator="containsText" text="subobs">
      <formula>NOT(ISERROR(SEARCH("subobs",A18)))</formula>
    </cfRule>
    <cfRule type="containsText" dxfId="1194" priority="861" stopIfTrue="1" operator="containsText" text="(Call)">
      <formula>NOT(ISERROR(SEARCH("(Call)",A18)))</formula>
    </cfRule>
    <cfRule type="containsText" dxfId="1192" priority="863" operator="containsText" text="9ab">
      <formula>NOT(ISERROR(SEARCH("9ab",A18)))</formula>
    </cfRule>
    <cfRule type="cellIs" dxfId="1191" priority="864" stopIfTrue="1" operator="equal">
      <formula>"leave"</formula>
    </cfRule>
    <cfRule type="containsText" dxfId="1190" priority="865" operator="containsText" text="ds">
      <formula>NOT(ISERROR(SEARCH("ds",A18)))</formula>
    </cfRule>
    <cfRule type="containsText" dxfId="1189" priority="866" operator="containsText" text="subobs">
      <formula>NOT(ISERROR(SEARCH("subobs",A18)))</formula>
    </cfRule>
    <cfRule type="containsText" dxfId="1188" priority="867" operator="containsText" text="Call">
      <formula>NOT(ISERROR(SEARCH("Call",A18)))</formula>
    </cfRule>
    <cfRule type="cellIs" dxfId="1186" priority="869" operator="equal">
      <formula>0</formula>
    </cfRule>
    <cfRule type="containsText" dxfId="1185" priority="870" operator="containsText" text="9ab">
      <formula>NOT(ISERROR(SEARCH("9ab",A18)))</formula>
    </cfRule>
    <cfRule type="cellIs" dxfId="1184" priority="871" stopIfTrue="1" operator="equal">
      <formula>"leave"</formula>
    </cfRule>
    <cfRule type="containsText" dxfId="1183" priority="872" operator="containsText" text="ds">
      <formula>NOT(ISERROR(SEARCH("ds",A18)))</formula>
    </cfRule>
    <cfRule type="containsText" dxfId="1182" priority="873" operator="containsText" text="subobs">
      <formula>NOT(ISERROR(SEARCH("subobs",A18)))</formula>
    </cfRule>
    <cfRule type="containsText" dxfId="1181" priority="874" operator="containsText" text="Call">
      <formula>NOT(ISERROR(SEARCH("Call",A18)))</formula>
    </cfRule>
  </conditionalFormatting>
  <conditionalFormatting sqref="A18:A24">
    <cfRule type="containsText" dxfId="1179" priority="1421" operator="containsText" text="9ab">
      <formula>NOT(ISERROR(SEARCH("9ab",A18)))</formula>
    </cfRule>
    <cfRule type="cellIs" dxfId="1178" priority="1422" stopIfTrue="1" operator="equal">
      <formula>"leave"</formula>
    </cfRule>
    <cfRule type="containsText" dxfId="1177" priority="1423" operator="containsText" text="ds">
      <formula>NOT(ISERROR(SEARCH("ds",A18)))</formula>
    </cfRule>
    <cfRule type="containsText" dxfId="1176" priority="1424" operator="containsText" text="subobs">
      <formula>NOT(ISERROR(SEARCH("subobs",A18)))</formula>
    </cfRule>
    <cfRule type="containsText" dxfId="1175" priority="1425" operator="containsText" text="Call">
      <formula>NOT(ISERROR(SEARCH("Call",A18)))</formula>
    </cfRule>
  </conditionalFormatting>
  <conditionalFormatting sqref="BJ2:BK16 C1:BJ15 A18:BL24 A25:BJ25 A26:BL33 A1:A15 A16:BJ17">
    <cfRule type="containsText" dxfId="1173" priority="850" operator="containsText" text="(Call)">
      <formula>NOT(ISERROR(SEARCH("(Call)",A1)))</formula>
    </cfRule>
    <cfRule type="cellIs" dxfId="1172" priority="1394" operator="equal">
      <formula>0</formula>
    </cfRule>
    <cfRule type="containsText" dxfId="1171" priority="1446" stopIfTrue="1" operator="containsText" text="9ab">
      <formula>NOT(ISERROR(SEARCH("9ab",A1)))</formula>
    </cfRule>
    <cfRule type="containsText" dxfId="1170" priority="1448" stopIfTrue="1" operator="containsText" text="ds">
      <formula>NOT(ISERROR(SEARCH("ds",A1)))</formula>
    </cfRule>
    <cfRule type="containsText" dxfId="1169" priority="1449" stopIfTrue="1" operator="containsText" text="subobs">
      <formula>NOT(ISERROR(SEARCH("subobs",A1)))</formula>
    </cfRule>
  </conditionalFormatting>
  <conditionalFormatting sqref="BL18:BL24 BL26:BL33 C1:BK15 A34:BL40 A41:BK144 A1:A15 A16:BK33">
    <cfRule type="cellIs" dxfId="1168" priority="1447" stopIfTrue="1" operator="equal">
      <formula>"leave"</formula>
    </cfRule>
  </conditionalFormatting>
  <conditionalFormatting sqref="BJ2:BK16 C1:BJ15 A18:BL24 A25:BJ25 A26:BL33 A1:A15 A16:BJ17">
    <cfRule type="containsText" dxfId="1167" priority="1413" stopIfTrue="1" operator="containsText" text="go">
      <formula>NOT(ISERROR(SEARCH("go",A1)))</formula>
    </cfRule>
    <cfRule type="cellIs" dxfId="1166" priority="1445" operator="equal">
      <formula>"ps_cover"</formula>
    </cfRule>
  </conditionalFormatting>
  <conditionalFormatting sqref="BJ2:BK16 C1:BJ15 A18:BL24 A26:BL33 A25:BJ25 A1:A15 A16:BJ17">
    <cfRule type="containsText" dxfId="1165" priority="1393" operator="containsText" text="b1">
      <formula>NOT(ISERROR(SEARCH("b1",A1)))</formula>
    </cfRule>
  </conditionalFormatting>
  <conditionalFormatting sqref="C26:AC33">
    <cfRule type="cellIs" dxfId="1164" priority="1157" operator="equal">
      <formula>0</formula>
    </cfRule>
  </conditionalFormatting>
  <conditionalFormatting sqref="C26:C31">
    <cfRule type="containsText" dxfId="1163" priority="1127" operator="containsText" text="9ab">
      <formula>NOT(ISERROR(SEARCH("9ab",C26)))</formula>
    </cfRule>
    <cfRule type="cellIs" dxfId="1162" priority="1128" stopIfTrue="1" operator="equal">
      <formula>"leave"</formula>
    </cfRule>
    <cfRule type="containsText" dxfId="1161" priority="1129" operator="containsText" text="ds">
      <formula>NOT(ISERROR(SEARCH("ds",C26)))</formula>
    </cfRule>
    <cfRule type="containsText" dxfId="1160" priority="1130" operator="containsText" text="subobs">
      <formula>NOT(ISERROR(SEARCH("subobs",C26)))</formula>
    </cfRule>
    <cfRule type="containsText" dxfId="1159" priority="1131" operator="containsText" text="Call">
      <formula>NOT(ISERROR(SEARCH("Call",C26)))</formula>
    </cfRule>
    <cfRule type="containsText" dxfId="1157" priority="1145" operator="containsText" text="9ab">
      <formula>NOT(ISERROR(SEARCH("9ab",C26)))</formula>
    </cfRule>
    <cfRule type="cellIs" dxfId="1156" priority="1146" stopIfTrue="1" operator="equal">
      <formula>"leave"</formula>
    </cfRule>
    <cfRule type="containsText" dxfId="1155" priority="1147" operator="containsText" text="ds">
      <formula>NOT(ISERROR(SEARCH("ds",C26)))</formula>
    </cfRule>
    <cfRule type="containsText" dxfId="1154" priority="1148" operator="containsText" text="subobs">
      <formula>NOT(ISERROR(SEARCH("subobs",C26)))</formula>
    </cfRule>
    <cfRule type="containsText" dxfId="1153" priority="1149" operator="containsText" text="Call">
      <formula>NOT(ISERROR(SEARCH("Call",C26)))</formula>
    </cfRule>
  </conditionalFormatting>
  <conditionalFormatting sqref="C26:C33">
    <cfRule type="containsText" dxfId="1151" priority="1133" operator="containsText" text="9ab">
      <formula>NOT(ISERROR(SEARCH("9ab",C26)))</formula>
    </cfRule>
    <cfRule type="cellIs" dxfId="1150" priority="1134" stopIfTrue="1" operator="equal">
      <formula>"leave"</formula>
    </cfRule>
    <cfRule type="containsText" dxfId="1149" priority="1135" operator="containsText" text="ds">
      <formula>NOT(ISERROR(SEARCH("ds",C26)))</formula>
    </cfRule>
    <cfRule type="containsText" dxfId="1148" priority="1136" operator="containsText" text="subobs">
      <formula>NOT(ISERROR(SEARCH("subobs",C26)))</formula>
    </cfRule>
    <cfRule type="containsText" dxfId="1147" priority="1137" stopIfTrue="1" operator="containsText" text="(Call)">
      <formula>NOT(ISERROR(SEARCH("(Call)",C26)))</formula>
    </cfRule>
  </conditionalFormatting>
  <conditionalFormatting sqref="C35:C40">
    <cfRule type="containsText" dxfId="1145" priority="734" operator="containsText" text="9ab">
      <formula>NOT(ISERROR(SEARCH("9ab",C35)))</formula>
    </cfRule>
    <cfRule type="cellIs" dxfId="1144" priority="735" stopIfTrue="1" operator="equal">
      <formula>"leave"</formula>
    </cfRule>
    <cfRule type="containsText" dxfId="1143" priority="736" operator="containsText" text="ds">
      <formula>NOT(ISERROR(SEARCH("ds",C35)))</formula>
    </cfRule>
    <cfRule type="containsText" dxfId="1142" priority="737" operator="containsText" text="subobs">
      <formula>NOT(ISERROR(SEARCH("subobs",C35)))</formula>
    </cfRule>
    <cfRule type="containsText" dxfId="1141" priority="738" operator="containsText" text="Call">
      <formula>NOT(ISERROR(SEARCH("Call",C35)))</formula>
    </cfRule>
    <cfRule type="containsText" dxfId="1139" priority="740" operator="containsText" text="9ab">
      <formula>NOT(ISERROR(SEARCH("9ab",C35)))</formula>
    </cfRule>
    <cfRule type="cellIs" dxfId="1138" priority="741" stopIfTrue="1" operator="equal">
      <formula>"leave"</formula>
    </cfRule>
    <cfRule type="containsText" dxfId="1137" priority="742" operator="containsText" text="ds">
      <formula>NOT(ISERROR(SEARCH("ds",C35)))</formula>
    </cfRule>
    <cfRule type="containsText" dxfId="1136" priority="743" operator="containsText" text="subobs">
      <formula>NOT(ISERROR(SEARCH("subobs",C35)))</formula>
    </cfRule>
    <cfRule type="containsText" dxfId="1135" priority="744" stopIfTrue="1" operator="containsText" text="(Call)">
      <formula>NOT(ISERROR(SEARCH("(Call)",C35)))</formula>
    </cfRule>
    <cfRule type="containsText" dxfId="1133" priority="746" operator="containsText" text="9ab">
      <formula>NOT(ISERROR(SEARCH("9ab",C35)))</formula>
    </cfRule>
    <cfRule type="cellIs" dxfId="1132" priority="747" stopIfTrue="1" operator="equal">
      <formula>"leave"</formula>
    </cfRule>
    <cfRule type="containsText" dxfId="1131" priority="748" operator="containsText" text="ds">
      <formula>NOT(ISERROR(SEARCH("ds",C35)))</formula>
    </cfRule>
    <cfRule type="containsText" dxfId="1130" priority="749" operator="containsText" text="subobs">
      <formula>NOT(ISERROR(SEARCH("subobs",C35)))</formula>
    </cfRule>
    <cfRule type="containsText" dxfId="1129" priority="750" operator="containsText" text="Call">
      <formula>NOT(ISERROR(SEARCH("Call",C35)))</formula>
    </cfRule>
    <cfRule type="containsText" dxfId="1127" priority="752" operator="containsText" text="9ab">
      <formula>NOT(ISERROR(SEARCH("9ab",C35)))</formula>
    </cfRule>
    <cfRule type="cellIs" dxfId="1126" priority="753" stopIfTrue="1" operator="equal">
      <formula>"leave"</formula>
    </cfRule>
    <cfRule type="containsText" dxfId="1125" priority="754" operator="containsText" text="ds">
      <formula>NOT(ISERROR(SEARCH("ds",C35)))</formula>
    </cfRule>
    <cfRule type="containsText" dxfId="1124" priority="755" operator="containsText" text="subobs">
      <formula>NOT(ISERROR(SEARCH("subobs",C35)))</formula>
    </cfRule>
    <cfRule type="containsText" dxfId="1123" priority="756" operator="containsText" text="Call">
      <formula>NOT(ISERROR(SEARCH("Call",C35)))</formula>
    </cfRule>
    <cfRule type="containsText" dxfId="1121" priority="758" operator="containsText" text="9ab">
      <formula>NOT(ISERROR(SEARCH("9ab",C35)))</formula>
    </cfRule>
    <cfRule type="cellIs" dxfId="1120" priority="759" stopIfTrue="1" operator="equal">
      <formula>"leave"</formula>
    </cfRule>
    <cfRule type="containsText" dxfId="1119" priority="760" operator="containsText" text="ds">
      <formula>NOT(ISERROR(SEARCH("ds",C35)))</formula>
    </cfRule>
    <cfRule type="containsText" dxfId="1118" priority="761" operator="containsText" text="subobs">
      <formula>NOT(ISERROR(SEARCH("subobs",C35)))</formula>
    </cfRule>
    <cfRule type="containsText" dxfId="1117" priority="762" operator="containsText" text="Call">
      <formula>NOT(ISERROR(SEARCH("Call",C35)))</formula>
    </cfRule>
    <cfRule type="containsText" dxfId="1115" priority="766" operator="containsText" text="9ab">
      <formula>NOT(ISERROR(SEARCH("9ab",C35)))</formula>
    </cfRule>
    <cfRule type="cellIs" dxfId="1114" priority="767" stopIfTrue="1" operator="equal">
      <formula>"leave"</formula>
    </cfRule>
    <cfRule type="containsText" dxfId="1113" priority="768" operator="containsText" text="ds">
      <formula>NOT(ISERROR(SEARCH("ds",C35)))</formula>
    </cfRule>
    <cfRule type="containsText" dxfId="1112" priority="769" operator="containsText" text="subobs">
      <formula>NOT(ISERROR(SEARCH("subobs",C35)))</formula>
    </cfRule>
    <cfRule type="containsText" dxfId="1111" priority="770" operator="containsText" text="Call">
      <formula>NOT(ISERROR(SEARCH("Call",C35)))</formula>
    </cfRule>
    <cfRule type="containsText" dxfId="1109" priority="773" operator="containsText" text="9ab">
      <formula>NOT(ISERROR(SEARCH("9ab",C35)))</formula>
    </cfRule>
    <cfRule type="cellIs" dxfId="1108" priority="774" stopIfTrue="1" operator="equal">
      <formula>"leave"</formula>
    </cfRule>
    <cfRule type="containsText" dxfId="1107" priority="775" operator="containsText" text="ds">
      <formula>NOT(ISERROR(SEARCH("ds",C35)))</formula>
    </cfRule>
    <cfRule type="containsText" dxfId="1106" priority="776" operator="containsText" text="subobs">
      <formula>NOT(ISERROR(SEARCH("subobs",C35)))</formula>
    </cfRule>
    <cfRule type="containsText" dxfId="1105" priority="777" stopIfTrue="1" operator="containsText" text="(Call)">
      <formula>NOT(ISERROR(SEARCH("(Call)",C35)))</formula>
    </cfRule>
  </conditionalFormatting>
  <conditionalFormatting sqref="C34:D40 D35:H40">
    <cfRule type="containsText" dxfId="1103" priority="764" operator="containsText" text="b1">
      <formula>NOT(ISERROR(SEARCH("b1",C34)))</formula>
    </cfRule>
    <cfRule type="cellIs" dxfId="1102" priority="765" operator="equal">
      <formula>0</formula>
    </cfRule>
    <cfRule type="containsText" dxfId="1101" priority="772" stopIfTrue="1" operator="containsText" text="go">
      <formula>NOT(ISERROR(SEARCH("go",C34)))</formula>
    </cfRule>
    <cfRule type="cellIs" dxfId="1100" priority="779" operator="equal">
      <formula>"ps_cover"</formula>
    </cfRule>
    <cfRule type="containsText" dxfId="1099" priority="780" stopIfTrue="1" operator="containsText" text="9ab">
      <formula>NOT(ISERROR(SEARCH("9ab",C34)))</formula>
    </cfRule>
    <cfRule type="containsText" dxfId="1098" priority="781" stopIfTrue="1" operator="containsText" text="ds">
      <formula>NOT(ISERROR(SEARCH("ds",C34)))</formula>
    </cfRule>
    <cfRule type="containsText" dxfId="1097" priority="782" stopIfTrue="1" operator="containsText" text="subobs">
      <formula>NOT(ISERROR(SEARCH("subobs",C34)))</formula>
    </cfRule>
  </conditionalFormatting>
  <conditionalFormatting sqref="C34:H40">
    <cfRule type="containsText" dxfId="1096" priority="717" operator="containsText" text="(Call)">
      <formula>NOT(ISERROR(SEARCH("(Call)",C34)))</formula>
    </cfRule>
  </conditionalFormatting>
  <conditionalFormatting sqref="E34:H40">
    <cfRule type="containsText" dxfId="1095" priority="718" operator="containsText" text="b1">
      <formula>NOT(ISERROR(SEARCH("b1",E34)))</formula>
    </cfRule>
    <cfRule type="cellIs" dxfId="1094" priority="719" operator="equal">
      <formula>0</formula>
    </cfRule>
    <cfRule type="containsText" dxfId="1093" priority="720" stopIfTrue="1" operator="containsText" text="go">
      <formula>NOT(ISERROR(SEARCH("go",E34)))</formula>
    </cfRule>
    <cfRule type="cellIs" dxfId="1092" priority="721" operator="equal">
      <formula>"ps_cover"</formula>
    </cfRule>
    <cfRule type="containsText" dxfId="1091" priority="722" stopIfTrue="1" operator="containsText" text="9ab">
      <formula>NOT(ISERROR(SEARCH("9ab",E34)))</formula>
    </cfRule>
    <cfRule type="containsText" dxfId="1090" priority="723" stopIfTrue="1" operator="containsText" text="ds">
      <formula>NOT(ISERROR(SEARCH("ds",E34)))</formula>
    </cfRule>
    <cfRule type="containsText" dxfId="1089" priority="724" stopIfTrue="1" operator="containsText" text="subobs">
      <formula>NOT(ISERROR(SEARCH("subobs",E34)))</formula>
    </cfRule>
  </conditionalFormatting>
  <conditionalFormatting sqref="J18:J23">
    <cfRule type="containsText" dxfId="1088" priority="1369" operator="containsText" text="9ab">
      <formula>NOT(ISERROR(SEARCH("9ab",J18)))</formula>
    </cfRule>
    <cfRule type="cellIs" dxfId="1087" priority="1370" stopIfTrue="1" operator="equal">
      <formula>"leave"</formula>
    </cfRule>
    <cfRule type="containsText" dxfId="1086" priority="1371" operator="containsText" text="ds">
      <formula>NOT(ISERROR(SEARCH("ds",J18)))</formula>
    </cfRule>
    <cfRule type="containsText" dxfId="1085" priority="1372" operator="containsText" text="subobs">
      <formula>NOT(ISERROR(SEARCH("subobs",J18)))</formula>
    </cfRule>
    <cfRule type="containsText" dxfId="1084" priority="1373" operator="containsText" text="Call">
      <formula>NOT(ISERROR(SEARCH("Call",J18)))</formula>
    </cfRule>
    <cfRule type="containsText" dxfId="1082" priority="1395" operator="containsText" text="9ab">
      <formula>NOT(ISERROR(SEARCH("9ab",J18)))</formula>
    </cfRule>
    <cfRule type="cellIs" dxfId="1081" priority="1396" stopIfTrue="1" operator="equal">
      <formula>"leave"</formula>
    </cfRule>
    <cfRule type="containsText" dxfId="1080" priority="1397" operator="containsText" text="ds">
      <formula>NOT(ISERROR(SEARCH("ds",J18)))</formula>
    </cfRule>
    <cfRule type="containsText" dxfId="1079" priority="1398" operator="containsText" text="subobs">
      <formula>NOT(ISERROR(SEARCH("subobs",J18)))</formula>
    </cfRule>
    <cfRule type="containsText" dxfId="1078" priority="1399" operator="containsText" text="Call">
      <formula>NOT(ISERROR(SEARCH("Call",J18)))</formula>
    </cfRule>
  </conditionalFormatting>
  <conditionalFormatting sqref="J18:J24">
    <cfRule type="containsText" dxfId="1076" priority="1375" operator="containsText" text="9ab">
      <formula>NOT(ISERROR(SEARCH("9ab",J18)))</formula>
    </cfRule>
    <cfRule type="cellIs" dxfId="1075" priority="1376" stopIfTrue="1" operator="equal">
      <formula>"leave"</formula>
    </cfRule>
    <cfRule type="containsText" dxfId="1074" priority="1377" operator="containsText" text="ds">
      <formula>NOT(ISERROR(SEARCH("ds",J18)))</formula>
    </cfRule>
    <cfRule type="containsText" dxfId="1073" priority="1378" operator="containsText" text="subobs">
      <formula>NOT(ISERROR(SEARCH("subobs",J18)))</formula>
    </cfRule>
    <cfRule type="containsText" dxfId="1072" priority="1379" stopIfTrue="1" operator="containsText" text="(Call)">
      <formula>NOT(ISERROR(SEARCH("(Call)",J18)))</formula>
    </cfRule>
    <cfRule type="containsText" dxfId="1070" priority="1439" operator="containsText" text="9ab">
      <formula>NOT(ISERROR(SEARCH("9ab",J18)))</formula>
    </cfRule>
    <cfRule type="cellIs" dxfId="1069" priority="1440" stopIfTrue="1" operator="equal">
      <formula>"leave"</formula>
    </cfRule>
    <cfRule type="containsText" dxfId="1068" priority="1441" operator="containsText" text="ds">
      <formula>NOT(ISERROR(SEARCH("ds",J18)))</formula>
    </cfRule>
    <cfRule type="containsText" dxfId="1067" priority="1442" operator="containsText" text="subobs">
      <formula>NOT(ISERROR(SEARCH("subobs",J18)))</formula>
    </cfRule>
    <cfRule type="containsText" dxfId="1066" priority="1443" operator="containsText" text="Call">
      <formula>NOT(ISERROR(SEARCH("Call",J18)))</formula>
    </cfRule>
  </conditionalFormatting>
  <conditionalFormatting sqref="J26:J31">
    <cfRule type="containsText" dxfId="1064" priority="1115" operator="containsText" text="9ab">
      <formula>NOT(ISERROR(SEARCH("9ab",J26)))</formula>
    </cfRule>
    <cfRule type="cellIs" dxfId="1063" priority="1116" stopIfTrue="1" operator="equal">
      <formula>"leave"</formula>
    </cfRule>
    <cfRule type="containsText" dxfId="1062" priority="1117" operator="containsText" text="ds">
      <formula>NOT(ISERROR(SEARCH("ds",J26)))</formula>
    </cfRule>
    <cfRule type="containsText" dxfId="1061" priority="1118" operator="containsText" text="subobs">
      <formula>NOT(ISERROR(SEARCH("subobs",J26)))</formula>
    </cfRule>
    <cfRule type="containsText" dxfId="1060" priority="1119" operator="containsText" text="Call">
      <formula>NOT(ISERROR(SEARCH("Call",J26)))</formula>
    </cfRule>
    <cfRule type="containsText" dxfId="1058" priority="1139" operator="containsText" text="9ab">
      <formula>NOT(ISERROR(SEARCH("9ab",J26)))</formula>
    </cfRule>
    <cfRule type="cellIs" dxfId="1057" priority="1140" stopIfTrue="1" operator="equal">
      <formula>"leave"</formula>
    </cfRule>
    <cfRule type="containsText" dxfId="1056" priority="1141" operator="containsText" text="ds">
      <formula>NOT(ISERROR(SEARCH("ds",J26)))</formula>
    </cfRule>
    <cfRule type="containsText" dxfId="1055" priority="1142" operator="containsText" text="subobs">
      <formula>NOT(ISERROR(SEARCH("subobs",J26)))</formula>
    </cfRule>
    <cfRule type="containsText" dxfId="1054" priority="1143" operator="containsText" text="Call">
      <formula>NOT(ISERROR(SEARCH("Call",J26)))</formula>
    </cfRule>
  </conditionalFormatting>
  <conditionalFormatting sqref="J26:J33">
    <cfRule type="containsText" dxfId="1052" priority="1121" operator="containsText" text="9ab">
      <formula>NOT(ISERROR(SEARCH("9ab",J26)))</formula>
    </cfRule>
    <cfRule type="cellIs" dxfId="1051" priority="1122" stopIfTrue="1" operator="equal">
      <formula>"leave"</formula>
    </cfRule>
    <cfRule type="containsText" dxfId="1050" priority="1123" operator="containsText" text="ds">
      <formula>NOT(ISERROR(SEARCH("ds",J26)))</formula>
    </cfRule>
    <cfRule type="containsText" dxfId="1049" priority="1124" operator="containsText" text="subobs">
      <formula>NOT(ISERROR(SEARCH("subobs",J26)))</formula>
    </cfRule>
    <cfRule type="containsText" dxfId="1048" priority="1125" stopIfTrue="1" operator="containsText" text="(Call)">
      <formula>NOT(ISERROR(SEARCH("(Call)",J26)))</formula>
    </cfRule>
    <cfRule type="containsText" dxfId="1046" priority="1182" operator="containsText" text="9ab">
      <formula>NOT(ISERROR(SEARCH("9ab",J26)))</formula>
    </cfRule>
    <cfRule type="cellIs" dxfId="1045" priority="1183" stopIfTrue="1" operator="equal">
      <formula>"leave"</formula>
    </cfRule>
    <cfRule type="containsText" dxfId="1044" priority="1184" operator="containsText" text="ds">
      <formula>NOT(ISERROR(SEARCH("ds",J26)))</formula>
    </cfRule>
    <cfRule type="containsText" dxfId="1043" priority="1185" operator="containsText" text="subobs">
      <formula>NOT(ISERROR(SEARCH("subobs",J26)))</formula>
    </cfRule>
    <cfRule type="containsText" dxfId="1042" priority="1186" operator="containsText" text="Call">
      <formula>NOT(ISERROR(SEARCH("Call",J26)))</formula>
    </cfRule>
  </conditionalFormatting>
  <conditionalFormatting sqref="J35:J40">
    <cfRule type="containsText" dxfId="1040" priority="668" operator="containsText" text="9ab">
      <formula>NOT(ISERROR(SEARCH("9ab",J35)))</formula>
    </cfRule>
    <cfRule type="cellIs" dxfId="1039" priority="669" stopIfTrue="1" operator="equal">
      <formula>"leave"</formula>
    </cfRule>
    <cfRule type="containsText" dxfId="1038" priority="670" operator="containsText" text="ds">
      <formula>NOT(ISERROR(SEARCH("ds",J35)))</formula>
    </cfRule>
    <cfRule type="containsText" dxfId="1037" priority="671" operator="containsText" text="subobs">
      <formula>NOT(ISERROR(SEARCH("subobs",J35)))</formula>
    </cfRule>
    <cfRule type="containsText" dxfId="1036" priority="672" operator="containsText" text="Call">
      <formula>NOT(ISERROR(SEARCH("Call",J35)))</formula>
    </cfRule>
    <cfRule type="containsText" dxfId="1034" priority="674" operator="containsText" text="9ab">
      <formula>NOT(ISERROR(SEARCH("9ab",J35)))</formula>
    </cfRule>
    <cfRule type="cellIs" dxfId="1033" priority="675" stopIfTrue="1" operator="equal">
      <formula>"leave"</formula>
    </cfRule>
    <cfRule type="containsText" dxfId="1032" priority="676" operator="containsText" text="ds">
      <formula>NOT(ISERROR(SEARCH("ds",J35)))</formula>
    </cfRule>
    <cfRule type="containsText" dxfId="1031" priority="677" operator="containsText" text="subobs">
      <formula>NOT(ISERROR(SEARCH("subobs",J35)))</formula>
    </cfRule>
    <cfRule type="containsText" dxfId="1030" priority="678" stopIfTrue="1" operator="containsText" text="(Call)">
      <formula>NOT(ISERROR(SEARCH("(Call)",J35)))</formula>
    </cfRule>
    <cfRule type="containsText" dxfId="1028" priority="680" operator="containsText" text="9ab">
      <formula>NOT(ISERROR(SEARCH("9ab",J35)))</formula>
    </cfRule>
    <cfRule type="cellIs" dxfId="1027" priority="681" stopIfTrue="1" operator="equal">
      <formula>"leave"</formula>
    </cfRule>
    <cfRule type="containsText" dxfId="1026" priority="682" operator="containsText" text="ds">
      <formula>NOT(ISERROR(SEARCH("ds",J35)))</formula>
    </cfRule>
    <cfRule type="containsText" dxfId="1025" priority="683" operator="containsText" text="subobs">
      <formula>NOT(ISERROR(SEARCH("subobs",J35)))</formula>
    </cfRule>
    <cfRule type="containsText" dxfId="1024" priority="684" operator="containsText" text="Call">
      <formula>NOT(ISERROR(SEARCH("Call",J35)))</formula>
    </cfRule>
    <cfRule type="containsText" dxfId="1022" priority="686" operator="containsText" text="9ab">
      <formula>NOT(ISERROR(SEARCH("9ab",J35)))</formula>
    </cfRule>
    <cfRule type="cellIs" dxfId="1021" priority="687" stopIfTrue="1" operator="equal">
      <formula>"leave"</formula>
    </cfRule>
    <cfRule type="containsText" dxfId="1020" priority="688" operator="containsText" text="ds">
      <formula>NOT(ISERROR(SEARCH("ds",J35)))</formula>
    </cfRule>
    <cfRule type="containsText" dxfId="1019" priority="689" operator="containsText" text="subobs">
      <formula>NOT(ISERROR(SEARCH("subobs",J35)))</formula>
    </cfRule>
    <cfRule type="containsText" dxfId="1018" priority="690" operator="containsText" text="Call">
      <formula>NOT(ISERROR(SEARCH("Call",J35)))</formula>
    </cfRule>
    <cfRule type="containsText" dxfId="1016" priority="692" operator="containsText" text="9ab">
      <formula>NOT(ISERROR(SEARCH("9ab",J35)))</formula>
    </cfRule>
    <cfRule type="cellIs" dxfId="1015" priority="693" stopIfTrue="1" operator="equal">
      <formula>"leave"</formula>
    </cfRule>
    <cfRule type="containsText" dxfId="1014" priority="694" operator="containsText" text="ds">
      <formula>NOT(ISERROR(SEARCH("ds",J35)))</formula>
    </cfRule>
    <cfRule type="containsText" dxfId="1013" priority="695" operator="containsText" text="subobs">
      <formula>NOT(ISERROR(SEARCH("subobs",J35)))</formula>
    </cfRule>
    <cfRule type="containsText" dxfId="1012" priority="696" operator="containsText" text="Call">
      <formula>NOT(ISERROR(SEARCH("Call",J35)))</formula>
    </cfRule>
    <cfRule type="containsText" dxfId="1010" priority="700" operator="containsText" text="9ab">
      <formula>NOT(ISERROR(SEARCH("9ab",J35)))</formula>
    </cfRule>
    <cfRule type="cellIs" dxfId="1009" priority="701" stopIfTrue="1" operator="equal">
      <formula>"leave"</formula>
    </cfRule>
    <cfRule type="containsText" dxfId="1008" priority="702" operator="containsText" text="ds">
      <formula>NOT(ISERROR(SEARCH("ds",J35)))</formula>
    </cfRule>
    <cfRule type="containsText" dxfId="1007" priority="703" operator="containsText" text="subobs">
      <formula>NOT(ISERROR(SEARCH("subobs",J35)))</formula>
    </cfRule>
    <cfRule type="containsText" dxfId="1006" priority="704" operator="containsText" text="Call">
      <formula>NOT(ISERROR(SEARCH("Call",J35)))</formula>
    </cfRule>
    <cfRule type="containsText" dxfId="1004" priority="707" operator="containsText" text="9ab">
      <formula>NOT(ISERROR(SEARCH("9ab",J35)))</formula>
    </cfRule>
    <cfRule type="cellIs" dxfId="1003" priority="708" stopIfTrue="1" operator="equal">
      <formula>"leave"</formula>
    </cfRule>
    <cfRule type="containsText" dxfId="1002" priority="709" operator="containsText" text="ds">
      <formula>NOT(ISERROR(SEARCH("ds",J35)))</formula>
    </cfRule>
    <cfRule type="containsText" dxfId="1001" priority="710" operator="containsText" text="subobs">
      <formula>NOT(ISERROR(SEARCH("subobs",J35)))</formula>
    </cfRule>
    <cfRule type="containsText" dxfId="1000" priority="711" stopIfTrue="1" operator="containsText" text="(Call)">
      <formula>NOT(ISERROR(SEARCH("(Call)",J35)))</formula>
    </cfRule>
  </conditionalFormatting>
  <conditionalFormatting sqref="J34:K40">
    <cfRule type="containsText" dxfId="998" priority="698" operator="containsText" text="b1">
      <formula>NOT(ISERROR(SEARCH("b1",J34)))</formula>
    </cfRule>
    <cfRule type="cellIs" dxfId="997" priority="699" operator="equal">
      <formula>0</formula>
    </cfRule>
    <cfRule type="containsText" dxfId="996" priority="706" stopIfTrue="1" operator="containsText" text="go">
      <formula>NOT(ISERROR(SEARCH("go",J34)))</formula>
    </cfRule>
    <cfRule type="cellIs" dxfId="995" priority="713" operator="equal">
      <formula>"ps_cover"</formula>
    </cfRule>
    <cfRule type="containsText" dxfId="994" priority="714" stopIfTrue="1" operator="containsText" text="9ab">
      <formula>NOT(ISERROR(SEARCH("9ab",J34)))</formula>
    </cfRule>
    <cfRule type="containsText" dxfId="993" priority="715" stopIfTrue="1" operator="containsText" text="ds">
      <formula>NOT(ISERROR(SEARCH("ds",J34)))</formula>
    </cfRule>
    <cfRule type="containsText" dxfId="992" priority="716" stopIfTrue="1" operator="containsText" text="subobs">
      <formula>NOT(ISERROR(SEARCH("subobs",J34)))</formula>
    </cfRule>
  </conditionalFormatting>
  <conditionalFormatting sqref="J34:O40">
    <cfRule type="containsText" dxfId="991" priority="651" operator="containsText" text="(Call)">
      <formula>NOT(ISERROR(SEARCH("(Call)",J34)))</formula>
    </cfRule>
  </conditionalFormatting>
  <conditionalFormatting sqref="L34:O40">
    <cfRule type="containsText" dxfId="990" priority="652" operator="containsText" text="b1">
      <formula>NOT(ISERROR(SEARCH("b1",L34)))</formula>
    </cfRule>
    <cfRule type="cellIs" dxfId="989" priority="653" operator="equal">
      <formula>0</formula>
    </cfRule>
    <cfRule type="containsText" dxfId="988" priority="654" stopIfTrue="1" operator="containsText" text="go">
      <formula>NOT(ISERROR(SEARCH("go",L34)))</formula>
    </cfRule>
    <cfRule type="cellIs" dxfId="987" priority="655" operator="equal">
      <formula>"ps_cover"</formula>
    </cfRule>
    <cfRule type="containsText" dxfId="986" priority="656" stopIfTrue="1" operator="containsText" text="9ab">
      <formula>NOT(ISERROR(SEARCH("9ab",L34)))</formula>
    </cfRule>
    <cfRule type="containsText" dxfId="985" priority="657" stopIfTrue="1" operator="containsText" text="ds">
      <formula>NOT(ISERROR(SEARCH("ds",L34)))</formula>
    </cfRule>
    <cfRule type="containsText" dxfId="984" priority="658" stopIfTrue="1" operator="containsText" text="subobs">
      <formula>NOT(ISERROR(SEARCH("subobs",L34)))</formula>
    </cfRule>
  </conditionalFormatting>
  <conditionalFormatting sqref="Q18:Q23">
    <cfRule type="containsText" dxfId="983" priority="1345" operator="containsText" text="9ab">
      <formula>NOT(ISERROR(SEARCH("9ab",Q18)))</formula>
    </cfRule>
    <cfRule type="cellIs" dxfId="982" priority="1346" stopIfTrue="1" operator="equal">
      <formula>"leave"</formula>
    </cfRule>
    <cfRule type="containsText" dxfId="981" priority="1347" operator="containsText" text="ds">
      <formula>NOT(ISERROR(SEARCH("ds",Q18)))</formula>
    </cfRule>
    <cfRule type="containsText" dxfId="980" priority="1348" operator="containsText" text="subobs">
      <formula>NOT(ISERROR(SEARCH("subobs",Q18)))</formula>
    </cfRule>
    <cfRule type="containsText" dxfId="979" priority="1349" operator="containsText" text="Call">
      <formula>NOT(ISERROR(SEARCH("Call",Q18)))</formula>
    </cfRule>
    <cfRule type="containsText" dxfId="977" priority="1357" operator="containsText" text="9ab">
      <formula>NOT(ISERROR(SEARCH("9ab",Q18)))</formula>
    </cfRule>
    <cfRule type="cellIs" dxfId="976" priority="1358" stopIfTrue="1" operator="equal">
      <formula>"leave"</formula>
    </cfRule>
    <cfRule type="containsText" dxfId="975" priority="1359" operator="containsText" text="ds">
      <formula>NOT(ISERROR(SEARCH("ds",Q18)))</formula>
    </cfRule>
    <cfRule type="containsText" dxfId="974" priority="1360" operator="containsText" text="subobs">
      <formula>NOT(ISERROR(SEARCH("subobs",Q18)))</formula>
    </cfRule>
    <cfRule type="containsText" dxfId="973" priority="1361" operator="containsText" text="Call">
      <formula>NOT(ISERROR(SEARCH("Call",Q18)))</formula>
    </cfRule>
  </conditionalFormatting>
  <conditionalFormatting sqref="Q18:Q24">
    <cfRule type="containsText" dxfId="971" priority="1351" operator="containsText" text="9ab">
      <formula>NOT(ISERROR(SEARCH("9ab",Q18)))</formula>
    </cfRule>
    <cfRule type="cellIs" dxfId="970" priority="1352" stopIfTrue="1" operator="equal">
      <formula>"leave"</formula>
    </cfRule>
    <cfRule type="containsText" dxfId="969" priority="1353" operator="containsText" text="ds">
      <formula>NOT(ISERROR(SEARCH("ds",Q18)))</formula>
    </cfRule>
    <cfRule type="containsText" dxfId="968" priority="1354" operator="containsText" text="subobs">
      <formula>NOT(ISERROR(SEARCH("subobs",Q18)))</formula>
    </cfRule>
    <cfRule type="containsText" dxfId="967" priority="1355" stopIfTrue="1" operator="containsText" text="(Call)">
      <formula>NOT(ISERROR(SEARCH("(Call)",Q18)))</formula>
    </cfRule>
    <cfRule type="containsText" dxfId="965" priority="1363" operator="containsText" text="9ab">
      <formula>NOT(ISERROR(SEARCH("9ab",Q18)))</formula>
    </cfRule>
    <cfRule type="cellIs" dxfId="964" priority="1364" stopIfTrue="1" operator="equal">
      <formula>"leave"</formula>
    </cfRule>
    <cfRule type="containsText" dxfId="963" priority="1365" operator="containsText" text="ds">
      <formula>NOT(ISERROR(SEARCH("ds",Q18)))</formula>
    </cfRule>
    <cfRule type="containsText" dxfId="962" priority="1366" operator="containsText" text="subobs">
      <formula>NOT(ISERROR(SEARCH("subobs",Q18)))</formula>
    </cfRule>
    <cfRule type="containsText" dxfId="961" priority="1367" operator="containsText" text="Call">
      <formula>NOT(ISERROR(SEARCH("Call",Q18)))</formula>
    </cfRule>
    <cfRule type="containsText" dxfId="959" priority="1433" operator="containsText" text="9ab">
      <formula>NOT(ISERROR(SEARCH("9ab",Q18)))</formula>
    </cfRule>
    <cfRule type="cellIs" dxfId="958" priority="1434" stopIfTrue="1" operator="equal">
      <formula>"leave"</formula>
    </cfRule>
    <cfRule type="containsText" dxfId="957" priority="1435" operator="containsText" text="ds">
      <formula>NOT(ISERROR(SEARCH("ds",Q18)))</formula>
    </cfRule>
    <cfRule type="containsText" dxfId="956" priority="1436" operator="containsText" text="subobs">
      <formula>NOT(ISERROR(SEARCH("subobs",Q18)))</formula>
    </cfRule>
    <cfRule type="containsText" dxfId="955" priority="1437" operator="containsText" text="Call">
      <formula>NOT(ISERROR(SEARCH("Call",Q18)))</formula>
    </cfRule>
  </conditionalFormatting>
  <conditionalFormatting sqref="Q26:Q31">
    <cfRule type="containsText" dxfId="953" priority="1091" operator="containsText" text="9ab">
      <formula>NOT(ISERROR(SEARCH("9ab",Q26)))</formula>
    </cfRule>
    <cfRule type="cellIs" dxfId="952" priority="1092" stopIfTrue="1" operator="equal">
      <formula>"leave"</formula>
    </cfRule>
    <cfRule type="containsText" dxfId="951" priority="1093" operator="containsText" text="ds">
      <formula>NOT(ISERROR(SEARCH("ds",Q26)))</formula>
    </cfRule>
    <cfRule type="containsText" dxfId="950" priority="1094" operator="containsText" text="subobs">
      <formula>NOT(ISERROR(SEARCH("subobs",Q26)))</formula>
    </cfRule>
    <cfRule type="containsText" dxfId="949" priority="1095" operator="containsText" text="Call">
      <formula>NOT(ISERROR(SEARCH("Call",Q26)))</formula>
    </cfRule>
    <cfRule type="containsText" dxfId="947" priority="1103" operator="containsText" text="9ab">
      <formula>NOT(ISERROR(SEARCH("9ab",Q26)))</formula>
    </cfRule>
    <cfRule type="cellIs" dxfId="946" priority="1104" stopIfTrue="1" operator="equal">
      <formula>"leave"</formula>
    </cfRule>
    <cfRule type="containsText" dxfId="945" priority="1105" operator="containsText" text="ds">
      <formula>NOT(ISERROR(SEARCH("ds",Q26)))</formula>
    </cfRule>
    <cfRule type="containsText" dxfId="944" priority="1106" operator="containsText" text="subobs">
      <formula>NOT(ISERROR(SEARCH("subobs",Q26)))</formula>
    </cfRule>
    <cfRule type="containsText" dxfId="943" priority="1107" operator="containsText" text="Call">
      <formula>NOT(ISERROR(SEARCH("Call",Q26)))</formula>
    </cfRule>
  </conditionalFormatting>
  <conditionalFormatting sqref="Q26:Q33">
    <cfRule type="containsText" dxfId="941" priority="1097" operator="containsText" text="9ab">
      <formula>NOT(ISERROR(SEARCH("9ab",Q26)))</formula>
    </cfRule>
    <cfRule type="cellIs" dxfId="940" priority="1098" stopIfTrue="1" operator="equal">
      <formula>"leave"</formula>
    </cfRule>
    <cfRule type="containsText" dxfId="939" priority="1099" operator="containsText" text="ds">
      <formula>NOT(ISERROR(SEARCH("ds",Q26)))</formula>
    </cfRule>
    <cfRule type="containsText" dxfId="938" priority="1100" operator="containsText" text="subobs">
      <formula>NOT(ISERROR(SEARCH("subobs",Q26)))</formula>
    </cfRule>
    <cfRule type="containsText" dxfId="937" priority="1101" stopIfTrue="1" operator="containsText" text="(Call)">
      <formula>NOT(ISERROR(SEARCH("(Call)",Q26)))</formula>
    </cfRule>
    <cfRule type="containsText" dxfId="935" priority="1109" operator="containsText" text="9ab">
      <formula>NOT(ISERROR(SEARCH("9ab",Q26)))</formula>
    </cfRule>
    <cfRule type="cellIs" dxfId="934" priority="1110" stopIfTrue="1" operator="equal">
      <formula>"leave"</formula>
    </cfRule>
    <cfRule type="containsText" dxfId="933" priority="1111" operator="containsText" text="ds">
      <formula>NOT(ISERROR(SEARCH("ds",Q26)))</formula>
    </cfRule>
    <cfRule type="containsText" dxfId="932" priority="1112" operator="containsText" text="subobs">
      <formula>NOT(ISERROR(SEARCH("subobs",Q26)))</formula>
    </cfRule>
    <cfRule type="containsText" dxfId="931" priority="1113" operator="containsText" text="Call">
      <formula>NOT(ISERROR(SEARCH("Call",Q26)))</formula>
    </cfRule>
    <cfRule type="containsText" dxfId="929" priority="1176" operator="containsText" text="9ab">
      <formula>NOT(ISERROR(SEARCH("9ab",Q26)))</formula>
    </cfRule>
    <cfRule type="cellIs" dxfId="928" priority="1177" stopIfTrue="1" operator="equal">
      <formula>"leave"</formula>
    </cfRule>
    <cfRule type="containsText" dxfId="927" priority="1178" operator="containsText" text="ds">
      <formula>NOT(ISERROR(SEARCH("ds",Q26)))</formula>
    </cfRule>
    <cfRule type="containsText" dxfId="926" priority="1179" operator="containsText" text="subobs">
      <formula>NOT(ISERROR(SEARCH("subobs",Q26)))</formula>
    </cfRule>
    <cfRule type="containsText" dxfId="925" priority="1180" operator="containsText" text="Call">
      <formula>NOT(ISERROR(SEARCH("Call",Q26)))</formula>
    </cfRule>
  </conditionalFormatting>
  <conditionalFormatting sqref="Q35:Q40">
    <cfRule type="containsText" dxfId="923" priority="602" operator="containsText" text="9ab">
      <formula>NOT(ISERROR(SEARCH("9ab",Q35)))</formula>
    </cfRule>
    <cfRule type="cellIs" dxfId="922" priority="603" stopIfTrue="1" operator="equal">
      <formula>"leave"</formula>
    </cfRule>
    <cfRule type="containsText" dxfId="921" priority="604" operator="containsText" text="ds">
      <formula>NOT(ISERROR(SEARCH("ds",Q35)))</formula>
    </cfRule>
    <cfRule type="containsText" dxfId="920" priority="605" operator="containsText" text="subobs">
      <formula>NOT(ISERROR(SEARCH("subobs",Q35)))</formula>
    </cfRule>
    <cfRule type="containsText" dxfId="919" priority="606" operator="containsText" text="Call">
      <formula>NOT(ISERROR(SEARCH("Call",Q35)))</formula>
    </cfRule>
    <cfRule type="containsText" dxfId="917" priority="608" operator="containsText" text="9ab">
      <formula>NOT(ISERROR(SEARCH("9ab",Q35)))</formula>
    </cfRule>
    <cfRule type="cellIs" dxfId="916" priority="609" stopIfTrue="1" operator="equal">
      <formula>"leave"</formula>
    </cfRule>
    <cfRule type="containsText" dxfId="915" priority="610" operator="containsText" text="ds">
      <formula>NOT(ISERROR(SEARCH("ds",Q35)))</formula>
    </cfRule>
    <cfRule type="containsText" dxfId="914" priority="611" operator="containsText" text="subobs">
      <formula>NOT(ISERROR(SEARCH("subobs",Q35)))</formula>
    </cfRule>
    <cfRule type="containsText" dxfId="913" priority="612" stopIfTrue="1" operator="containsText" text="(Call)">
      <formula>NOT(ISERROR(SEARCH("(Call)",Q35)))</formula>
    </cfRule>
    <cfRule type="containsText" dxfId="911" priority="614" operator="containsText" text="9ab">
      <formula>NOT(ISERROR(SEARCH("9ab",Q35)))</formula>
    </cfRule>
    <cfRule type="cellIs" dxfId="910" priority="615" stopIfTrue="1" operator="equal">
      <formula>"leave"</formula>
    </cfRule>
    <cfRule type="containsText" dxfId="909" priority="616" operator="containsText" text="ds">
      <formula>NOT(ISERROR(SEARCH("ds",Q35)))</formula>
    </cfRule>
    <cfRule type="containsText" dxfId="908" priority="617" operator="containsText" text="subobs">
      <formula>NOT(ISERROR(SEARCH("subobs",Q35)))</formula>
    </cfRule>
    <cfRule type="containsText" dxfId="907" priority="618" operator="containsText" text="Call">
      <formula>NOT(ISERROR(SEARCH("Call",Q35)))</formula>
    </cfRule>
    <cfRule type="containsText" dxfId="905" priority="620" operator="containsText" text="9ab">
      <formula>NOT(ISERROR(SEARCH("9ab",Q35)))</formula>
    </cfRule>
    <cfRule type="cellIs" dxfId="904" priority="621" stopIfTrue="1" operator="equal">
      <formula>"leave"</formula>
    </cfRule>
    <cfRule type="containsText" dxfId="903" priority="622" operator="containsText" text="ds">
      <formula>NOT(ISERROR(SEARCH("ds",Q35)))</formula>
    </cfRule>
    <cfRule type="containsText" dxfId="902" priority="623" operator="containsText" text="subobs">
      <formula>NOT(ISERROR(SEARCH("subobs",Q35)))</formula>
    </cfRule>
    <cfRule type="containsText" dxfId="901" priority="624" operator="containsText" text="Call">
      <formula>NOT(ISERROR(SEARCH("Call",Q35)))</formula>
    </cfRule>
    <cfRule type="containsText" dxfId="899" priority="626" operator="containsText" text="9ab">
      <formula>NOT(ISERROR(SEARCH("9ab",Q35)))</formula>
    </cfRule>
    <cfRule type="cellIs" dxfId="898" priority="627" stopIfTrue="1" operator="equal">
      <formula>"leave"</formula>
    </cfRule>
    <cfRule type="containsText" dxfId="897" priority="628" operator="containsText" text="ds">
      <formula>NOT(ISERROR(SEARCH("ds",Q35)))</formula>
    </cfRule>
    <cfRule type="containsText" dxfId="896" priority="629" operator="containsText" text="subobs">
      <formula>NOT(ISERROR(SEARCH("subobs",Q35)))</formula>
    </cfRule>
    <cfRule type="containsText" dxfId="895" priority="630" operator="containsText" text="Call">
      <formula>NOT(ISERROR(SEARCH("Call",Q35)))</formula>
    </cfRule>
    <cfRule type="containsText" dxfId="893" priority="634" operator="containsText" text="9ab">
      <formula>NOT(ISERROR(SEARCH("9ab",Q35)))</formula>
    </cfRule>
    <cfRule type="cellIs" dxfId="892" priority="635" stopIfTrue="1" operator="equal">
      <formula>"leave"</formula>
    </cfRule>
    <cfRule type="containsText" dxfId="891" priority="636" operator="containsText" text="ds">
      <formula>NOT(ISERROR(SEARCH("ds",Q35)))</formula>
    </cfRule>
    <cfRule type="containsText" dxfId="890" priority="637" operator="containsText" text="subobs">
      <formula>NOT(ISERROR(SEARCH("subobs",Q35)))</formula>
    </cfRule>
    <cfRule type="containsText" dxfId="889" priority="638" operator="containsText" text="Call">
      <formula>NOT(ISERROR(SEARCH("Call",Q35)))</formula>
    </cfRule>
    <cfRule type="containsText" dxfId="887" priority="641" operator="containsText" text="9ab">
      <formula>NOT(ISERROR(SEARCH("9ab",Q35)))</formula>
    </cfRule>
    <cfRule type="cellIs" dxfId="886" priority="642" stopIfTrue="1" operator="equal">
      <formula>"leave"</formula>
    </cfRule>
    <cfRule type="containsText" dxfId="885" priority="643" operator="containsText" text="ds">
      <formula>NOT(ISERROR(SEARCH("ds",Q35)))</formula>
    </cfRule>
    <cfRule type="containsText" dxfId="884" priority="644" operator="containsText" text="subobs">
      <formula>NOT(ISERROR(SEARCH("subobs",Q35)))</formula>
    </cfRule>
    <cfRule type="containsText" dxfId="883" priority="645" stopIfTrue="1" operator="containsText" text="(Call)">
      <formula>NOT(ISERROR(SEARCH("(Call)",Q35)))</formula>
    </cfRule>
  </conditionalFormatting>
  <conditionalFormatting sqref="Q34:R40">
    <cfRule type="containsText" dxfId="881" priority="632" operator="containsText" text="b1">
      <formula>NOT(ISERROR(SEARCH("b1",Q34)))</formula>
    </cfRule>
    <cfRule type="cellIs" dxfId="880" priority="633" operator="equal">
      <formula>0</formula>
    </cfRule>
    <cfRule type="containsText" dxfId="879" priority="640" stopIfTrue="1" operator="containsText" text="go">
      <formula>NOT(ISERROR(SEARCH("go",Q34)))</formula>
    </cfRule>
    <cfRule type="cellIs" dxfId="878" priority="647" operator="equal">
      <formula>"ps_cover"</formula>
    </cfRule>
    <cfRule type="containsText" dxfId="877" priority="648" stopIfTrue="1" operator="containsText" text="9ab">
      <formula>NOT(ISERROR(SEARCH("9ab",Q34)))</formula>
    </cfRule>
    <cfRule type="containsText" dxfId="876" priority="649" stopIfTrue="1" operator="containsText" text="ds">
      <formula>NOT(ISERROR(SEARCH("ds",Q34)))</formula>
    </cfRule>
    <cfRule type="containsText" dxfId="875" priority="650" stopIfTrue="1" operator="containsText" text="subobs">
      <formula>NOT(ISERROR(SEARCH("subobs",Q34)))</formula>
    </cfRule>
  </conditionalFormatting>
  <conditionalFormatting sqref="Q34:V40">
    <cfRule type="containsText" dxfId="874" priority="585" operator="containsText" text="(Call)">
      <formula>NOT(ISERROR(SEARCH("(Call)",Q34)))</formula>
    </cfRule>
  </conditionalFormatting>
  <conditionalFormatting sqref="S34:V40">
    <cfRule type="containsText" dxfId="873" priority="586" operator="containsText" text="b1">
      <formula>NOT(ISERROR(SEARCH("b1",S34)))</formula>
    </cfRule>
    <cfRule type="cellIs" dxfId="872" priority="587" operator="equal">
      <formula>0</formula>
    </cfRule>
    <cfRule type="containsText" dxfId="871" priority="588" stopIfTrue="1" operator="containsText" text="go">
      <formula>NOT(ISERROR(SEARCH("go",S34)))</formula>
    </cfRule>
    <cfRule type="cellIs" dxfId="870" priority="589" operator="equal">
      <formula>"ps_cover"</formula>
    </cfRule>
    <cfRule type="containsText" dxfId="869" priority="590" stopIfTrue="1" operator="containsText" text="9ab">
      <formula>NOT(ISERROR(SEARCH("9ab",S34)))</formula>
    </cfRule>
    <cfRule type="containsText" dxfId="868" priority="591" stopIfTrue="1" operator="containsText" text="ds">
      <formula>NOT(ISERROR(SEARCH("ds",S34)))</formula>
    </cfRule>
    <cfRule type="containsText" dxfId="867" priority="592" stopIfTrue="1" operator="containsText" text="subobs">
      <formula>NOT(ISERROR(SEARCH("subobs",S34)))</formula>
    </cfRule>
  </conditionalFormatting>
  <conditionalFormatting sqref="X18:X23">
    <cfRule type="containsText" dxfId="866" priority="1321" operator="containsText" text="9ab">
      <formula>NOT(ISERROR(SEARCH("9ab",X18)))</formula>
    </cfRule>
    <cfRule type="cellIs" dxfId="865" priority="1322" stopIfTrue="1" operator="equal">
      <formula>"leave"</formula>
    </cfRule>
    <cfRule type="containsText" dxfId="864" priority="1323" operator="containsText" text="ds">
      <formula>NOT(ISERROR(SEARCH("ds",X18)))</formula>
    </cfRule>
    <cfRule type="containsText" dxfId="863" priority="1324" operator="containsText" text="subobs">
      <formula>NOT(ISERROR(SEARCH("subobs",X18)))</formula>
    </cfRule>
    <cfRule type="containsText" dxfId="862" priority="1325" operator="containsText" text="Call">
      <formula>NOT(ISERROR(SEARCH("Call",X18)))</formula>
    </cfRule>
    <cfRule type="containsText" dxfId="860" priority="1333" operator="containsText" text="9ab">
      <formula>NOT(ISERROR(SEARCH("9ab",X18)))</formula>
    </cfRule>
    <cfRule type="cellIs" dxfId="859" priority="1334" stopIfTrue="1" operator="equal">
      <formula>"leave"</formula>
    </cfRule>
    <cfRule type="containsText" dxfId="858" priority="1335" operator="containsText" text="ds">
      <formula>NOT(ISERROR(SEARCH("ds",X18)))</formula>
    </cfRule>
    <cfRule type="containsText" dxfId="857" priority="1336" operator="containsText" text="subobs">
      <formula>NOT(ISERROR(SEARCH("subobs",X18)))</formula>
    </cfRule>
    <cfRule type="containsText" dxfId="856" priority="1337" operator="containsText" text="Call">
      <formula>NOT(ISERROR(SEARCH("Call",X18)))</formula>
    </cfRule>
  </conditionalFormatting>
  <conditionalFormatting sqref="X18:X24">
    <cfRule type="containsText" dxfId="854" priority="1327" operator="containsText" text="9ab">
      <formula>NOT(ISERROR(SEARCH("9ab",X18)))</formula>
    </cfRule>
    <cfRule type="cellIs" dxfId="853" priority="1328" stopIfTrue="1" operator="equal">
      <formula>"leave"</formula>
    </cfRule>
    <cfRule type="containsText" dxfId="852" priority="1329" operator="containsText" text="ds">
      <formula>NOT(ISERROR(SEARCH("ds",X18)))</formula>
    </cfRule>
    <cfRule type="containsText" dxfId="851" priority="1330" operator="containsText" text="subobs">
      <formula>NOT(ISERROR(SEARCH("subobs",X18)))</formula>
    </cfRule>
    <cfRule type="containsText" dxfId="850" priority="1331" stopIfTrue="1" operator="containsText" text="(Call)">
      <formula>NOT(ISERROR(SEARCH("(Call)",X18)))</formula>
    </cfRule>
    <cfRule type="containsText" dxfId="848" priority="1339" operator="containsText" text="9ab">
      <formula>NOT(ISERROR(SEARCH("9ab",X18)))</formula>
    </cfRule>
    <cfRule type="cellIs" dxfId="847" priority="1340" stopIfTrue="1" operator="equal">
      <formula>"leave"</formula>
    </cfRule>
    <cfRule type="containsText" dxfId="846" priority="1341" operator="containsText" text="ds">
      <formula>NOT(ISERROR(SEARCH("ds",X18)))</formula>
    </cfRule>
    <cfRule type="containsText" dxfId="845" priority="1342" operator="containsText" text="subobs">
      <formula>NOT(ISERROR(SEARCH("subobs",X18)))</formula>
    </cfRule>
    <cfRule type="containsText" dxfId="844" priority="1343" operator="containsText" text="Call">
      <formula>NOT(ISERROR(SEARCH("Call",X18)))</formula>
    </cfRule>
    <cfRule type="containsText" dxfId="842" priority="1427" operator="containsText" text="9ab">
      <formula>NOT(ISERROR(SEARCH("9ab",X18)))</formula>
    </cfRule>
    <cfRule type="cellIs" dxfId="841" priority="1428" stopIfTrue="1" operator="equal">
      <formula>"leave"</formula>
    </cfRule>
    <cfRule type="containsText" dxfId="840" priority="1429" operator="containsText" text="ds">
      <formula>NOT(ISERROR(SEARCH("ds",X18)))</formula>
    </cfRule>
    <cfRule type="containsText" dxfId="839" priority="1430" operator="containsText" text="subobs">
      <formula>NOT(ISERROR(SEARCH("subobs",X18)))</formula>
    </cfRule>
    <cfRule type="containsText" dxfId="838" priority="1431" operator="containsText" text="Call">
      <formula>NOT(ISERROR(SEARCH("Call",X18)))</formula>
    </cfRule>
  </conditionalFormatting>
  <conditionalFormatting sqref="X26:X31">
    <cfRule type="containsText" dxfId="836" priority="1067" operator="containsText" text="9ab">
      <formula>NOT(ISERROR(SEARCH("9ab",X26)))</formula>
    </cfRule>
    <cfRule type="cellIs" dxfId="835" priority="1068" stopIfTrue="1" operator="equal">
      <formula>"leave"</formula>
    </cfRule>
    <cfRule type="containsText" dxfId="834" priority="1069" operator="containsText" text="ds">
      <formula>NOT(ISERROR(SEARCH("ds",X26)))</formula>
    </cfRule>
    <cfRule type="containsText" dxfId="833" priority="1070" operator="containsText" text="subobs">
      <formula>NOT(ISERROR(SEARCH("subobs",X26)))</formula>
    </cfRule>
    <cfRule type="containsText" dxfId="832" priority="1071" operator="containsText" text="Call">
      <formula>NOT(ISERROR(SEARCH("Call",X26)))</formula>
    </cfRule>
    <cfRule type="containsText" dxfId="830" priority="1079" operator="containsText" text="9ab">
      <formula>NOT(ISERROR(SEARCH("9ab",X26)))</formula>
    </cfRule>
    <cfRule type="cellIs" dxfId="829" priority="1080" stopIfTrue="1" operator="equal">
      <formula>"leave"</formula>
    </cfRule>
    <cfRule type="containsText" dxfId="828" priority="1081" operator="containsText" text="ds">
      <formula>NOT(ISERROR(SEARCH("ds",X26)))</formula>
    </cfRule>
    <cfRule type="containsText" dxfId="827" priority="1082" operator="containsText" text="subobs">
      <formula>NOT(ISERROR(SEARCH("subobs",X26)))</formula>
    </cfRule>
    <cfRule type="containsText" dxfId="826" priority="1083" operator="containsText" text="Call">
      <formula>NOT(ISERROR(SEARCH("Call",X26)))</formula>
    </cfRule>
  </conditionalFormatting>
  <conditionalFormatting sqref="X26:X33">
    <cfRule type="containsText" dxfId="824" priority="1073" operator="containsText" text="9ab">
      <formula>NOT(ISERROR(SEARCH("9ab",X26)))</formula>
    </cfRule>
    <cfRule type="cellIs" dxfId="823" priority="1074" stopIfTrue="1" operator="equal">
      <formula>"leave"</formula>
    </cfRule>
    <cfRule type="containsText" dxfId="822" priority="1075" operator="containsText" text="ds">
      <formula>NOT(ISERROR(SEARCH("ds",X26)))</formula>
    </cfRule>
    <cfRule type="containsText" dxfId="821" priority="1076" operator="containsText" text="subobs">
      <formula>NOT(ISERROR(SEARCH("subobs",X26)))</formula>
    </cfRule>
    <cfRule type="containsText" dxfId="820" priority="1077" stopIfTrue="1" operator="containsText" text="(Call)">
      <formula>NOT(ISERROR(SEARCH("(Call)",X26)))</formula>
    </cfRule>
    <cfRule type="containsText" dxfId="818" priority="1085" operator="containsText" text="9ab">
      <formula>NOT(ISERROR(SEARCH("9ab",X26)))</formula>
    </cfRule>
    <cfRule type="cellIs" dxfId="817" priority="1086" stopIfTrue="1" operator="equal">
      <formula>"leave"</formula>
    </cfRule>
    <cfRule type="containsText" dxfId="816" priority="1087" operator="containsText" text="ds">
      <formula>NOT(ISERROR(SEARCH("ds",X26)))</formula>
    </cfRule>
    <cfRule type="containsText" dxfId="815" priority="1088" operator="containsText" text="subobs">
      <formula>NOT(ISERROR(SEARCH("subobs",X26)))</formula>
    </cfRule>
    <cfRule type="containsText" dxfId="814" priority="1089" operator="containsText" text="Call">
      <formula>NOT(ISERROR(SEARCH("Call",X26)))</formula>
    </cfRule>
    <cfRule type="containsText" dxfId="812" priority="1170" operator="containsText" text="9ab">
      <formula>NOT(ISERROR(SEARCH("9ab",X26)))</formula>
    </cfRule>
    <cfRule type="cellIs" dxfId="811" priority="1171" stopIfTrue="1" operator="equal">
      <formula>"leave"</formula>
    </cfRule>
    <cfRule type="containsText" dxfId="810" priority="1172" operator="containsText" text="ds">
      <formula>NOT(ISERROR(SEARCH("ds",X26)))</formula>
    </cfRule>
    <cfRule type="containsText" dxfId="809" priority="1173" operator="containsText" text="subobs">
      <formula>NOT(ISERROR(SEARCH("subobs",X26)))</formula>
    </cfRule>
    <cfRule type="containsText" dxfId="808" priority="1174" operator="containsText" text="Call">
      <formula>NOT(ISERROR(SEARCH("Call",X26)))</formula>
    </cfRule>
  </conditionalFormatting>
  <conditionalFormatting sqref="X35:X40">
    <cfRule type="containsText" dxfId="806" priority="536" operator="containsText" text="9ab">
      <formula>NOT(ISERROR(SEARCH("9ab",X35)))</formula>
    </cfRule>
    <cfRule type="cellIs" dxfId="805" priority="537" stopIfTrue="1" operator="equal">
      <formula>"leave"</formula>
    </cfRule>
    <cfRule type="containsText" dxfId="804" priority="538" operator="containsText" text="ds">
      <formula>NOT(ISERROR(SEARCH("ds",X35)))</formula>
    </cfRule>
    <cfRule type="containsText" dxfId="803" priority="539" operator="containsText" text="subobs">
      <formula>NOT(ISERROR(SEARCH("subobs",X35)))</formula>
    </cfRule>
    <cfRule type="containsText" dxfId="802" priority="540" operator="containsText" text="Call">
      <formula>NOT(ISERROR(SEARCH("Call",X35)))</formula>
    </cfRule>
    <cfRule type="containsText" dxfId="800" priority="542" operator="containsText" text="9ab">
      <formula>NOT(ISERROR(SEARCH("9ab",X35)))</formula>
    </cfRule>
    <cfRule type="cellIs" dxfId="799" priority="543" stopIfTrue="1" operator="equal">
      <formula>"leave"</formula>
    </cfRule>
    <cfRule type="containsText" dxfId="798" priority="544" operator="containsText" text="ds">
      <formula>NOT(ISERROR(SEARCH("ds",X35)))</formula>
    </cfRule>
    <cfRule type="containsText" dxfId="797" priority="545" operator="containsText" text="subobs">
      <formula>NOT(ISERROR(SEARCH("subobs",X35)))</formula>
    </cfRule>
    <cfRule type="containsText" dxfId="796" priority="546" stopIfTrue="1" operator="containsText" text="(Call)">
      <formula>NOT(ISERROR(SEARCH("(Call)",X35)))</formula>
    </cfRule>
    <cfRule type="containsText" dxfId="794" priority="548" operator="containsText" text="9ab">
      <formula>NOT(ISERROR(SEARCH("9ab",X35)))</formula>
    </cfRule>
    <cfRule type="cellIs" dxfId="793" priority="549" stopIfTrue="1" operator="equal">
      <formula>"leave"</formula>
    </cfRule>
    <cfRule type="containsText" dxfId="792" priority="550" operator="containsText" text="ds">
      <formula>NOT(ISERROR(SEARCH("ds",X35)))</formula>
    </cfRule>
    <cfRule type="containsText" dxfId="791" priority="551" operator="containsText" text="subobs">
      <formula>NOT(ISERROR(SEARCH("subobs",X35)))</formula>
    </cfRule>
    <cfRule type="containsText" dxfId="790" priority="552" operator="containsText" text="Call">
      <formula>NOT(ISERROR(SEARCH("Call",X35)))</formula>
    </cfRule>
    <cfRule type="containsText" dxfId="788" priority="554" operator="containsText" text="9ab">
      <formula>NOT(ISERROR(SEARCH("9ab",X35)))</formula>
    </cfRule>
    <cfRule type="cellIs" dxfId="787" priority="555" stopIfTrue="1" operator="equal">
      <formula>"leave"</formula>
    </cfRule>
    <cfRule type="containsText" dxfId="786" priority="556" operator="containsText" text="ds">
      <formula>NOT(ISERROR(SEARCH("ds",X35)))</formula>
    </cfRule>
    <cfRule type="containsText" dxfId="785" priority="557" operator="containsText" text="subobs">
      <formula>NOT(ISERROR(SEARCH("subobs",X35)))</formula>
    </cfRule>
    <cfRule type="containsText" dxfId="784" priority="558" operator="containsText" text="Call">
      <formula>NOT(ISERROR(SEARCH("Call",X35)))</formula>
    </cfRule>
    <cfRule type="containsText" dxfId="782" priority="560" operator="containsText" text="9ab">
      <formula>NOT(ISERROR(SEARCH("9ab",X35)))</formula>
    </cfRule>
    <cfRule type="cellIs" dxfId="781" priority="561" stopIfTrue="1" operator="equal">
      <formula>"leave"</formula>
    </cfRule>
    <cfRule type="containsText" dxfId="780" priority="562" operator="containsText" text="ds">
      <formula>NOT(ISERROR(SEARCH("ds",X35)))</formula>
    </cfRule>
    <cfRule type="containsText" dxfId="779" priority="563" operator="containsText" text="subobs">
      <formula>NOT(ISERROR(SEARCH("subobs",X35)))</formula>
    </cfRule>
    <cfRule type="containsText" dxfId="778" priority="564" operator="containsText" text="Call">
      <formula>NOT(ISERROR(SEARCH("Call",X35)))</formula>
    </cfRule>
    <cfRule type="containsText" dxfId="776" priority="568" operator="containsText" text="9ab">
      <formula>NOT(ISERROR(SEARCH("9ab",X35)))</formula>
    </cfRule>
    <cfRule type="cellIs" dxfId="775" priority="569" stopIfTrue="1" operator="equal">
      <formula>"leave"</formula>
    </cfRule>
    <cfRule type="containsText" dxfId="774" priority="570" operator="containsText" text="ds">
      <formula>NOT(ISERROR(SEARCH("ds",X35)))</formula>
    </cfRule>
    <cfRule type="containsText" dxfId="773" priority="571" operator="containsText" text="subobs">
      <formula>NOT(ISERROR(SEARCH("subobs",X35)))</formula>
    </cfRule>
    <cfRule type="containsText" dxfId="772" priority="572" operator="containsText" text="Call">
      <formula>NOT(ISERROR(SEARCH("Call",X35)))</formula>
    </cfRule>
    <cfRule type="containsText" dxfId="770" priority="575" operator="containsText" text="9ab">
      <formula>NOT(ISERROR(SEARCH("9ab",X35)))</formula>
    </cfRule>
    <cfRule type="cellIs" dxfId="769" priority="576" stopIfTrue="1" operator="equal">
      <formula>"leave"</formula>
    </cfRule>
    <cfRule type="containsText" dxfId="768" priority="577" operator="containsText" text="ds">
      <formula>NOT(ISERROR(SEARCH("ds",X35)))</formula>
    </cfRule>
    <cfRule type="containsText" dxfId="767" priority="578" operator="containsText" text="subobs">
      <formula>NOT(ISERROR(SEARCH("subobs",X35)))</formula>
    </cfRule>
    <cfRule type="containsText" dxfId="766" priority="579" stopIfTrue="1" operator="containsText" text="(Call)">
      <formula>NOT(ISERROR(SEARCH("(Call)",X35)))</formula>
    </cfRule>
  </conditionalFormatting>
  <conditionalFormatting sqref="X34:Y40">
    <cfRule type="containsText" dxfId="764" priority="566" operator="containsText" text="b1">
      <formula>NOT(ISERROR(SEARCH("b1",X34)))</formula>
    </cfRule>
    <cfRule type="cellIs" dxfId="763" priority="567" operator="equal">
      <formula>0</formula>
    </cfRule>
    <cfRule type="containsText" dxfId="762" priority="574" stopIfTrue="1" operator="containsText" text="go">
      <formula>NOT(ISERROR(SEARCH("go",X34)))</formula>
    </cfRule>
    <cfRule type="cellIs" dxfId="761" priority="581" operator="equal">
      <formula>"ps_cover"</formula>
    </cfRule>
    <cfRule type="containsText" dxfId="760" priority="582" stopIfTrue="1" operator="containsText" text="9ab">
      <formula>NOT(ISERROR(SEARCH("9ab",X34)))</formula>
    </cfRule>
    <cfRule type="containsText" dxfId="759" priority="583" stopIfTrue="1" operator="containsText" text="ds">
      <formula>NOT(ISERROR(SEARCH("ds",X34)))</formula>
    </cfRule>
    <cfRule type="containsText" dxfId="758" priority="584" stopIfTrue="1" operator="containsText" text="subobs">
      <formula>NOT(ISERROR(SEARCH("subobs",X34)))</formula>
    </cfRule>
  </conditionalFormatting>
  <conditionalFormatting sqref="X34:AC40">
    <cfRule type="containsText" dxfId="757" priority="519" operator="containsText" text="(Call)">
      <formula>NOT(ISERROR(SEARCH("(Call)",X34)))</formula>
    </cfRule>
  </conditionalFormatting>
  <conditionalFormatting sqref="Z34:AC40">
    <cfRule type="containsText" dxfId="756" priority="520" operator="containsText" text="b1">
      <formula>NOT(ISERROR(SEARCH("b1",Z34)))</formula>
    </cfRule>
    <cfRule type="cellIs" dxfId="755" priority="521" operator="equal">
      <formula>0</formula>
    </cfRule>
    <cfRule type="containsText" dxfId="754" priority="522" stopIfTrue="1" operator="containsText" text="go">
      <formula>NOT(ISERROR(SEARCH("go",Z34)))</formula>
    </cfRule>
    <cfRule type="cellIs" dxfId="753" priority="523" operator="equal">
      <formula>"ps_cover"</formula>
    </cfRule>
    <cfRule type="containsText" dxfId="752" priority="524" stopIfTrue="1" operator="containsText" text="9ab">
      <formula>NOT(ISERROR(SEARCH("9ab",Z34)))</formula>
    </cfRule>
    <cfRule type="containsText" dxfId="751" priority="525" stopIfTrue="1" operator="containsText" text="ds">
      <formula>NOT(ISERROR(SEARCH("ds",Z34)))</formula>
    </cfRule>
    <cfRule type="containsText" dxfId="750" priority="526" stopIfTrue="1" operator="containsText" text="subobs">
      <formula>NOT(ISERROR(SEARCH("subobs",Z34)))</formula>
    </cfRule>
  </conditionalFormatting>
  <conditionalFormatting sqref="AD18:AJ24">
    <cfRule type="cellIs" dxfId="749" priority="1314" operator="equal">
      <formula>0</formula>
    </cfRule>
  </conditionalFormatting>
  <conditionalFormatting sqref="AD26:AJ33">
    <cfRule type="cellIs" dxfId="748" priority="1060" operator="equal">
      <formula>0</formula>
    </cfRule>
  </conditionalFormatting>
  <conditionalFormatting sqref="AE18:AE23">
    <cfRule type="containsText" dxfId="747" priority="1296" operator="containsText" text="9ab">
      <formula>NOT(ISERROR(SEARCH("9ab",AE18)))</formula>
    </cfRule>
    <cfRule type="cellIs" dxfId="746" priority="1297" stopIfTrue="1" operator="equal">
      <formula>"leave"</formula>
    </cfRule>
    <cfRule type="containsText" dxfId="745" priority="1298" operator="containsText" text="ds">
      <formula>NOT(ISERROR(SEARCH("ds",AE18)))</formula>
    </cfRule>
    <cfRule type="containsText" dxfId="744" priority="1299" operator="containsText" text="subobs">
      <formula>NOT(ISERROR(SEARCH("subobs",AE18)))</formula>
    </cfRule>
    <cfRule type="containsText" dxfId="743" priority="1300" operator="containsText" text="Call">
      <formula>NOT(ISERROR(SEARCH("Call",AE18)))</formula>
    </cfRule>
    <cfRule type="containsText" dxfId="741" priority="1308" operator="containsText" text="9ab">
      <formula>NOT(ISERROR(SEARCH("9ab",AE18)))</formula>
    </cfRule>
    <cfRule type="cellIs" dxfId="740" priority="1309" stopIfTrue="1" operator="equal">
      <formula>"leave"</formula>
    </cfRule>
    <cfRule type="containsText" dxfId="739" priority="1310" operator="containsText" text="ds">
      <formula>NOT(ISERROR(SEARCH("ds",AE18)))</formula>
    </cfRule>
    <cfRule type="containsText" dxfId="738" priority="1311" operator="containsText" text="subobs">
      <formula>NOT(ISERROR(SEARCH("subobs",AE18)))</formula>
    </cfRule>
    <cfRule type="containsText" dxfId="737" priority="1312" operator="containsText" text="Call">
      <formula>NOT(ISERROR(SEARCH("Call",AE18)))</formula>
    </cfRule>
  </conditionalFormatting>
  <conditionalFormatting sqref="AE18:AE24">
    <cfRule type="containsText" dxfId="735" priority="1302" operator="containsText" text="9ab">
      <formula>NOT(ISERROR(SEARCH("9ab",AE18)))</formula>
    </cfRule>
    <cfRule type="cellIs" dxfId="734" priority="1303" stopIfTrue="1" operator="equal">
      <formula>"leave"</formula>
    </cfRule>
    <cfRule type="containsText" dxfId="733" priority="1304" operator="containsText" text="ds">
      <formula>NOT(ISERROR(SEARCH("ds",AE18)))</formula>
    </cfRule>
    <cfRule type="containsText" dxfId="732" priority="1305" operator="containsText" text="subobs">
      <formula>NOT(ISERROR(SEARCH("subobs",AE18)))</formula>
    </cfRule>
    <cfRule type="containsText" dxfId="731" priority="1306" stopIfTrue="1" operator="containsText" text="(Call)">
      <formula>NOT(ISERROR(SEARCH("(Call)",AE18)))</formula>
    </cfRule>
    <cfRule type="containsText" dxfId="729" priority="1315" operator="containsText" text="9ab">
      <formula>NOT(ISERROR(SEARCH("9ab",AE18)))</formula>
    </cfRule>
    <cfRule type="cellIs" dxfId="728" priority="1316" stopIfTrue="1" operator="equal">
      <formula>"leave"</formula>
    </cfRule>
    <cfRule type="containsText" dxfId="727" priority="1317" operator="containsText" text="ds">
      <formula>NOT(ISERROR(SEARCH("ds",AE18)))</formula>
    </cfRule>
    <cfRule type="containsText" dxfId="726" priority="1318" operator="containsText" text="subobs">
      <formula>NOT(ISERROR(SEARCH("subobs",AE18)))</formula>
    </cfRule>
    <cfRule type="containsText" dxfId="725" priority="1319" operator="containsText" text="Call">
      <formula>NOT(ISERROR(SEARCH("Call",AE18)))</formula>
    </cfRule>
  </conditionalFormatting>
  <conditionalFormatting sqref="AE26:AE31">
    <cfRule type="containsText" dxfId="723" priority="1042" operator="containsText" text="9ab">
      <formula>NOT(ISERROR(SEARCH("9ab",AE26)))</formula>
    </cfRule>
    <cfRule type="cellIs" dxfId="722" priority="1043" stopIfTrue="1" operator="equal">
      <formula>"leave"</formula>
    </cfRule>
    <cfRule type="containsText" dxfId="721" priority="1044" operator="containsText" text="ds">
      <formula>NOT(ISERROR(SEARCH("ds",AE26)))</formula>
    </cfRule>
    <cfRule type="containsText" dxfId="720" priority="1045" operator="containsText" text="subobs">
      <formula>NOT(ISERROR(SEARCH("subobs",AE26)))</formula>
    </cfRule>
    <cfRule type="containsText" dxfId="719" priority="1046" operator="containsText" text="Call">
      <formula>NOT(ISERROR(SEARCH("Call",AE26)))</formula>
    </cfRule>
    <cfRule type="containsText" dxfId="717" priority="1054" operator="containsText" text="9ab">
      <formula>NOT(ISERROR(SEARCH("9ab",AE26)))</formula>
    </cfRule>
    <cfRule type="cellIs" dxfId="716" priority="1055" stopIfTrue="1" operator="equal">
      <formula>"leave"</formula>
    </cfRule>
    <cfRule type="containsText" dxfId="715" priority="1056" operator="containsText" text="ds">
      <formula>NOT(ISERROR(SEARCH("ds",AE26)))</formula>
    </cfRule>
    <cfRule type="containsText" dxfId="714" priority="1057" operator="containsText" text="subobs">
      <formula>NOT(ISERROR(SEARCH("subobs",AE26)))</formula>
    </cfRule>
    <cfRule type="containsText" dxfId="713" priority="1058" operator="containsText" text="Call">
      <formula>NOT(ISERROR(SEARCH("Call",AE26)))</formula>
    </cfRule>
  </conditionalFormatting>
  <conditionalFormatting sqref="AE26:AE33">
    <cfRule type="containsText" dxfId="711" priority="1048" operator="containsText" text="9ab">
      <formula>NOT(ISERROR(SEARCH("9ab",AE26)))</formula>
    </cfRule>
    <cfRule type="cellIs" dxfId="710" priority="1049" stopIfTrue="1" operator="equal">
      <formula>"leave"</formula>
    </cfRule>
    <cfRule type="containsText" dxfId="709" priority="1050" operator="containsText" text="ds">
      <formula>NOT(ISERROR(SEARCH("ds",AE26)))</formula>
    </cfRule>
    <cfRule type="containsText" dxfId="708" priority="1051" operator="containsText" text="subobs">
      <formula>NOT(ISERROR(SEARCH("subobs",AE26)))</formula>
    </cfRule>
    <cfRule type="containsText" dxfId="707" priority="1052" stopIfTrue="1" operator="containsText" text="(Call)">
      <formula>NOT(ISERROR(SEARCH("(Call)",AE26)))</formula>
    </cfRule>
    <cfRule type="containsText" dxfId="705" priority="1061" operator="containsText" text="9ab">
      <formula>NOT(ISERROR(SEARCH("9ab",AE26)))</formula>
    </cfRule>
    <cfRule type="cellIs" dxfId="704" priority="1062" stopIfTrue="1" operator="equal">
      <formula>"leave"</formula>
    </cfRule>
    <cfRule type="containsText" dxfId="703" priority="1063" operator="containsText" text="ds">
      <formula>NOT(ISERROR(SEARCH("ds",AE26)))</formula>
    </cfRule>
    <cfRule type="containsText" dxfId="702" priority="1064" operator="containsText" text="subobs">
      <formula>NOT(ISERROR(SEARCH("subobs",AE26)))</formula>
    </cfRule>
    <cfRule type="containsText" dxfId="701" priority="1065" operator="containsText" text="Call">
      <formula>NOT(ISERROR(SEARCH("Call",AE26)))</formula>
    </cfRule>
  </conditionalFormatting>
  <conditionalFormatting sqref="AE35:AE40">
    <cfRule type="containsText" dxfId="699" priority="470" operator="containsText" text="9ab">
      <formula>NOT(ISERROR(SEARCH("9ab",AE35)))</formula>
    </cfRule>
    <cfRule type="cellIs" dxfId="698" priority="471" stopIfTrue="1" operator="equal">
      <formula>"leave"</formula>
    </cfRule>
    <cfRule type="containsText" dxfId="697" priority="472" operator="containsText" text="ds">
      <formula>NOT(ISERROR(SEARCH("ds",AE35)))</formula>
    </cfRule>
    <cfRule type="containsText" dxfId="696" priority="473" operator="containsText" text="subobs">
      <formula>NOT(ISERROR(SEARCH("subobs",AE35)))</formula>
    </cfRule>
    <cfRule type="containsText" dxfId="695" priority="474" operator="containsText" text="Call">
      <formula>NOT(ISERROR(SEARCH("Call",AE35)))</formula>
    </cfRule>
    <cfRule type="containsText" dxfId="693" priority="476" operator="containsText" text="9ab">
      <formula>NOT(ISERROR(SEARCH("9ab",AE35)))</formula>
    </cfRule>
    <cfRule type="cellIs" dxfId="692" priority="477" stopIfTrue="1" operator="equal">
      <formula>"leave"</formula>
    </cfRule>
    <cfRule type="containsText" dxfId="691" priority="478" operator="containsText" text="ds">
      <formula>NOT(ISERROR(SEARCH("ds",AE35)))</formula>
    </cfRule>
    <cfRule type="containsText" dxfId="690" priority="479" operator="containsText" text="subobs">
      <formula>NOT(ISERROR(SEARCH("subobs",AE35)))</formula>
    </cfRule>
    <cfRule type="containsText" dxfId="689" priority="480" stopIfTrue="1" operator="containsText" text="(Call)">
      <formula>NOT(ISERROR(SEARCH("(Call)",AE35)))</formula>
    </cfRule>
    <cfRule type="containsText" dxfId="687" priority="482" operator="containsText" text="9ab">
      <formula>NOT(ISERROR(SEARCH("9ab",AE35)))</formula>
    </cfRule>
    <cfRule type="cellIs" dxfId="686" priority="483" stopIfTrue="1" operator="equal">
      <formula>"leave"</formula>
    </cfRule>
    <cfRule type="containsText" dxfId="685" priority="484" operator="containsText" text="ds">
      <formula>NOT(ISERROR(SEARCH("ds",AE35)))</formula>
    </cfRule>
    <cfRule type="containsText" dxfId="684" priority="485" operator="containsText" text="subobs">
      <formula>NOT(ISERROR(SEARCH("subobs",AE35)))</formula>
    </cfRule>
    <cfRule type="containsText" dxfId="683" priority="486" operator="containsText" text="Call">
      <formula>NOT(ISERROR(SEARCH("Call",AE35)))</formula>
    </cfRule>
    <cfRule type="containsText" dxfId="681" priority="488" operator="containsText" text="9ab">
      <formula>NOT(ISERROR(SEARCH("9ab",AE35)))</formula>
    </cfRule>
    <cfRule type="cellIs" dxfId="680" priority="489" stopIfTrue="1" operator="equal">
      <formula>"leave"</formula>
    </cfRule>
    <cfRule type="containsText" dxfId="679" priority="490" operator="containsText" text="ds">
      <formula>NOT(ISERROR(SEARCH("ds",AE35)))</formula>
    </cfRule>
    <cfRule type="containsText" dxfId="678" priority="491" operator="containsText" text="subobs">
      <formula>NOT(ISERROR(SEARCH("subobs",AE35)))</formula>
    </cfRule>
    <cfRule type="containsText" dxfId="677" priority="492" operator="containsText" text="Call">
      <formula>NOT(ISERROR(SEARCH("Call",AE35)))</formula>
    </cfRule>
    <cfRule type="containsText" dxfId="675" priority="494" operator="containsText" text="9ab">
      <formula>NOT(ISERROR(SEARCH("9ab",AE35)))</formula>
    </cfRule>
    <cfRule type="cellIs" dxfId="674" priority="495" stopIfTrue="1" operator="equal">
      <formula>"leave"</formula>
    </cfRule>
    <cfRule type="containsText" dxfId="673" priority="496" operator="containsText" text="ds">
      <formula>NOT(ISERROR(SEARCH("ds",AE35)))</formula>
    </cfRule>
    <cfRule type="containsText" dxfId="672" priority="497" operator="containsText" text="subobs">
      <formula>NOT(ISERROR(SEARCH("subobs",AE35)))</formula>
    </cfRule>
    <cfRule type="containsText" dxfId="671" priority="498" operator="containsText" text="Call">
      <formula>NOT(ISERROR(SEARCH("Call",AE35)))</formula>
    </cfRule>
    <cfRule type="containsText" dxfId="669" priority="502" operator="containsText" text="9ab">
      <formula>NOT(ISERROR(SEARCH("9ab",AE35)))</formula>
    </cfRule>
    <cfRule type="cellIs" dxfId="668" priority="503" stopIfTrue="1" operator="equal">
      <formula>"leave"</formula>
    </cfRule>
    <cfRule type="containsText" dxfId="667" priority="504" operator="containsText" text="ds">
      <formula>NOT(ISERROR(SEARCH("ds",AE35)))</formula>
    </cfRule>
    <cfRule type="containsText" dxfId="666" priority="505" operator="containsText" text="subobs">
      <formula>NOT(ISERROR(SEARCH("subobs",AE35)))</formula>
    </cfRule>
    <cfRule type="containsText" dxfId="665" priority="506" operator="containsText" text="Call">
      <formula>NOT(ISERROR(SEARCH("Call",AE35)))</formula>
    </cfRule>
    <cfRule type="containsText" dxfId="663" priority="509" operator="containsText" text="9ab">
      <formula>NOT(ISERROR(SEARCH("9ab",AE35)))</formula>
    </cfRule>
    <cfRule type="cellIs" dxfId="662" priority="510" stopIfTrue="1" operator="equal">
      <formula>"leave"</formula>
    </cfRule>
    <cfRule type="containsText" dxfId="661" priority="511" operator="containsText" text="ds">
      <formula>NOT(ISERROR(SEARCH("ds",AE35)))</formula>
    </cfRule>
    <cfRule type="containsText" dxfId="660" priority="512" operator="containsText" text="subobs">
      <formula>NOT(ISERROR(SEARCH("subobs",AE35)))</formula>
    </cfRule>
    <cfRule type="containsText" dxfId="659" priority="513" stopIfTrue="1" operator="containsText" text="(Call)">
      <formula>NOT(ISERROR(SEARCH("(Call)",AE35)))</formula>
    </cfRule>
  </conditionalFormatting>
  <conditionalFormatting sqref="AE34:AF40">
    <cfRule type="containsText" dxfId="657" priority="500" operator="containsText" text="b1">
      <formula>NOT(ISERROR(SEARCH("b1",AE34)))</formula>
    </cfRule>
    <cfRule type="cellIs" dxfId="656" priority="501" operator="equal">
      <formula>0</formula>
    </cfRule>
    <cfRule type="containsText" dxfId="655" priority="508" stopIfTrue="1" operator="containsText" text="go">
      <formula>NOT(ISERROR(SEARCH("go",AE34)))</formula>
    </cfRule>
    <cfRule type="cellIs" dxfId="654" priority="515" operator="equal">
      <formula>"ps_cover"</formula>
    </cfRule>
    <cfRule type="containsText" dxfId="653" priority="516" stopIfTrue="1" operator="containsText" text="9ab">
      <formula>NOT(ISERROR(SEARCH("9ab",AE34)))</formula>
    </cfRule>
    <cfRule type="containsText" dxfId="652" priority="517" stopIfTrue="1" operator="containsText" text="ds">
      <formula>NOT(ISERROR(SEARCH("ds",AE34)))</formula>
    </cfRule>
    <cfRule type="containsText" dxfId="651" priority="518" stopIfTrue="1" operator="containsText" text="subobs">
      <formula>NOT(ISERROR(SEARCH("subobs",AE34)))</formula>
    </cfRule>
  </conditionalFormatting>
  <conditionalFormatting sqref="AE34:AJ40">
    <cfRule type="containsText" dxfId="650" priority="453" operator="containsText" text="(Call)">
      <formula>NOT(ISERROR(SEARCH("(Call)",AE34)))</formula>
    </cfRule>
  </conditionalFormatting>
  <conditionalFormatting sqref="AF18:AJ23">
    <cfRule type="cellIs" dxfId="649" priority="941" operator="equal">
      <formula>0</formula>
    </cfRule>
  </conditionalFormatting>
  <conditionalFormatting sqref="AG34:AJ40">
    <cfRule type="containsText" dxfId="648" priority="454" operator="containsText" text="b1">
      <formula>NOT(ISERROR(SEARCH("b1",AG34)))</formula>
    </cfRule>
    <cfRule type="cellIs" dxfId="647" priority="455" operator="equal">
      <formula>0</formula>
    </cfRule>
    <cfRule type="containsText" dxfId="646" priority="456" stopIfTrue="1" operator="containsText" text="go">
      <formula>NOT(ISERROR(SEARCH("go",AG34)))</formula>
    </cfRule>
    <cfRule type="cellIs" dxfId="645" priority="457" operator="equal">
      <formula>"ps_cover"</formula>
    </cfRule>
    <cfRule type="containsText" dxfId="644" priority="458" stopIfTrue="1" operator="containsText" text="9ab">
      <formula>NOT(ISERROR(SEARCH("9ab",AG34)))</formula>
    </cfRule>
    <cfRule type="containsText" dxfId="643" priority="459" stopIfTrue="1" operator="containsText" text="ds">
      <formula>NOT(ISERROR(SEARCH("ds",AG34)))</formula>
    </cfRule>
    <cfRule type="containsText" dxfId="642" priority="460" stopIfTrue="1" operator="containsText" text="subobs">
      <formula>NOT(ISERROR(SEARCH("subobs",AG34)))</formula>
    </cfRule>
  </conditionalFormatting>
  <conditionalFormatting sqref="AK18:AQ24">
    <cfRule type="cellIs" dxfId="641" priority="1289" operator="equal">
      <formula>0</formula>
    </cfRule>
  </conditionalFormatting>
  <conditionalFormatting sqref="AK26:AQ33">
    <cfRule type="cellIs" dxfId="640" priority="1035" operator="equal">
      <formula>0</formula>
    </cfRule>
  </conditionalFormatting>
  <conditionalFormatting sqref="AL18:AL23">
    <cfRule type="containsText" dxfId="639" priority="1271" operator="containsText" text="9ab">
      <formula>NOT(ISERROR(SEARCH("9ab",AL18)))</formula>
    </cfRule>
    <cfRule type="cellIs" dxfId="638" priority="1272" stopIfTrue="1" operator="equal">
      <formula>"leave"</formula>
    </cfRule>
    <cfRule type="containsText" dxfId="637" priority="1273" operator="containsText" text="ds">
      <formula>NOT(ISERROR(SEARCH("ds",AL18)))</formula>
    </cfRule>
    <cfRule type="containsText" dxfId="636" priority="1274" operator="containsText" text="subobs">
      <formula>NOT(ISERROR(SEARCH("subobs",AL18)))</formula>
    </cfRule>
    <cfRule type="containsText" dxfId="635" priority="1275" operator="containsText" text="Call">
      <formula>NOT(ISERROR(SEARCH("Call",AL18)))</formula>
    </cfRule>
    <cfRule type="containsText" dxfId="633" priority="1283" operator="containsText" text="9ab">
      <formula>NOT(ISERROR(SEARCH("9ab",AL18)))</formula>
    </cfRule>
    <cfRule type="cellIs" dxfId="632" priority="1284" stopIfTrue="1" operator="equal">
      <formula>"leave"</formula>
    </cfRule>
    <cfRule type="containsText" dxfId="631" priority="1285" operator="containsText" text="ds">
      <formula>NOT(ISERROR(SEARCH("ds",AL18)))</formula>
    </cfRule>
    <cfRule type="containsText" dxfId="630" priority="1286" operator="containsText" text="subobs">
      <formula>NOT(ISERROR(SEARCH("subobs",AL18)))</formula>
    </cfRule>
    <cfRule type="containsText" dxfId="629" priority="1287" operator="containsText" text="Call">
      <formula>NOT(ISERROR(SEARCH("Call",AL18)))</formula>
    </cfRule>
  </conditionalFormatting>
  <conditionalFormatting sqref="AL18:AL24">
    <cfRule type="containsText" dxfId="627" priority="1277" operator="containsText" text="9ab">
      <formula>NOT(ISERROR(SEARCH("9ab",AL18)))</formula>
    </cfRule>
    <cfRule type="cellIs" dxfId="626" priority="1278" stopIfTrue="1" operator="equal">
      <formula>"leave"</formula>
    </cfRule>
    <cfRule type="containsText" dxfId="625" priority="1279" operator="containsText" text="ds">
      <formula>NOT(ISERROR(SEARCH("ds",AL18)))</formula>
    </cfRule>
    <cfRule type="containsText" dxfId="624" priority="1280" operator="containsText" text="subobs">
      <formula>NOT(ISERROR(SEARCH("subobs",AL18)))</formula>
    </cfRule>
    <cfRule type="containsText" dxfId="623" priority="1281" stopIfTrue="1" operator="containsText" text="(Call)">
      <formula>NOT(ISERROR(SEARCH("(Call)",AL18)))</formula>
    </cfRule>
    <cfRule type="containsText" dxfId="621" priority="1290" operator="containsText" text="9ab">
      <formula>NOT(ISERROR(SEARCH("9ab",AL18)))</formula>
    </cfRule>
    <cfRule type="cellIs" dxfId="620" priority="1291" stopIfTrue="1" operator="equal">
      <formula>"leave"</formula>
    </cfRule>
    <cfRule type="containsText" dxfId="619" priority="1292" operator="containsText" text="ds">
      <formula>NOT(ISERROR(SEARCH("ds",AL18)))</formula>
    </cfRule>
    <cfRule type="containsText" dxfId="618" priority="1293" operator="containsText" text="subobs">
      <formula>NOT(ISERROR(SEARCH("subobs",AL18)))</formula>
    </cfRule>
    <cfRule type="containsText" dxfId="617" priority="1294" operator="containsText" text="Call">
      <formula>NOT(ISERROR(SEARCH("Call",AL18)))</formula>
    </cfRule>
  </conditionalFormatting>
  <conditionalFormatting sqref="AL26:AL31">
    <cfRule type="containsText" dxfId="615" priority="1017" operator="containsText" text="9ab">
      <formula>NOT(ISERROR(SEARCH("9ab",AL26)))</formula>
    </cfRule>
    <cfRule type="cellIs" dxfId="614" priority="1018" stopIfTrue="1" operator="equal">
      <formula>"leave"</formula>
    </cfRule>
    <cfRule type="containsText" dxfId="613" priority="1019" operator="containsText" text="ds">
      <formula>NOT(ISERROR(SEARCH("ds",AL26)))</formula>
    </cfRule>
    <cfRule type="containsText" dxfId="612" priority="1020" operator="containsText" text="subobs">
      <formula>NOT(ISERROR(SEARCH("subobs",AL26)))</formula>
    </cfRule>
    <cfRule type="containsText" dxfId="611" priority="1021" operator="containsText" text="Call">
      <formula>NOT(ISERROR(SEARCH("Call",AL26)))</formula>
    </cfRule>
    <cfRule type="containsText" dxfId="609" priority="1029" operator="containsText" text="9ab">
      <formula>NOT(ISERROR(SEARCH("9ab",AL26)))</formula>
    </cfRule>
    <cfRule type="cellIs" dxfId="608" priority="1030" stopIfTrue="1" operator="equal">
      <formula>"leave"</formula>
    </cfRule>
    <cfRule type="containsText" dxfId="607" priority="1031" operator="containsText" text="ds">
      <formula>NOT(ISERROR(SEARCH("ds",AL26)))</formula>
    </cfRule>
    <cfRule type="containsText" dxfId="606" priority="1032" operator="containsText" text="subobs">
      <formula>NOT(ISERROR(SEARCH("subobs",AL26)))</formula>
    </cfRule>
    <cfRule type="containsText" dxfId="605" priority="1033" operator="containsText" text="Call">
      <formula>NOT(ISERROR(SEARCH("Call",AL26)))</formula>
    </cfRule>
  </conditionalFormatting>
  <conditionalFormatting sqref="AL26:AL33">
    <cfRule type="containsText" dxfId="603" priority="1023" operator="containsText" text="9ab">
      <formula>NOT(ISERROR(SEARCH("9ab",AL26)))</formula>
    </cfRule>
    <cfRule type="cellIs" dxfId="602" priority="1024" stopIfTrue="1" operator="equal">
      <formula>"leave"</formula>
    </cfRule>
    <cfRule type="containsText" dxfId="601" priority="1025" operator="containsText" text="ds">
      <formula>NOT(ISERROR(SEARCH("ds",AL26)))</formula>
    </cfRule>
    <cfRule type="containsText" dxfId="600" priority="1026" operator="containsText" text="subobs">
      <formula>NOT(ISERROR(SEARCH("subobs",AL26)))</formula>
    </cfRule>
    <cfRule type="containsText" dxfId="599" priority="1027" stopIfTrue="1" operator="containsText" text="(Call)">
      <formula>NOT(ISERROR(SEARCH("(Call)",AL26)))</formula>
    </cfRule>
    <cfRule type="containsText" dxfId="597" priority="1036" operator="containsText" text="9ab">
      <formula>NOT(ISERROR(SEARCH("9ab",AL26)))</formula>
    </cfRule>
    <cfRule type="cellIs" dxfId="596" priority="1037" stopIfTrue="1" operator="equal">
      <formula>"leave"</formula>
    </cfRule>
    <cfRule type="containsText" dxfId="595" priority="1038" operator="containsText" text="ds">
      <formula>NOT(ISERROR(SEARCH("ds",AL26)))</formula>
    </cfRule>
    <cfRule type="containsText" dxfId="594" priority="1039" operator="containsText" text="subobs">
      <formula>NOT(ISERROR(SEARCH("subobs",AL26)))</formula>
    </cfRule>
    <cfRule type="containsText" dxfId="593" priority="1040" operator="containsText" text="Call">
      <formula>NOT(ISERROR(SEARCH("Call",AL26)))</formula>
    </cfRule>
  </conditionalFormatting>
  <conditionalFormatting sqref="AL35:AL40">
    <cfRule type="containsText" dxfId="591" priority="404" operator="containsText" text="9ab">
      <formula>NOT(ISERROR(SEARCH("9ab",AL35)))</formula>
    </cfRule>
    <cfRule type="cellIs" dxfId="590" priority="405" stopIfTrue="1" operator="equal">
      <formula>"leave"</formula>
    </cfRule>
    <cfRule type="containsText" dxfId="589" priority="406" operator="containsText" text="ds">
      <formula>NOT(ISERROR(SEARCH("ds",AL35)))</formula>
    </cfRule>
    <cfRule type="containsText" dxfId="588" priority="407" operator="containsText" text="subobs">
      <formula>NOT(ISERROR(SEARCH("subobs",AL35)))</formula>
    </cfRule>
    <cfRule type="containsText" dxfId="587" priority="408" operator="containsText" text="Call">
      <formula>NOT(ISERROR(SEARCH("Call",AL35)))</formula>
    </cfRule>
    <cfRule type="containsText" dxfId="585" priority="410" operator="containsText" text="9ab">
      <formula>NOT(ISERROR(SEARCH("9ab",AL35)))</formula>
    </cfRule>
    <cfRule type="cellIs" dxfId="584" priority="411" stopIfTrue="1" operator="equal">
      <formula>"leave"</formula>
    </cfRule>
    <cfRule type="containsText" dxfId="583" priority="412" operator="containsText" text="ds">
      <formula>NOT(ISERROR(SEARCH("ds",AL35)))</formula>
    </cfRule>
    <cfRule type="containsText" dxfId="582" priority="413" operator="containsText" text="subobs">
      <formula>NOT(ISERROR(SEARCH("subobs",AL35)))</formula>
    </cfRule>
    <cfRule type="containsText" dxfId="581" priority="414" stopIfTrue="1" operator="containsText" text="(Call)">
      <formula>NOT(ISERROR(SEARCH("(Call)",AL35)))</formula>
    </cfRule>
    <cfRule type="containsText" dxfId="579" priority="416" operator="containsText" text="9ab">
      <formula>NOT(ISERROR(SEARCH("9ab",AL35)))</formula>
    </cfRule>
    <cfRule type="cellIs" dxfId="578" priority="417" stopIfTrue="1" operator="equal">
      <formula>"leave"</formula>
    </cfRule>
    <cfRule type="containsText" dxfId="577" priority="418" operator="containsText" text="ds">
      <formula>NOT(ISERROR(SEARCH("ds",AL35)))</formula>
    </cfRule>
    <cfRule type="containsText" dxfId="576" priority="419" operator="containsText" text="subobs">
      <formula>NOT(ISERROR(SEARCH("subobs",AL35)))</formula>
    </cfRule>
    <cfRule type="containsText" dxfId="575" priority="420" operator="containsText" text="Call">
      <formula>NOT(ISERROR(SEARCH("Call",AL35)))</formula>
    </cfRule>
    <cfRule type="containsText" dxfId="573" priority="422" operator="containsText" text="9ab">
      <formula>NOT(ISERROR(SEARCH("9ab",AL35)))</formula>
    </cfRule>
    <cfRule type="cellIs" dxfId="572" priority="423" stopIfTrue="1" operator="equal">
      <formula>"leave"</formula>
    </cfRule>
    <cfRule type="containsText" dxfId="571" priority="424" operator="containsText" text="ds">
      <formula>NOT(ISERROR(SEARCH("ds",AL35)))</formula>
    </cfRule>
    <cfRule type="containsText" dxfId="570" priority="425" operator="containsText" text="subobs">
      <formula>NOT(ISERROR(SEARCH("subobs",AL35)))</formula>
    </cfRule>
    <cfRule type="containsText" dxfId="569" priority="426" operator="containsText" text="Call">
      <formula>NOT(ISERROR(SEARCH("Call",AL35)))</formula>
    </cfRule>
    <cfRule type="containsText" dxfId="567" priority="428" operator="containsText" text="9ab">
      <formula>NOT(ISERROR(SEARCH("9ab",AL35)))</formula>
    </cfRule>
    <cfRule type="cellIs" dxfId="566" priority="429" stopIfTrue="1" operator="equal">
      <formula>"leave"</formula>
    </cfRule>
    <cfRule type="containsText" dxfId="565" priority="430" operator="containsText" text="ds">
      <formula>NOT(ISERROR(SEARCH("ds",AL35)))</formula>
    </cfRule>
    <cfRule type="containsText" dxfId="564" priority="431" operator="containsText" text="subobs">
      <formula>NOT(ISERROR(SEARCH("subobs",AL35)))</formula>
    </cfRule>
    <cfRule type="containsText" dxfId="563" priority="432" operator="containsText" text="Call">
      <formula>NOT(ISERROR(SEARCH("Call",AL35)))</formula>
    </cfRule>
    <cfRule type="containsText" dxfId="561" priority="436" operator="containsText" text="9ab">
      <formula>NOT(ISERROR(SEARCH("9ab",AL35)))</formula>
    </cfRule>
    <cfRule type="cellIs" dxfId="560" priority="437" stopIfTrue="1" operator="equal">
      <formula>"leave"</formula>
    </cfRule>
    <cfRule type="containsText" dxfId="559" priority="438" operator="containsText" text="ds">
      <formula>NOT(ISERROR(SEARCH("ds",AL35)))</formula>
    </cfRule>
    <cfRule type="containsText" dxfId="558" priority="439" operator="containsText" text="subobs">
      <formula>NOT(ISERROR(SEARCH("subobs",AL35)))</formula>
    </cfRule>
    <cfRule type="containsText" dxfId="557" priority="440" operator="containsText" text="Call">
      <formula>NOT(ISERROR(SEARCH("Call",AL35)))</formula>
    </cfRule>
    <cfRule type="containsText" dxfId="555" priority="443" operator="containsText" text="9ab">
      <formula>NOT(ISERROR(SEARCH("9ab",AL35)))</formula>
    </cfRule>
    <cfRule type="cellIs" dxfId="554" priority="444" stopIfTrue="1" operator="equal">
      <formula>"leave"</formula>
    </cfRule>
    <cfRule type="containsText" dxfId="553" priority="445" operator="containsText" text="ds">
      <formula>NOT(ISERROR(SEARCH("ds",AL35)))</formula>
    </cfRule>
    <cfRule type="containsText" dxfId="552" priority="446" operator="containsText" text="subobs">
      <formula>NOT(ISERROR(SEARCH("subobs",AL35)))</formula>
    </cfRule>
    <cfRule type="containsText" dxfId="551" priority="447" stopIfTrue="1" operator="containsText" text="(Call)">
      <formula>NOT(ISERROR(SEARCH("(Call)",AL35)))</formula>
    </cfRule>
  </conditionalFormatting>
  <conditionalFormatting sqref="AL34:AM40">
    <cfRule type="containsText" dxfId="549" priority="434" operator="containsText" text="b1">
      <formula>NOT(ISERROR(SEARCH("b1",AL34)))</formula>
    </cfRule>
    <cfRule type="cellIs" dxfId="548" priority="435" operator="equal">
      <formula>0</formula>
    </cfRule>
    <cfRule type="containsText" dxfId="547" priority="442" stopIfTrue="1" operator="containsText" text="go">
      <formula>NOT(ISERROR(SEARCH("go",AL34)))</formula>
    </cfRule>
    <cfRule type="cellIs" dxfId="546" priority="449" operator="equal">
      <formula>"ps_cover"</formula>
    </cfRule>
    <cfRule type="containsText" dxfId="545" priority="450" stopIfTrue="1" operator="containsText" text="9ab">
      <formula>NOT(ISERROR(SEARCH("9ab",AL34)))</formula>
    </cfRule>
    <cfRule type="containsText" dxfId="544" priority="451" stopIfTrue="1" operator="containsText" text="ds">
      <formula>NOT(ISERROR(SEARCH("ds",AL34)))</formula>
    </cfRule>
    <cfRule type="containsText" dxfId="543" priority="452" stopIfTrue="1" operator="containsText" text="subobs">
      <formula>NOT(ISERROR(SEARCH("subobs",AL34)))</formula>
    </cfRule>
  </conditionalFormatting>
  <conditionalFormatting sqref="AL34:AQ40">
    <cfRule type="containsText" dxfId="542" priority="387" operator="containsText" text="(Call)">
      <formula>NOT(ISERROR(SEARCH("(Call)",AL34)))</formula>
    </cfRule>
  </conditionalFormatting>
  <conditionalFormatting sqref="AM18:AQ23">
    <cfRule type="cellIs" dxfId="541" priority="940" operator="equal">
      <formula>0</formula>
    </cfRule>
  </conditionalFormatting>
  <conditionalFormatting sqref="AN34:AQ40">
    <cfRule type="containsText" dxfId="540" priority="388" operator="containsText" text="b1">
      <formula>NOT(ISERROR(SEARCH("b1",AN34)))</formula>
    </cfRule>
    <cfRule type="cellIs" dxfId="539" priority="389" operator="equal">
      <formula>0</formula>
    </cfRule>
    <cfRule type="containsText" dxfId="538" priority="390" stopIfTrue="1" operator="containsText" text="go">
      <formula>NOT(ISERROR(SEARCH("go",AN34)))</formula>
    </cfRule>
    <cfRule type="cellIs" dxfId="537" priority="391" operator="equal">
      <formula>"ps_cover"</formula>
    </cfRule>
    <cfRule type="containsText" dxfId="536" priority="392" stopIfTrue="1" operator="containsText" text="9ab">
      <formula>NOT(ISERROR(SEARCH("9ab",AN34)))</formula>
    </cfRule>
    <cfRule type="containsText" dxfId="535" priority="393" stopIfTrue="1" operator="containsText" text="ds">
      <formula>NOT(ISERROR(SEARCH("ds",AN34)))</formula>
    </cfRule>
    <cfRule type="containsText" dxfId="534" priority="394" stopIfTrue="1" operator="containsText" text="subobs">
      <formula>NOT(ISERROR(SEARCH("subobs",AN34)))</formula>
    </cfRule>
  </conditionalFormatting>
  <conditionalFormatting sqref="AR18:AX24">
    <cfRule type="cellIs" dxfId="533" priority="1264" operator="equal">
      <formula>0</formula>
    </cfRule>
  </conditionalFormatting>
  <conditionalFormatting sqref="AR26:AX33">
    <cfRule type="cellIs" dxfId="532" priority="1010" operator="equal">
      <formula>0</formula>
    </cfRule>
  </conditionalFormatting>
  <conditionalFormatting sqref="AS18:AS23">
    <cfRule type="containsText" dxfId="531" priority="1246" operator="containsText" text="9ab">
      <formula>NOT(ISERROR(SEARCH("9ab",AS18)))</formula>
    </cfRule>
    <cfRule type="cellIs" dxfId="530" priority="1247" stopIfTrue="1" operator="equal">
      <formula>"leave"</formula>
    </cfRule>
    <cfRule type="containsText" dxfId="529" priority="1248" operator="containsText" text="ds">
      <formula>NOT(ISERROR(SEARCH("ds",AS18)))</formula>
    </cfRule>
    <cfRule type="containsText" dxfId="528" priority="1249" operator="containsText" text="subobs">
      <formula>NOT(ISERROR(SEARCH("subobs",AS18)))</formula>
    </cfRule>
    <cfRule type="containsText" dxfId="527" priority="1250" operator="containsText" text="Call">
      <formula>NOT(ISERROR(SEARCH("Call",AS18)))</formula>
    </cfRule>
    <cfRule type="containsText" dxfId="525" priority="1258" operator="containsText" text="9ab">
      <formula>NOT(ISERROR(SEARCH("9ab",AS18)))</formula>
    </cfRule>
    <cfRule type="cellIs" dxfId="524" priority="1259" stopIfTrue="1" operator="equal">
      <formula>"leave"</formula>
    </cfRule>
    <cfRule type="containsText" dxfId="523" priority="1260" operator="containsText" text="ds">
      <formula>NOT(ISERROR(SEARCH("ds",AS18)))</formula>
    </cfRule>
    <cfRule type="containsText" dxfId="522" priority="1261" operator="containsText" text="subobs">
      <formula>NOT(ISERROR(SEARCH("subobs",AS18)))</formula>
    </cfRule>
    <cfRule type="containsText" dxfId="521" priority="1262" operator="containsText" text="Call">
      <formula>NOT(ISERROR(SEARCH("Call",AS18)))</formula>
    </cfRule>
  </conditionalFormatting>
  <conditionalFormatting sqref="AS18:AS24">
    <cfRule type="containsText" dxfId="519" priority="1252" operator="containsText" text="9ab">
      <formula>NOT(ISERROR(SEARCH("9ab",AS18)))</formula>
    </cfRule>
    <cfRule type="cellIs" dxfId="518" priority="1253" stopIfTrue="1" operator="equal">
      <formula>"leave"</formula>
    </cfRule>
    <cfRule type="containsText" dxfId="517" priority="1254" operator="containsText" text="ds">
      <formula>NOT(ISERROR(SEARCH("ds",AS18)))</formula>
    </cfRule>
    <cfRule type="containsText" dxfId="516" priority="1255" operator="containsText" text="subobs">
      <formula>NOT(ISERROR(SEARCH("subobs",AS18)))</formula>
    </cfRule>
    <cfRule type="containsText" dxfId="515" priority="1256" stopIfTrue="1" operator="containsText" text="(Call)">
      <formula>NOT(ISERROR(SEARCH("(Call)",AS18)))</formula>
    </cfRule>
    <cfRule type="containsText" dxfId="513" priority="1265" operator="containsText" text="9ab">
      <formula>NOT(ISERROR(SEARCH("9ab",AS18)))</formula>
    </cfRule>
    <cfRule type="cellIs" dxfId="512" priority="1266" stopIfTrue="1" operator="equal">
      <formula>"leave"</formula>
    </cfRule>
    <cfRule type="containsText" dxfId="511" priority="1267" operator="containsText" text="ds">
      <formula>NOT(ISERROR(SEARCH("ds",AS18)))</formula>
    </cfRule>
    <cfRule type="containsText" dxfId="510" priority="1268" operator="containsText" text="subobs">
      <formula>NOT(ISERROR(SEARCH("subobs",AS18)))</formula>
    </cfRule>
    <cfRule type="containsText" dxfId="509" priority="1269" operator="containsText" text="Call">
      <formula>NOT(ISERROR(SEARCH("Call",AS18)))</formula>
    </cfRule>
  </conditionalFormatting>
  <conditionalFormatting sqref="AS26:AS31">
    <cfRule type="containsText" dxfId="507" priority="992" operator="containsText" text="9ab">
      <formula>NOT(ISERROR(SEARCH("9ab",AS26)))</formula>
    </cfRule>
    <cfRule type="cellIs" dxfId="506" priority="993" stopIfTrue="1" operator="equal">
      <formula>"leave"</formula>
    </cfRule>
    <cfRule type="containsText" dxfId="505" priority="994" operator="containsText" text="ds">
      <formula>NOT(ISERROR(SEARCH("ds",AS26)))</formula>
    </cfRule>
    <cfRule type="containsText" dxfId="504" priority="995" operator="containsText" text="subobs">
      <formula>NOT(ISERROR(SEARCH("subobs",AS26)))</formula>
    </cfRule>
    <cfRule type="containsText" dxfId="503" priority="996" operator="containsText" text="Call">
      <formula>NOT(ISERROR(SEARCH("Call",AS26)))</formula>
    </cfRule>
    <cfRule type="containsText" dxfId="501" priority="1004" operator="containsText" text="9ab">
      <formula>NOT(ISERROR(SEARCH("9ab",AS26)))</formula>
    </cfRule>
    <cfRule type="cellIs" dxfId="500" priority="1005" stopIfTrue="1" operator="equal">
      <formula>"leave"</formula>
    </cfRule>
    <cfRule type="containsText" dxfId="499" priority="1006" operator="containsText" text="ds">
      <formula>NOT(ISERROR(SEARCH("ds",AS26)))</formula>
    </cfRule>
    <cfRule type="containsText" dxfId="498" priority="1007" operator="containsText" text="subobs">
      <formula>NOT(ISERROR(SEARCH("subobs",AS26)))</formula>
    </cfRule>
    <cfRule type="containsText" dxfId="497" priority="1008" operator="containsText" text="Call">
      <formula>NOT(ISERROR(SEARCH("Call",AS26)))</formula>
    </cfRule>
  </conditionalFormatting>
  <conditionalFormatting sqref="AS26:AS33">
    <cfRule type="containsText" dxfId="495" priority="998" operator="containsText" text="9ab">
      <formula>NOT(ISERROR(SEARCH("9ab",AS26)))</formula>
    </cfRule>
    <cfRule type="cellIs" dxfId="494" priority="999" stopIfTrue="1" operator="equal">
      <formula>"leave"</formula>
    </cfRule>
    <cfRule type="containsText" dxfId="493" priority="1000" operator="containsText" text="ds">
      <formula>NOT(ISERROR(SEARCH("ds",AS26)))</formula>
    </cfRule>
    <cfRule type="containsText" dxfId="492" priority="1001" operator="containsText" text="subobs">
      <formula>NOT(ISERROR(SEARCH("subobs",AS26)))</formula>
    </cfRule>
    <cfRule type="containsText" dxfId="491" priority="1002" stopIfTrue="1" operator="containsText" text="(Call)">
      <formula>NOT(ISERROR(SEARCH("(Call)",AS26)))</formula>
    </cfRule>
    <cfRule type="containsText" dxfId="489" priority="1011" operator="containsText" text="9ab">
      <formula>NOT(ISERROR(SEARCH("9ab",AS26)))</formula>
    </cfRule>
    <cfRule type="cellIs" dxfId="488" priority="1012" stopIfTrue="1" operator="equal">
      <formula>"leave"</formula>
    </cfRule>
    <cfRule type="containsText" dxfId="487" priority="1013" operator="containsText" text="ds">
      <formula>NOT(ISERROR(SEARCH("ds",AS26)))</formula>
    </cfRule>
    <cfRule type="containsText" dxfId="486" priority="1014" operator="containsText" text="subobs">
      <formula>NOT(ISERROR(SEARCH("subobs",AS26)))</formula>
    </cfRule>
    <cfRule type="containsText" dxfId="485" priority="1015" operator="containsText" text="Call">
      <formula>NOT(ISERROR(SEARCH("Call",AS26)))</formula>
    </cfRule>
  </conditionalFormatting>
  <conditionalFormatting sqref="AS35:AS40">
    <cfRule type="containsText" dxfId="483" priority="338" operator="containsText" text="9ab">
      <formula>NOT(ISERROR(SEARCH("9ab",AS35)))</formula>
    </cfRule>
    <cfRule type="cellIs" dxfId="482" priority="339" stopIfTrue="1" operator="equal">
      <formula>"leave"</formula>
    </cfRule>
    <cfRule type="containsText" dxfId="481" priority="340" operator="containsText" text="ds">
      <formula>NOT(ISERROR(SEARCH("ds",AS35)))</formula>
    </cfRule>
    <cfRule type="containsText" dxfId="480" priority="341" operator="containsText" text="subobs">
      <formula>NOT(ISERROR(SEARCH("subobs",AS35)))</formula>
    </cfRule>
    <cfRule type="containsText" dxfId="479" priority="342" operator="containsText" text="Call">
      <formula>NOT(ISERROR(SEARCH("Call",AS35)))</formula>
    </cfRule>
    <cfRule type="containsText" dxfId="477" priority="344" operator="containsText" text="9ab">
      <formula>NOT(ISERROR(SEARCH("9ab",AS35)))</formula>
    </cfRule>
    <cfRule type="cellIs" dxfId="476" priority="345" stopIfTrue="1" operator="equal">
      <formula>"leave"</formula>
    </cfRule>
    <cfRule type="containsText" dxfId="475" priority="346" operator="containsText" text="ds">
      <formula>NOT(ISERROR(SEARCH("ds",AS35)))</formula>
    </cfRule>
    <cfRule type="containsText" dxfId="474" priority="347" operator="containsText" text="subobs">
      <formula>NOT(ISERROR(SEARCH("subobs",AS35)))</formula>
    </cfRule>
    <cfRule type="containsText" dxfId="473" priority="348" stopIfTrue="1" operator="containsText" text="(Call)">
      <formula>NOT(ISERROR(SEARCH("(Call)",AS35)))</formula>
    </cfRule>
    <cfRule type="containsText" dxfId="471" priority="350" operator="containsText" text="9ab">
      <formula>NOT(ISERROR(SEARCH("9ab",AS35)))</formula>
    </cfRule>
    <cfRule type="cellIs" dxfId="470" priority="351" stopIfTrue="1" operator="equal">
      <formula>"leave"</formula>
    </cfRule>
    <cfRule type="containsText" dxfId="469" priority="352" operator="containsText" text="ds">
      <formula>NOT(ISERROR(SEARCH("ds",AS35)))</formula>
    </cfRule>
    <cfRule type="containsText" dxfId="468" priority="353" operator="containsText" text="subobs">
      <formula>NOT(ISERROR(SEARCH("subobs",AS35)))</formula>
    </cfRule>
    <cfRule type="containsText" dxfId="467" priority="354" operator="containsText" text="Call">
      <formula>NOT(ISERROR(SEARCH("Call",AS35)))</formula>
    </cfRule>
    <cfRule type="containsText" dxfId="465" priority="356" operator="containsText" text="9ab">
      <formula>NOT(ISERROR(SEARCH("9ab",AS35)))</formula>
    </cfRule>
    <cfRule type="cellIs" dxfId="464" priority="357" stopIfTrue="1" operator="equal">
      <formula>"leave"</formula>
    </cfRule>
    <cfRule type="containsText" dxfId="463" priority="358" operator="containsText" text="ds">
      <formula>NOT(ISERROR(SEARCH("ds",AS35)))</formula>
    </cfRule>
    <cfRule type="containsText" dxfId="462" priority="359" operator="containsText" text="subobs">
      <formula>NOT(ISERROR(SEARCH("subobs",AS35)))</formula>
    </cfRule>
    <cfRule type="containsText" dxfId="461" priority="360" operator="containsText" text="Call">
      <formula>NOT(ISERROR(SEARCH("Call",AS35)))</formula>
    </cfRule>
    <cfRule type="containsText" dxfId="459" priority="362" operator="containsText" text="9ab">
      <formula>NOT(ISERROR(SEARCH("9ab",AS35)))</formula>
    </cfRule>
    <cfRule type="cellIs" dxfId="458" priority="363" stopIfTrue="1" operator="equal">
      <formula>"leave"</formula>
    </cfRule>
    <cfRule type="containsText" dxfId="457" priority="364" operator="containsText" text="ds">
      <formula>NOT(ISERROR(SEARCH("ds",AS35)))</formula>
    </cfRule>
    <cfRule type="containsText" dxfId="456" priority="365" operator="containsText" text="subobs">
      <formula>NOT(ISERROR(SEARCH("subobs",AS35)))</formula>
    </cfRule>
    <cfRule type="containsText" dxfId="455" priority="366" operator="containsText" text="Call">
      <formula>NOT(ISERROR(SEARCH("Call",AS35)))</formula>
    </cfRule>
    <cfRule type="containsText" dxfId="453" priority="370" operator="containsText" text="9ab">
      <formula>NOT(ISERROR(SEARCH("9ab",AS35)))</formula>
    </cfRule>
    <cfRule type="cellIs" dxfId="452" priority="371" stopIfTrue="1" operator="equal">
      <formula>"leave"</formula>
    </cfRule>
    <cfRule type="containsText" dxfId="451" priority="372" operator="containsText" text="ds">
      <formula>NOT(ISERROR(SEARCH("ds",AS35)))</formula>
    </cfRule>
    <cfRule type="containsText" dxfId="450" priority="373" operator="containsText" text="subobs">
      <formula>NOT(ISERROR(SEARCH("subobs",AS35)))</formula>
    </cfRule>
    <cfRule type="containsText" dxfId="449" priority="374" operator="containsText" text="Call">
      <formula>NOT(ISERROR(SEARCH("Call",AS35)))</formula>
    </cfRule>
    <cfRule type="containsText" dxfId="447" priority="377" operator="containsText" text="9ab">
      <formula>NOT(ISERROR(SEARCH("9ab",AS35)))</formula>
    </cfRule>
    <cfRule type="cellIs" dxfId="446" priority="378" stopIfTrue="1" operator="equal">
      <formula>"leave"</formula>
    </cfRule>
    <cfRule type="containsText" dxfId="445" priority="379" operator="containsText" text="ds">
      <formula>NOT(ISERROR(SEARCH("ds",AS35)))</formula>
    </cfRule>
    <cfRule type="containsText" dxfId="444" priority="380" operator="containsText" text="subobs">
      <formula>NOT(ISERROR(SEARCH("subobs",AS35)))</formula>
    </cfRule>
    <cfRule type="containsText" dxfId="443" priority="381" stopIfTrue="1" operator="containsText" text="(Call)">
      <formula>NOT(ISERROR(SEARCH("(Call)",AS35)))</formula>
    </cfRule>
  </conditionalFormatting>
  <conditionalFormatting sqref="AS34:AT40">
    <cfRule type="containsText" dxfId="441" priority="368" operator="containsText" text="b1">
      <formula>NOT(ISERROR(SEARCH("b1",AS34)))</formula>
    </cfRule>
    <cfRule type="cellIs" dxfId="440" priority="369" operator="equal">
      <formula>0</formula>
    </cfRule>
    <cfRule type="containsText" dxfId="439" priority="376" stopIfTrue="1" operator="containsText" text="go">
      <formula>NOT(ISERROR(SEARCH("go",AS34)))</formula>
    </cfRule>
    <cfRule type="cellIs" dxfId="438" priority="383" operator="equal">
      <formula>"ps_cover"</formula>
    </cfRule>
    <cfRule type="containsText" dxfId="437" priority="384" stopIfTrue="1" operator="containsText" text="9ab">
      <formula>NOT(ISERROR(SEARCH("9ab",AS34)))</formula>
    </cfRule>
    <cfRule type="containsText" dxfId="436" priority="385" stopIfTrue="1" operator="containsText" text="ds">
      <formula>NOT(ISERROR(SEARCH("ds",AS34)))</formula>
    </cfRule>
    <cfRule type="containsText" dxfId="435" priority="386" stopIfTrue="1" operator="containsText" text="subobs">
      <formula>NOT(ISERROR(SEARCH("subobs",AS34)))</formula>
    </cfRule>
  </conditionalFormatting>
  <conditionalFormatting sqref="AS34:AX40">
    <cfRule type="containsText" dxfId="434" priority="321" operator="containsText" text="(Call)">
      <formula>NOT(ISERROR(SEARCH("(Call)",AS34)))</formula>
    </cfRule>
  </conditionalFormatting>
  <conditionalFormatting sqref="AT18:AX23">
    <cfRule type="cellIs" dxfId="433" priority="939" operator="equal">
      <formula>0</formula>
    </cfRule>
  </conditionalFormatting>
  <conditionalFormatting sqref="AU34:AX40">
    <cfRule type="containsText" dxfId="432" priority="322" operator="containsText" text="b1">
      <formula>NOT(ISERROR(SEARCH("b1",AU34)))</formula>
    </cfRule>
    <cfRule type="cellIs" dxfId="431" priority="323" operator="equal">
      <formula>0</formula>
    </cfRule>
    <cfRule type="containsText" dxfId="430" priority="324" stopIfTrue="1" operator="containsText" text="go">
      <formula>NOT(ISERROR(SEARCH("go",AU34)))</formula>
    </cfRule>
    <cfRule type="cellIs" dxfId="429" priority="325" operator="equal">
      <formula>"ps_cover"</formula>
    </cfRule>
    <cfRule type="containsText" dxfId="428" priority="326" stopIfTrue="1" operator="containsText" text="9ab">
      <formula>NOT(ISERROR(SEARCH("9ab",AU34)))</formula>
    </cfRule>
    <cfRule type="containsText" dxfId="427" priority="327" stopIfTrue="1" operator="containsText" text="ds">
      <formula>NOT(ISERROR(SEARCH("ds",AU34)))</formula>
    </cfRule>
    <cfRule type="containsText" dxfId="426" priority="328" stopIfTrue="1" operator="containsText" text="subobs">
      <formula>NOT(ISERROR(SEARCH("subobs",AU34)))</formula>
    </cfRule>
  </conditionalFormatting>
  <conditionalFormatting sqref="AY18:BE24">
    <cfRule type="cellIs" dxfId="425" priority="1239" operator="equal">
      <formula>0</formula>
    </cfRule>
  </conditionalFormatting>
  <conditionalFormatting sqref="AY26:BE33">
    <cfRule type="cellIs" dxfId="424" priority="985" operator="equal">
      <formula>0</formula>
    </cfRule>
  </conditionalFormatting>
  <conditionalFormatting sqref="AZ18:AZ23">
    <cfRule type="containsText" dxfId="423" priority="1221" operator="containsText" text="9ab">
      <formula>NOT(ISERROR(SEARCH("9ab",AZ18)))</formula>
    </cfRule>
    <cfRule type="cellIs" dxfId="422" priority="1222" stopIfTrue="1" operator="equal">
      <formula>"leave"</formula>
    </cfRule>
    <cfRule type="containsText" dxfId="421" priority="1223" operator="containsText" text="ds">
      <formula>NOT(ISERROR(SEARCH("ds",AZ18)))</formula>
    </cfRule>
    <cfRule type="containsText" dxfId="420" priority="1224" operator="containsText" text="subobs">
      <formula>NOT(ISERROR(SEARCH("subobs",AZ18)))</formula>
    </cfRule>
    <cfRule type="containsText" dxfId="419" priority="1225" operator="containsText" text="Call">
      <formula>NOT(ISERROR(SEARCH("Call",AZ18)))</formula>
    </cfRule>
    <cfRule type="containsText" dxfId="417" priority="1233" operator="containsText" text="9ab">
      <formula>NOT(ISERROR(SEARCH("9ab",AZ18)))</formula>
    </cfRule>
    <cfRule type="cellIs" dxfId="416" priority="1234" stopIfTrue="1" operator="equal">
      <formula>"leave"</formula>
    </cfRule>
    <cfRule type="containsText" dxfId="415" priority="1235" operator="containsText" text="ds">
      <formula>NOT(ISERROR(SEARCH("ds",AZ18)))</formula>
    </cfRule>
    <cfRule type="containsText" dxfId="414" priority="1236" operator="containsText" text="subobs">
      <formula>NOT(ISERROR(SEARCH("subobs",AZ18)))</formula>
    </cfRule>
    <cfRule type="containsText" dxfId="413" priority="1237" operator="containsText" text="Call">
      <formula>NOT(ISERROR(SEARCH("Call",AZ18)))</formula>
    </cfRule>
  </conditionalFormatting>
  <conditionalFormatting sqref="AZ18:AZ24">
    <cfRule type="containsText" dxfId="411" priority="1227" operator="containsText" text="9ab">
      <formula>NOT(ISERROR(SEARCH("9ab",AZ18)))</formula>
    </cfRule>
    <cfRule type="cellIs" dxfId="410" priority="1228" stopIfTrue="1" operator="equal">
      <formula>"leave"</formula>
    </cfRule>
    <cfRule type="containsText" dxfId="409" priority="1229" operator="containsText" text="ds">
      <formula>NOT(ISERROR(SEARCH("ds",AZ18)))</formula>
    </cfRule>
    <cfRule type="containsText" dxfId="408" priority="1230" operator="containsText" text="subobs">
      <formula>NOT(ISERROR(SEARCH("subobs",AZ18)))</formula>
    </cfRule>
    <cfRule type="containsText" dxfId="407" priority="1231" stopIfTrue="1" operator="containsText" text="(Call)">
      <formula>NOT(ISERROR(SEARCH("(Call)",AZ18)))</formula>
    </cfRule>
    <cfRule type="containsText" dxfId="405" priority="1240" operator="containsText" text="9ab">
      <formula>NOT(ISERROR(SEARCH("9ab",AZ18)))</formula>
    </cfRule>
    <cfRule type="cellIs" dxfId="404" priority="1241" stopIfTrue="1" operator="equal">
      <formula>"leave"</formula>
    </cfRule>
    <cfRule type="containsText" dxfId="403" priority="1242" operator="containsText" text="ds">
      <formula>NOT(ISERROR(SEARCH("ds",AZ18)))</formula>
    </cfRule>
    <cfRule type="containsText" dxfId="402" priority="1243" operator="containsText" text="subobs">
      <formula>NOT(ISERROR(SEARCH("subobs",AZ18)))</formula>
    </cfRule>
    <cfRule type="containsText" dxfId="401" priority="1244" operator="containsText" text="Call">
      <formula>NOT(ISERROR(SEARCH("Call",AZ18)))</formula>
    </cfRule>
  </conditionalFormatting>
  <conditionalFormatting sqref="AZ26:AZ31">
    <cfRule type="containsText" dxfId="399" priority="967" operator="containsText" text="9ab">
      <formula>NOT(ISERROR(SEARCH("9ab",AZ26)))</formula>
    </cfRule>
    <cfRule type="cellIs" dxfId="398" priority="968" stopIfTrue="1" operator="equal">
      <formula>"leave"</formula>
    </cfRule>
    <cfRule type="containsText" dxfId="397" priority="969" operator="containsText" text="ds">
      <formula>NOT(ISERROR(SEARCH("ds",AZ26)))</formula>
    </cfRule>
    <cfRule type="containsText" dxfId="396" priority="970" operator="containsText" text="subobs">
      <formula>NOT(ISERROR(SEARCH("subobs",AZ26)))</formula>
    </cfRule>
    <cfRule type="containsText" dxfId="395" priority="971" operator="containsText" text="Call">
      <formula>NOT(ISERROR(SEARCH("Call",AZ26)))</formula>
    </cfRule>
    <cfRule type="containsText" dxfId="393" priority="979" operator="containsText" text="9ab">
      <formula>NOT(ISERROR(SEARCH("9ab",AZ26)))</formula>
    </cfRule>
    <cfRule type="cellIs" dxfId="392" priority="980" stopIfTrue="1" operator="equal">
      <formula>"leave"</formula>
    </cfRule>
    <cfRule type="containsText" dxfId="391" priority="981" operator="containsText" text="ds">
      <formula>NOT(ISERROR(SEARCH("ds",AZ26)))</formula>
    </cfRule>
    <cfRule type="containsText" dxfId="390" priority="982" operator="containsText" text="subobs">
      <formula>NOT(ISERROR(SEARCH("subobs",AZ26)))</formula>
    </cfRule>
    <cfRule type="containsText" dxfId="389" priority="983" operator="containsText" text="Call">
      <formula>NOT(ISERROR(SEARCH("Call",AZ26)))</formula>
    </cfRule>
  </conditionalFormatting>
  <conditionalFormatting sqref="AZ26:AZ33">
    <cfRule type="containsText" dxfId="387" priority="973" operator="containsText" text="9ab">
      <formula>NOT(ISERROR(SEARCH("9ab",AZ26)))</formula>
    </cfRule>
    <cfRule type="cellIs" dxfId="386" priority="974" stopIfTrue="1" operator="equal">
      <formula>"leave"</formula>
    </cfRule>
    <cfRule type="containsText" dxfId="385" priority="975" operator="containsText" text="ds">
      <formula>NOT(ISERROR(SEARCH("ds",AZ26)))</formula>
    </cfRule>
    <cfRule type="containsText" dxfId="384" priority="976" operator="containsText" text="subobs">
      <formula>NOT(ISERROR(SEARCH("subobs",AZ26)))</formula>
    </cfRule>
    <cfRule type="containsText" dxfId="383" priority="977" stopIfTrue="1" operator="containsText" text="(Call)">
      <formula>NOT(ISERROR(SEARCH("(Call)",AZ26)))</formula>
    </cfRule>
    <cfRule type="containsText" dxfId="381" priority="986" operator="containsText" text="9ab">
      <formula>NOT(ISERROR(SEARCH("9ab",AZ26)))</formula>
    </cfRule>
    <cfRule type="cellIs" dxfId="380" priority="987" stopIfTrue="1" operator="equal">
      <formula>"leave"</formula>
    </cfRule>
    <cfRule type="containsText" dxfId="379" priority="988" operator="containsText" text="ds">
      <formula>NOT(ISERROR(SEARCH("ds",AZ26)))</formula>
    </cfRule>
    <cfRule type="containsText" dxfId="378" priority="989" operator="containsText" text="subobs">
      <formula>NOT(ISERROR(SEARCH("subobs",AZ26)))</formula>
    </cfRule>
    <cfRule type="containsText" dxfId="377" priority="990" operator="containsText" text="Call">
      <formula>NOT(ISERROR(SEARCH("Call",AZ26)))</formula>
    </cfRule>
  </conditionalFormatting>
  <conditionalFormatting sqref="AZ35:AZ40">
    <cfRule type="containsText" dxfId="375" priority="272" operator="containsText" text="9ab">
      <formula>NOT(ISERROR(SEARCH("9ab",AZ35)))</formula>
    </cfRule>
    <cfRule type="cellIs" dxfId="374" priority="273" stopIfTrue="1" operator="equal">
      <formula>"leave"</formula>
    </cfRule>
    <cfRule type="containsText" dxfId="373" priority="274" operator="containsText" text="ds">
      <formula>NOT(ISERROR(SEARCH("ds",AZ35)))</formula>
    </cfRule>
    <cfRule type="containsText" dxfId="372" priority="275" operator="containsText" text="subobs">
      <formula>NOT(ISERROR(SEARCH("subobs",AZ35)))</formula>
    </cfRule>
    <cfRule type="containsText" dxfId="371" priority="276" operator="containsText" text="Call">
      <formula>NOT(ISERROR(SEARCH("Call",AZ35)))</formula>
    </cfRule>
    <cfRule type="containsText" dxfId="369" priority="278" operator="containsText" text="9ab">
      <formula>NOT(ISERROR(SEARCH("9ab",AZ35)))</formula>
    </cfRule>
    <cfRule type="cellIs" dxfId="368" priority="279" stopIfTrue="1" operator="equal">
      <formula>"leave"</formula>
    </cfRule>
    <cfRule type="containsText" dxfId="367" priority="280" operator="containsText" text="ds">
      <formula>NOT(ISERROR(SEARCH("ds",AZ35)))</formula>
    </cfRule>
    <cfRule type="containsText" dxfId="366" priority="281" operator="containsText" text="subobs">
      <formula>NOT(ISERROR(SEARCH("subobs",AZ35)))</formula>
    </cfRule>
    <cfRule type="containsText" dxfId="365" priority="282" stopIfTrue="1" operator="containsText" text="(Call)">
      <formula>NOT(ISERROR(SEARCH("(Call)",AZ35)))</formula>
    </cfRule>
    <cfRule type="containsText" dxfId="363" priority="284" operator="containsText" text="9ab">
      <formula>NOT(ISERROR(SEARCH("9ab",AZ35)))</formula>
    </cfRule>
    <cfRule type="cellIs" dxfId="362" priority="285" stopIfTrue="1" operator="equal">
      <formula>"leave"</formula>
    </cfRule>
    <cfRule type="containsText" dxfId="361" priority="286" operator="containsText" text="ds">
      <formula>NOT(ISERROR(SEARCH("ds",AZ35)))</formula>
    </cfRule>
    <cfRule type="containsText" dxfId="360" priority="287" operator="containsText" text="subobs">
      <formula>NOT(ISERROR(SEARCH("subobs",AZ35)))</formula>
    </cfRule>
    <cfRule type="containsText" dxfId="359" priority="288" operator="containsText" text="Call">
      <formula>NOT(ISERROR(SEARCH("Call",AZ35)))</formula>
    </cfRule>
    <cfRule type="containsText" dxfId="357" priority="290" operator="containsText" text="9ab">
      <formula>NOT(ISERROR(SEARCH("9ab",AZ35)))</formula>
    </cfRule>
    <cfRule type="cellIs" dxfId="356" priority="291" stopIfTrue="1" operator="equal">
      <formula>"leave"</formula>
    </cfRule>
    <cfRule type="containsText" dxfId="355" priority="292" operator="containsText" text="ds">
      <formula>NOT(ISERROR(SEARCH("ds",AZ35)))</formula>
    </cfRule>
    <cfRule type="containsText" dxfId="354" priority="293" operator="containsText" text="subobs">
      <formula>NOT(ISERROR(SEARCH("subobs",AZ35)))</formula>
    </cfRule>
    <cfRule type="containsText" dxfId="353" priority="294" operator="containsText" text="Call">
      <formula>NOT(ISERROR(SEARCH("Call",AZ35)))</formula>
    </cfRule>
    <cfRule type="containsText" dxfId="351" priority="296" operator="containsText" text="9ab">
      <formula>NOT(ISERROR(SEARCH("9ab",AZ35)))</formula>
    </cfRule>
    <cfRule type="cellIs" dxfId="350" priority="297" stopIfTrue="1" operator="equal">
      <formula>"leave"</formula>
    </cfRule>
    <cfRule type="containsText" dxfId="349" priority="298" operator="containsText" text="ds">
      <formula>NOT(ISERROR(SEARCH("ds",AZ35)))</formula>
    </cfRule>
    <cfRule type="containsText" dxfId="348" priority="299" operator="containsText" text="subobs">
      <formula>NOT(ISERROR(SEARCH("subobs",AZ35)))</formula>
    </cfRule>
    <cfRule type="containsText" dxfId="347" priority="300" operator="containsText" text="Call">
      <formula>NOT(ISERROR(SEARCH("Call",AZ35)))</formula>
    </cfRule>
    <cfRule type="containsText" dxfId="345" priority="304" operator="containsText" text="9ab">
      <formula>NOT(ISERROR(SEARCH("9ab",AZ35)))</formula>
    </cfRule>
    <cfRule type="cellIs" dxfId="344" priority="305" stopIfTrue="1" operator="equal">
      <formula>"leave"</formula>
    </cfRule>
    <cfRule type="containsText" dxfId="343" priority="306" operator="containsText" text="ds">
      <formula>NOT(ISERROR(SEARCH("ds",AZ35)))</formula>
    </cfRule>
    <cfRule type="containsText" dxfId="342" priority="307" operator="containsText" text="subobs">
      <formula>NOT(ISERROR(SEARCH("subobs",AZ35)))</formula>
    </cfRule>
    <cfRule type="containsText" dxfId="341" priority="308" operator="containsText" text="Call">
      <formula>NOT(ISERROR(SEARCH("Call",AZ35)))</formula>
    </cfRule>
    <cfRule type="containsText" dxfId="339" priority="311" operator="containsText" text="9ab">
      <formula>NOT(ISERROR(SEARCH("9ab",AZ35)))</formula>
    </cfRule>
    <cfRule type="cellIs" dxfId="338" priority="312" stopIfTrue="1" operator="equal">
      <formula>"leave"</formula>
    </cfRule>
    <cfRule type="containsText" dxfId="337" priority="313" operator="containsText" text="ds">
      <formula>NOT(ISERROR(SEARCH("ds",AZ35)))</formula>
    </cfRule>
    <cfRule type="containsText" dxfId="336" priority="314" operator="containsText" text="subobs">
      <formula>NOT(ISERROR(SEARCH("subobs",AZ35)))</formula>
    </cfRule>
    <cfRule type="containsText" dxfId="335" priority="315" stopIfTrue="1" operator="containsText" text="(Call)">
      <formula>NOT(ISERROR(SEARCH("(Call)",AZ35)))</formula>
    </cfRule>
  </conditionalFormatting>
  <conditionalFormatting sqref="AZ34:BA40">
    <cfRule type="containsText" dxfId="333" priority="302" operator="containsText" text="b1">
      <formula>NOT(ISERROR(SEARCH("b1",AZ34)))</formula>
    </cfRule>
    <cfRule type="cellIs" dxfId="332" priority="303" operator="equal">
      <formula>0</formula>
    </cfRule>
    <cfRule type="containsText" dxfId="331" priority="310" stopIfTrue="1" operator="containsText" text="go">
      <formula>NOT(ISERROR(SEARCH("go",AZ34)))</formula>
    </cfRule>
    <cfRule type="cellIs" dxfId="330" priority="317" operator="equal">
      <formula>"ps_cover"</formula>
    </cfRule>
    <cfRule type="containsText" dxfId="329" priority="318" stopIfTrue="1" operator="containsText" text="9ab">
      <formula>NOT(ISERROR(SEARCH("9ab",AZ34)))</formula>
    </cfRule>
    <cfRule type="containsText" dxfId="328" priority="319" stopIfTrue="1" operator="containsText" text="ds">
      <formula>NOT(ISERROR(SEARCH("ds",AZ34)))</formula>
    </cfRule>
    <cfRule type="containsText" dxfId="327" priority="320" stopIfTrue="1" operator="containsText" text="subobs">
      <formula>NOT(ISERROR(SEARCH("subobs",AZ34)))</formula>
    </cfRule>
  </conditionalFormatting>
  <conditionalFormatting sqref="AZ34:BE40">
    <cfRule type="containsText" dxfId="326" priority="255" operator="containsText" text="(Call)">
      <formula>NOT(ISERROR(SEARCH("(Call)",AZ34)))</formula>
    </cfRule>
  </conditionalFormatting>
  <conditionalFormatting sqref="BA18:BE23">
    <cfRule type="cellIs" dxfId="325" priority="938" operator="equal">
      <formula>0</formula>
    </cfRule>
  </conditionalFormatting>
  <conditionalFormatting sqref="BB34:BE40">
    <cfRule type="containsText" dxfId="324" priority="256" operator="containsText" text="b1">
      <formula>NOT(ISERROR(SEARCH("b1",BB34)))</formula>
    </cfRule>
    <cfRule type="cellIs" dxfId="323" priority="257" operator="equal">
      <formula>0</formula>
    </cfRule>
    <cfRule type="containsText" dxfId="322" priority="258" stopIfTrue="1" operator="containsText" text="go">
      <formula>NOT(ISERROR(SEARCH("go",BB34)))</formula>
    </cfRule>
    <cfRule type="cellIs" dxfId="321" priority="259" operator="equal">
      <formula>"ps_cover"</formula>
    </cfRule>
    <cfRule type="containsText" dxfId="320" priority="260" stopIfTrue="1" operator="containsText" text="9ab">
      <formula>NOT(ISERROR(SEARCH("9ab",BB34)))</formula>
    </cfRule>
    <cfRule type="containsText" dxfId="319" priority="261" stopIfTrue="1" operator="containsText" text="ds">
      <formula>NOT(ISERROR(SEARCH("ds",BB34)))</formula>
    </cfRule>
    <cfRule type="containsText" dxfId="318" priority="262" stopIfTrue="1" operator="containsText" text="subobs">
      <formula>NOT(ISERROR(SEARCH("subobs",BB34)))</formula>
    </cfRule>
  </conditionalFormatting>
  <conditionalFormatting sqref="BF18:BL24">
    <cfRule type="cellIs" dxfId="317" priority="1214" operator="equal">
      <formula>0</formula>
    </cfRule>
  </conditionalFormatting>
  <conditionalFormatting sqref="BF26:BL33">
    <cfRule type="cellIs" dxfId="316" priority="960" operator="equal">
      <formula>0</formula>
    </cfRule>
  </conditionalFormatting>
  <conditionalFormatting sqref="BG18:BG23">
    <cfRule type="containsText" dxfId="315" priority="1196" operator="containsText" text="9ab">
      <formula>NOT(ISERROR(SEARCH("9ab",BG18)))</formula>
    </cfRule>
    <cfRule type="cellIs" dxfId="314" priority="1197" stopIfTrue="1" operator="equal">
      <formula>"leave"</formula>
    </cfRule>
    <cfRule type="containsText" dxfId="313" priority="1198" operator="containsText" text="ds">
      <formula>NOT(ISERROR(SEARCH("ds",BG18)))</formula>
    </cfRule>
    <cfRule type="containsText" dxfId="312" priority="1199" operator="containsText" text="subobs">
      <formula>NOT(ISERROR(SEARCH("subobs",BG18)))</formula>
    </cfRule>
    <cfRule type="containsText" dxfId="311" priority="1200" operator="containsText" text="Call">
      <formula>NOT(ISERROR(SEARCH("Call",BG18)))</formula>
    </cfRule>
    <cfRule type="containsText" dxfId="309" priority="1208" operator="containsText" text="9ab">
      <formula>NOT(ISERROR(SEARCH("9ab",BG18)))</formula>
    </cfRule>
    <cfRule type="cellIs" dxfId="308" priority="1209" stopIfTrue="1" operator="equal">
      <formula>"leave"</formula>
    </cfRule>
    <cfRule type="containsText" dxfId="307" priority="1210" operator="containsText" text="ds">
      <formula>NOT(ISERROR(SEARCH("ds",BG18)))</formula>
    </cfRule>
    <cfRule type="containsText" dxfId="306" priority="1211" operator="containsText" text="subobs">
      <formula>NOT(ISERROR(SEARCH("subobs",BG18)))</formula>
    </cfRule>
    <cfRule type="containsText" dxfId="305" priority="1212" operator="containsText" text="Call">
      <formula>NOT(ISERROR(SEARCH("Call",BG18)))</formula>
    </cfRule>
  </conditionalFormatting>
  <conditionalFormatting sqref="BG18:BG24">
    <cfRule type="containsText" dxfId="303" priority="1202" operator="containsText" text="9ab">
      <formula>NOT(ISERROR(SEARCH("9ab",BG18)))</formula>
    </cfRule>
    <cfRule type="cellIs" dxfId="302" priority="1203" stopIfTrue="1" operator="equal">
      <formula>"leave"</formula>
    </cfRule>
    <cfRule type="containsText" dxfId="301" priority="1204" operator="containsText" text="ds">
      <formula>NOT(ISERROR(SEARCH("ds",BG18)))</formula>
    </cfRule>
    <cfRule type="containsText" dxfId="300" priority="1205" operator="containsText" text="subobs">
      <formula>NOT(ISERROR(SEARCH("subobs",BG18)))</formula>
    </cfRule>
    <cfRule type="containsText" dxfId="299" priority="1206" stopIfTrue="1" operator="containsText" text="(Call)">
      <formula>NOT(ISERROR(SEARCH("(Call)",BG18)))</formula>
    </cfRule>
    <cfRule type="containsText" dxfId="297" priority="1215" operator="containsText" text="9ab">
      <formula>NOT(ISERROR(SEARCH("9ab",BG18)))</formula>
    </cfRule>
    <cfRule type="cellIs" dxfId="296" priority="1216" stopIfTrue="1" operator="equal">
      <formula>"leave"</formula>
    </cfRule>
    <cfRule type="containsText" dxfId="295" priority="1217" operator="containsText" text="ds">
      <formula>NOT(ISERROR(SEARCH("ds",BG18)))</formula>
    </cfRule>
    <cfRule type="containsText" dxfId="294" priority="1218" operator="containsText" text="subobs">
      <formula>NOT(ISERROR(SEARCH("subobs",BG18)))</formula>
    </cfRule>
    <cfRule type="containsText" dxfId="293" priority="1219" operator="containsText" text="Call">
      <formula>NOT(ISERROR(SEARCH("Call",BG18)))</formula>
    </cfRule>
  </conditionalFormatting>
  <conditionalFormatting sqref="BG26:BG31">
    <cfRule type="containsText" dxfId="291" priority="942" operator="containsText" text="9ab">
      <formula>NOT(ISERROR(SEARCH("9ab",BG26)))</formula>
    </cfRule>
    <cfRule type="cellIs" dxfId="290" priority="943" stopIfTrue="1" operator="equal">
      <formula>"leave"</formula>
    </cfRule>
    <cfRule type="containsText" dxfId="289" priority="944" operator="containsText" text="ds">
      <formula>NOT(ISERROR(SEARCH("ds",BG26)))</formula>
    </cfRule>
    <cfRule type="containsText" dxfId="288" priority="945" operator="containsText" text="subobs">
      <formula>NOT(ISERROR(SEARCH("subobs",BG26)))</formula>
    </cfRule>
    <cfRule type="containsText" dxfId="287" priority="946" operator="containsText" text="Call">
      <formula>NOT(ISERROR(SEARCH("Call",BG26)))</formula>
    </cfRule>
    <cfRule type="containsText" dxfId="285" priority="954" operator="containsText" text="9ab">
      <formula>NOT(ISERROR(SEARCH("9ab",BG26)))</formula>
    </cfRule>
    <cfRule type="cellIs" dxfId="284" priority="955" stopIfTrue="1" operator="equal">
      <formula>"leave"</formula>
    </cfRule>
    <cfRule type="containsText" dxfId="283" priority="956" operator="containsText" text="ds">
      <formula>NOT(ISERROR(SEARCH("ds",BG26)))</formula>
    </cfRule>
    <cfRule type="containsText" dxfId="282" priority="957" operator="containsText" text="subobs">
      <formula>NOT(ISERROR(SEARCH("subobs",BG26)))</formula>
    </cfRule>
    <cfRule type="containsText" dxfId="281" priority="958" operator="containsText" text="Call">
      <formula>NOT(ISERROR(SEARCH("Call",BG26)))</formula>
    </cfRule>
  </conditionalFormatting>
  <conditionalFormatting sqref="BG26:BG33">
    <cfRule type="containsText" dxfId="279" priority="948" operator="containsText" text="9ab">
      <formula>NOT(ISERROR(SEARCH("9ab",BG26)))</formula>
    </cfRule>
    <cfRule type="cellIs" dxfId="278" priority="949" stopIfTrue="1" operator="equal">
      <formula>"leave"</formula>
    </cfRule>
    <cfRule type="containsText" dxfId="277" priority="950" operator="containsText" text="ds">
      <formula>NOT(ISERROR(SEARCH("ds",BG26)))</formula>
    </cfRule>
    <cfRule type="containsText" dxfId="276" priority="951" operator="containsText" text="subobs">
      <formula>NOT(ISERROR(SEARCH("subobs",BG26)))</formula>
    </cfRule>
    <cfRule type="containsText" dxfId="275" priority="952" stopIfTrue="1" operator="containsText" text="(Call)">
      <formula>NOT(ISERROR(SEARCH("(Call)",BG26)))</formula>
    </cfRule>
    <cfRule type="containsText" dxfId="273" priority="961" operator="containsText" text="9ab">
      <formula>NOT(ISERROR(SEARCH("9ab",BG26)))</formula>
    </cfRule>
    <cfRule type="cellIs" dxfId="272" priority="962" stopIfTrue="1" operator="equal">
      <formula>"leave"</formula>
    </cfRule>
    <cfRule type="containsText" dxfId="271" priority="963" operator="containsText" text="ds">
      <formula>NOT(ISERROR(SEARCH("ds",BG26)))</formula>
    </cfRule>
    <cfRule type="containsText" dxfId="270" priority="964" operator="containsText" text="subobs">
      <formula>NOT(ISERROR(SEARCH("subobs",BG26)))</formula>
    </cfRule>
    <cfRule type="containsText" dxfId="269" priority="965" operator="containsText" text="Call">
      <formula>NOT(ISERROR(SEARCH("Call",BG26)))</formula>
    </cfRule>
  </conditionalFormatting>
  <conditionalFormatting sqref="BG35:BG40">
    <cfRule type="containsText" dxfId="267" priority="206" operator="containsText" text="9ab">
      <formula>NOT(ISERROR(SEARCH("9ab",BG35)))</formula>
    </cfRule>
    <cfRule type="cellIs" dxfId="266" priority="207" stopIfTrue="1" operator="equal">
      <formula>"leave"</formula>
    </cfRule>
    <cfRule type="containsText" dxfId="265" priority="208" operator="containsText" text="ds">
      <formula>NOT(ISERROR(SEARCH("ds",BG35)))</formula>
    </cfRule>
    <cfRule type="containsText" dxfId="264" priority="209" operator="containsText" text="subobs">
      <formula>NOT(ISERROR(SEARCH("subobs",BG35)))</formula>
    </cfRule>
    <cfRule type="containsText" dxfId="263" priority="210" operator="containsText" text="Call">
      <formula>NOT(ISERROR(SEARCH("Call",BG35)))</formula>
    </cfRule>
    <cfRule type="containsText" dxfId="261" priority="212" operator="containsText" text="9ab">
      <formula>NOT(ISERROR(SEARCH("9ab",BG35)))</formula>
    </cfRule>
    <cfRule type="cellIs" dxfId="260" priority="213" stopIfTrue="1" operator="equal">
      <formula>"leave"</formula>
    </cfRule>
    <cfRule type="containsText" dxfId="259" priority="214" operator="containsText" text="ds">
      <formula>NOT(ISERROR(SEARCH("ds",BG35)))</formula>
    </cfRule>
    <cfRule type="containsText" dxfId="258" priority="215" operator="containsText" text="subobs">
      <formula>NOT(ISERROR(SEARCH("subobs",BG35)))</formula>
    </cfRule>
    <cfRule type="containsText" dxfId="257" priority="216" stopIfTrue="1" operator="containsText" text="(Call)">
      <formula>NOT(ISERROR(SEARCH("(Call)",BG35)))</formula>
    </cfRule>
    <cfRule type="containsText" dxfId="255" priority="218" operator="containsText" text="9ab">
      <formula>NOT(ISERROR(SEARCH("9ab",BG35)))</formula>
    </cfRule>
    <cfRule type="cellIs" dxfId="254" priority="219" stopIfTrue="1" operator="equal">
      <formula>"leave"</formula>
    </cfRule>
    <cfRule type="containsText" dxfId="253" priority="220" operator="containsText" text="ds">
      <formula>NOT(ISERROR(SEARCH("ds",BG35)))</formula>
    </cfRule>
    <cfRule type="containsText" dxfId="252" priority="221" operator="containsText" text="subobs">
      <formula>NOT(ISERROR(SEARCH("subobs",BG35)))</formula>
    </cfRule>
    <cfRule type="containsText" dxfId="251" priority="222" operator="containsText" text="Call">
      <formula>NOT(ISERROR(SEARCH("Call",BG35)))</formula>
    </cfRule>
    <cfRule type="containsText" dxfId="249" priority="224" operator="containsText" text="9ab">
      <formula>NOT(ISERROR(SEARCH("9ab",BG35)))</formula>
    </cfRule>
    <cfRule type="cellIs" dxfId="248" priority="225" stopIfTrue="1" operator="equal">
      <formula>"leave"</formula>
    </cfRule>
    <cfRule type="containsText" dxfId="247" priority="226" operator="containsText" text="ds">
      <formula>NOT(ISERROR(SEARCH("ds",BG35)))</formula>
    </cfRule>
    <cfRule type="containsText" dxfId="246" priority="227" operator="containsText" text="subobs">
      <formula>NOT(ISERROR(SEARCH("subobs",BG35)))</formula>
    </cfRule>
    <cfRule type="containsText" dxfId="245" priority="228" operator="containsText" text="Call">
      <formula>NOT(ISERROR(SEARCH("Call",BG35)))</formula>
    </cfRule>
    <cfRule type="containsText" dxfId="243" priority="230" operator="containsText" text="9ab">
      <formula>NOT(ISERROR(SEARCH("9ab",BG35)))</formula>
    </cfRule>
    <cfRule type="cellIs" dxfId="242" priority="231" stopIfTrue="1" operator="equal">
      <formula>"leave"</formula>
    </cfRule>
    <cfRule type="containsText" dxfId="241" priority="232" operator="containsText" text="ds">
      <formula>NOT(ISERROR(SEARCH("ds",BG35)))</formula>
    </cfRule>
    <cfRule type="containsText" dxfId="240" priority="233" operator="containsText" text="subobs">
      <formula>NOT(ISERROR(SEARCH("subobs",BG35)))</formula>
    </cfRule>
    <cfRule type="containsText" dxfId="239" priority="234" operator="containsText" text="Call">
      <formula>NOT(ISERROR(SEARCH("Call",BG35)))</formula>
    </cfRule>
    <cfRule type="containsText" dxfId="237" priority="238" operator="containsText" text="9ab">
      <formula>NOT(ISERROR(SEARCH("9ab",BG35)))</formula>
    </cfRule>
    <cfRule type="cellIs" dxfId="236" priority="239" stopIfTrue="1" operator="equal">
      <formula>"leave"</formula>
    </cfRule>
    <cfRule type="containsText" dxfId="235" priority="240" operator="containsText" text="ds">
      <formula>NOT(ISERROR(SEARCH("ds",BG35)))</formula>
    </cfRule>
    <cfRule type="containsText" dxfId="234" priority="241" operator="containsText" text="subobs">
      <formula>NOT(ISERROR(SEARCH("subobs",BG35)))</formula>
    </cfRule>
    <cfRule type="containsText" dxfId="233" priority="242" operator="containsText" text="Call">
      <formula>NOT(ISERROR(SEARCH("Call",BG35)))</formula>
    </cfRule>
    <cfRule type="containsText" dxfId="231" priority="245" operator="containsText" text="9ab">
      <formula>NOT(ISERROR(SEARCH("9ab",BG35)))</formula>
    </cfRule>
    <cfRule type="cellIs" dxfId="230" priority="246" stopIfTrue="1" operator="equal">
      <formula>"leave"</formula>
    </cfRule>
    <cfRule type="containsText" dxfId="229" priority="247" operator="containsText" text="ds">
      <formula>NOT(ISERROR(SEARCH("ds",BG35)))</formula>
    </cfRule>
    <cfRule type="containsText" dxfId="228" priority="248" operator="containsText" text="subobs">
      <formula>NOT(ISERROR(SEARCH("subobs",BG35)))</formula>
    </cfRule>
    <cfRule type="containsText" dxfId="227" priority="249" stopIfTrue="1" operator="containsText" text="(Call)">
      <formula>NOT(ISERROR(SEARCH("(Call)",BG35)))</formula>
    </cfRule>
  </conditionalFormatting>
  <conditionalFormatting sqref="BG34:BH40">
    <cfRule type="containsText" dxfId="225" priority="236" operator="containsText" text="b1">
      <formula>NOT(ISERROR(SEARCH("b1",BG34)))</formula>
    </cfRule>
    <cfRule type="cellIs" dxfId="224" priority="237" operator="equal">
      <formula>0</formula>
    </cfRule>
    <cfRule type="containsText" dxfId="223" priority="244" stopIfTrue="1" operator="containsText" text="go">
      <formula>NOT(ISERROR(SEARCH("go",BG34)))</formula>
    </cfRule>
    <cfRule type="cellIs" dxfId="222" priority="251" operator="equal">
      <formula>"ps_cover"</formula>
    </cfRule>
    <cfRule type="containsText" dxfId="221" priority="252" stopIfTrue="1" operator="containsText" text="9ab">
      <formula>NOT(ISERROR(SEARCH("9ab",BG34)))</formula>
    </cfRule>
    <cfRule type="containsText" dxfId="220" priority="253" stopIfTrue="1" operator="containsText" text="ds">
      <formula>NOT(ISERROR(SEARCH("ds",BG34)))</formula>
    </cfRule>
    <cfRule type="containsText" dxfId="219" priority="254" stopIfTrue="1" operator="containsText" text="subobs">
      <formula>NOT(ISERROR(SEARCH("subobs",BG34)))</formula>
    </cfRule>
  </conditionalFormatting>
  <conditionalFormatting sqref="BG34:BL40">
    <cfRule type="containsText" dxfId="218" priority="189" operator="containsText" text="(Call)">
      <formula>NOT(ISERROR(SEARCH("(Call)",BG34)))</formula>
    </cfRule>
  </conditionalFormatting>
  <conditionalFormatting sqref="BH18:BH24">
    <cfRule type="cellIs" dxfId="217" priority="849" operator="equal">
      <formula>0</formula>
    </cfRule>
  </conditionalFormatting>
  <conditionalFormatting sqref="BI34:BL40">
    <cfRule type="containsText" dxfId="216" priority="190" operator="containsText" text="b1">
      <formula>NOT(ISERROR(SEARCH("b1",BI34)))</formula>
    </cfRule>
    <cfRule type="cellIs" dxfId="215" priority="191" operator="equal">
      <formula>0</formula>
    </cfRule>
    <cfRule type="containsText" dxfId="214" priority="192" stopIfTrue="1" operator="containsText" text="go">
      <formula>NOT(ISERROR(SEARCH("go",BI34)))</formula>
    </cfRule>
    <cfRule type="cellIs" dxfId="213" priority="193" operator="equal">
      <formula>"ps_cover"</formula>
    </cfRule>
    <cfRule type="containsText" dxfId="212" priority="194" stopIfTrue="1" operator="containsText" text="9ab">
      <formula>NOT(ISERROR(SEARCH("9ab",BI34)))</formula>
    </cfRule>
    <cfRule type="containsText" dxfId="211" priority="195" stopIfTrue="1" operator="containsText" text="ds">
      <formula>NOT(ISERROR(SEARCH("ds",BI34)))</formula>
    </cfRule>
    <cfRule type="containsText" dxfId="210" priority="196" stopIfTrue="1" operator="containsText" text="subobs">
      <formula>NOT(ISERROR(SEARCH("subobs",BI34)))</formula>
    </cfRule>
  </conditionalFormatting>
  <conditionalFormatting sqref="BK2:BK16">
    <cfRule type="containsText" dxfId="209" priority="1188" stopIfTrue="1" operator="containsText" text="b1">
      <formula>NOT(ISERROR(SEARCH("b1",BK2)))</formula>
    </cfRule>
    <cfRule type="containsText" dxfId="208" priority="1189" operator="containsText" text="go">
      <formula>NOT(ISERROR(SEARCH("go",BK2)))</formula>
    </cfRule>
    <cfRule type="cellIs" dxfId="207" priority="1190" operator="equal">
      <formula>"post_call_cover"</formula>
    </cfRule>
    <cfRule type="containsText" dxfId="206" priority="1191" operator="containsText" text="9ab">
      <formula>NOT(ISERROR(SEARCH("9ab",BK2)))</formula>
    </cfRule>
    <cfRule type="cellIs" dxfId="205" priority="1192" stopIfTrue="1" operator="equal">
      <formula>"leave"</formula>
    </cfRule>
    <cfRule type="containsText" dxfId="204" priority="1193" operator="containsText" text="ds">
      <formula>NOT(ISERROR(SEARCH("ds",BK2)))</formula>
    </cfRule>
    <cfRule type="containsText" dxfId="203" priority="1194" operator="containsText" text="subobs">
      <formula>NOT(ISERROR(SEARCH("subobs",BK2)))</formula>
    </cfRule>
    <cfRule type="containsText" dxfId="202" priority="1195" operator="containsText" text="(Call)">
      <formula>NOT(ISERROR(SEARCH("(Call)",BK2)))</formula>
    </cfRule>
  </conditionalFormatting>
  <conditionalFormatting sqref="A35:A40">
    <cfRule type="containsText" dxfId="201" priority="140" operator="containsText" text="9ab">
      <formula>NOT(ISERROR(SEARCH("9ab",A35)))</formula>
    </cfRule>
    <cfRule type="cellIs" dxfId="200" priority="141" stopIfTrue="1" operator="equal">
      <formula>"leave"</formula>
    </cfRule>
    <cfRule type="containsText" dxfId="199" priority="142" operator="containsText" text="ds">
      <formula>NOT(ISERROR(SEARCH("ds",A35)))</formula>
    </cfRule>
    <cfRule type="containsText" dxfId="198" priority="143" operator="containsText" text="subobs">
      <formula>NOT(ISERROR(SEARCH("subobs",A35)))</formula>
    </cfRule>
    <cfRule type="containsText" dxfId="197" priority="144" operator="containsText" text="Call">
      <formula>NOT(ISERROR(SEARCH("Call",A35)))</formula>
    </cfRule>
    <cfRule type="containsText" dxfId="195" priority="146" operator="containsText" text="9ab">
      <formula>NOT(ISERROR(SEARCH("9ab",A35)))</formula>
    </cfRule>
    <cfRule type="cellIs" dxfId="194" priority="147" stopIfTrue="1" operator="equal">
      <formula>"leave"</formula>
    </cfRule>
    <cfRule type="containsText" dxfId="193" priority="148" operator="containsText" text="ds">
      <formula>NOT(ISERROR(SEARCH("ds",A35)))</formula>
    </cfRule>
    <cfRule type="containsText" dxfId="192" priority="149" operator="containsText" text="subobs">
      <formula>NOT(ISERROR(SEARCH("subobs",A35)))</formula>
    </cfRule>
    <cfRule type="containsText" dxfId="191" priority="150" stopIfTrue="1" operator="containsText" text="(Call)">
      <formula>NOT(ISERROR(SEARCH("(Call)",A35)))</formula>
    </cfRule>
    <cfRule type="containsText" dxfId="189" priority="152" operator="containsText" text="9ab">
      <formula>NOT(ISERROR(SEARCH("9ab",A35)))</formula>
    </cfRule>
    <cfRule type="cellIs" dxfId="188" priority="153" stopIfTrue="1" operator="equal">
      <formula>"leave"</formula>
    </cfRule>
    <cfRule type="containsText" dxfId="187" priority="154" operator="containsText" text="ds">
      <formula>NOT(ISERROR(SEARCH("ds",A35)))</formula>
    </cfRule>
    <cfRule type="containsText" dxfId="186" priority="155" operator="containsText" text="subobs">
      <formula>NOT(ISERROR(SEARCH("subobs",A35)))</formula>
    </cfRule>
    <cfRule type="containsText" dxfId="185" priority="156" operator="containsText" text="Call">
      <formula>NOT(ISERROR(SEARCH("Call",A35)))</formula>
    </cfRule>
    <cfRule type="containsText" dxfId="183" priority="158" operator="containsText" text="9ab">
      <formula>NOT(ISERROR(SEARCH("9ab",A35)))</formula>
    </cfRule>
    <cfRule type="cellIs" dxfId="182" priority="159" stopIfTrue="1" operator="equal">
      <formula>"leave"</formula>
    </cfRule>
    <cfRule type="containsText" dxfId="181" priority="160" operator="containsText" text="ds">
      <formula>NOT(ISERROR(SEARCH("ds",A35)))</formula>
    </cfRule>
    <cfRule type="containsText" dxfId="180" priority="161" operator="containsText" text="subobs">
      <formula>NOT(ISERROR(SEARCH("subobs",A35)))</formula>
    </cfRule>
    <cfRule type="containsText" dxfId="179" priority="162" operator="containsText" text="Call">
      <formula>NOT(ISERROR(SEARCH("Call",A35)))</formula>
    </cfRule>
    <cfRule type="containsText" dxfId="177" priority="164" operator="containsText" text="9ab">
      <formula>NOT(ISERROR(SEARCH("9ab",A35)))</formula>
    </cfRule>
    <cfRule type="cellIs" dxfId="176" priority="165" stopIfTrue="1" operator="equal">
      <formula>"leave"</formula>
    </cfRule>
    <cfRule type="containsText" dxfId="175" priority="166" operator="containsText" text="ds">
      <formula>NOT(ISERROR(SEARCH("ds",A35)))</formula>
    </cfRule>
    <cfRule type="containsText" dxfId="174" priority="167" operator="containsText" text="subobs">
      <formula>NOT(ISERROR(SEARCH("subobs",A35)))</formula>
    </cfRule>
    <cfRule type="containsText" dxfId="173" priority="168" operator="containsText" text="Call">
      <formula>NOT(ISERROR(SEARCH("Call",A35)))</formula>
    </cfRule>
    <cfRule type="containsText" dxfId="171" priority="172" operator="containsText" text="9ab">
      <formula>NOT(ISERROR(SEARCH("9ab",A35)))</formula>
    </cfRule>
    <cfRule type="cellIs" dxfId="170" priority="173" stopIfTrue="1" operator="equal">
      <formula>"leave"</formula>
    </cfRule>
    <cfRule type="containsText" dxfId="169" priority="174" operator="containsText" text="ds">
      <formula>NOT(ISERROR(SEARCH("ds",A35)))</formula>
    </cfRule>
    <cfRule type="containsText" dxfId="168" priority="175" operator="containsText" text="subobs">
      <formula>NOT(ISERROR(SEARCH("subobs",A35)))</formula>
    </cfRule>
    <cfRule type="containsText" dxfId="167" priority="176" operator="containsText" text="Call">
      <formula>NOT(ISERROR(SEARCH("Call",A35)))</formula>
    </cfRule>
    <cfRule type="containsText" dxfId="165" priority="179" operator="containsText" text="9ab">
      <formula>NOT(ISERROR(SEARCH("9ab",A35)))</formula>
    </cfRule>
    <cfRule type="cellIs" dxfId="164" priority="180" stopIfTrue="1" operator="equal">
      <formula>"leave"</formula>
    </cfRule>
    <cfRule type="containsText" dxfId="163" priority="181" operator="containsText" text="ds">
      <formula>NOT(ISERROR(SEARCH("ds",A35)))</formula>
    </cfRule>
    <cfRule type="containsText" dxfId="162" priority="182" operator="containsText" text="subobs">
      <formula>NOT(ISERROR(SEARCH("subobs",A35)))</formula>
    </cfRule>
    <cfRule type="containsText" dxfId="161" priority="183" stopIfTrue="1" operator="containsText" text="(Call)">
      <formula>NOT(ISERROR(SEARCH("(Call)",A35)))</formula>
    </cfRule>
  </conditionalFormatting>
  <conditionalFormatting sqref="A35:A40">
    <cfRule type="containsText" dxfId="159" priority="170" operator="containsText" text="b1">
      <formula>NOT(ISERROR(SEARCH("b1",A35)))</formula>
    </cfRule>
    <cfRule type="cellIs" dxfId="158" priority="171" operator="equal">
      <formula>0</formula>
    </cfRule>
    <cfRule type="containsText" dxfId="157" priority="178" stopIfTrue="1" operator="containsText" text="go">
      <formula>NOT(ISERROR(SEARCH("go",A35)))</formula>
    </cfRule>
    <cfRule type="cellIs" dxfId="156" priority="185" operator="equal">
      <formula>"ps_cover"</formula>
    </cfRule>
    <cfRule type="containsText" dxfId="155" priority="186" stopIfTrue="1" operator="containsText" text="9ab">
      <formula>NOT(ISERROR(SEARCH("9ab",A35)))</formula>
    </cfRule>
    <cfRule type="containsText" dxfId="154" priority="187" stopIfTrue="1" operator="containsText" text="ds">
      <formula>NOT(ISERROR(SEARCH("ds",A35)))</formula>
    </cfRule>
    <cfRule type="containsText" dxfId="153" priority="188" stopIfTrue="1" operator="containsText" text="subobs">
      <formula>NOT(ISERROR(SEARCH("subobs",A35)))</formula>
    </cfRule>
  </conditionalFormatting>
  <conditionalFormatting sqref="A35:A40">
    <cfRule type="containsText" dxfId="152" priority="139" operator="containsText" text="(Call)">
      <formula>NOT(ISERROR(SEARCH("(Call)",A35)))</formula>
    </cfRule>
  </conditionalFormatting>
  <conditionalFormatting sqref="A34">
    <cfRule type="containsText" dxfId="151" priority="131" operator="containsText" text="(Call)">
      <formula>NOT(ISERROR(SEARCH("(Call)",A34)))</formula>
    </cfRule>
    <cfRule type="cellIs" dxfId="150" priority="133" operator="equal">
      <formula>0</formula>
    </cfRule>
    <cfRule type="containsText" dxfId="149" priority="136" stopIfTrue="1" operator="containsText" text="9ab">
      <formula>NOT(ISERROR(SEARCH("9ab",A34)))</formula>
    </cfRule>
    <cfRule type="containsText" dxfId="148" priority="137" stopIfTrue="1" operator="containsText" text="ds">
      <formula>NOT(ISERROR(SEARCH("ds",A34)))</formula>
    </cfRule>
    <cfRule type="containsText" dxfId="147" priority="138" stopIfTrue="1" operator="containsText" text="subobs">
      <formula>NOT(ISERROR(SEARCH("subobs",A34)))</formula>
    </cfRule>
  </conditionalFormatting>
  <conditionalFormatting sqref="A34">
    <cfRule type="containsText" dxfId="146" priority="134" stopIfTrue="1" operator="containsText" text="go">
      <formula>NOT(ISERROR(SEARCH("go",A34)))</formula>
    </cfRule>
    <cfRule type="cellIs" dxfId="145" priority="135" operator="equal">
      <formula>"ps_cover"</formula>
    </cfRule>
  </conditionalFormatting>
  <conditionalFormatting sqref="A34">
    <cfRule type="containsText" dxfId="144" priority="132" operator="containsText" text="b1">
      <formula>NOT(ISERROR(SEARCH("b1",A34)))</formula>
    </cfRule>
  </conditionalFormatting>
  <conditionalFormatting sqref="K35:O40">
    <cfRule type="containsText" dxfId="143" priority="124" operator="containsText" text="b1">
      <formula>NOT(ISERROR(SEARCH("b1",K35)))</formula>
    </cfRule>
    <cfRule type="cellIs" dxfId="142" priority="125" operator="equal">
      <formula>0</formula>
    </cfRule>
    <cfRule type="containsText" dxfId="141" priority="126" stopIfTrue="1" operator="containsText" text="go">
      <formula>NOT(ISERROR(SEARCH("go",K35)))</formula>
    </cfRule>
    <cfRule type="cellIs" dxfId="140" priority="127" operator="equal">
      <formula>"ps_cover"</formula>
    </cfRule>
    <cfRule type="containsText" dxfId="139" priority="128" stopIfTrue="1" operator="containsText" text="9ab">
      <formula>NOT(ISERROR(SEARCH("9ab",K35)))</formula>
    </cfRule>
    <cfRule type="containsText" dxfId="138" priority="129" stopIfTrue="1" operator="containsText" text="ds">
      <formula>NOT(ISERROR(SEARCH("ds",K35)))</formula>
    </cfRule>
    <cfRule type="containsText" dxfId="137" priority="130" stopIfTrue="1" operator="containsText" text="subobs">
      <formula>NOT(ISERROR(SEARCH("subobs",K35)))</formula>
    </cfRule>
  </conditionalFormatting>
  <conditionalFormatting sqref="K35:O40">
    <cfRule type="containsText" dxfId="136" priority="116" operator="containsText" text="(Call)">
      <formula>NOT(ISERROR(SEARCH("(Call)",K35)))</formula>
    </cfRule>
  </conditionalFormatting>
  <conditionalFormatting sqref="L35:O40">
    <cfRule type="containsText" dxfId="135" priority="117" operator="containsText" text="b1">
      <formula>NOT(ISERROR(SEARCH("b1",L35)))</formula>
    </cfRule>
    <cfRule type="cellIs" dxfId="134" priority="118" operator="equal">
      <formula>0</formula>
    </cfRule>
    <cfRule type="containsText" dxfId="133" priority="119" stopIfTrue="1" operator="containsText" text="go">
      <formula>NOT(ISERROR(SEARCH("go",L35)))</formula>
    </cfRule>
    <cfRule type="cellIs" dxfId="132" priority="120" operator="equal">
      <formula>"ps_cover"</formula>
    </cfRule>
    <cfRule type="containsText" dxfId="131" priority="121" stopIfTrue="1" operator="containsText" text="9ab">
      <formula>NOT(ISERROR(SEARCH("9ab",L35)))</formula>
    </cfRule>
    <cfRule type="containsText" dxfId="130" priority="122" stopIfTrue="1" operator="containsText" text="ds">
      <formula>NOT(ISERROR(SEARCH("ds",L35)))</formula>
    </cfRule>
    <cfRule type="containsText" dxfId="129" priority="123" stopIfTrue="1" operator="containsText" text="subobs">
      <formula>NOT(ISERROR(SEARCH("subobs",L35)))</formula>
    </cfRule>
  </conditionalFormatting>
  <conditionalFormatting sqref="R35:V40">
    <cfRule type="containsText" dxfId="128" priority="109" operator="containsText" text="b1">
      <formula>NOT(ISERROR(SEARCH("b1",R35)))</formula>
    </cfRule>
    <cfRule type="cellIs" dxfId="127" priority="110" operator="equal">
      <formula>0</formula>
    </cfRule>
    <cfRule type="containsText" dxfId="126" priority="111" stopIfTrue="1" operator="containsText" text="go">
      <formula>NOT(ISERROR(SEARCH("go",R35)))</formula>
    </cfRule>
    <cfRule type="cellIs" dxfId="125" priority="112" operator="equal">
      <formula>"ps_cover"</formula>
    </cfRule>
    <cfRule type="containsText" dxfId="124" priority="113" stopIfTrue="1" operator="containsText" text="9ab">
      <formula>NOT(ISERROR(SEARCH("9ab",R35)))</formula>
    </cfRule>
    <cfRule type="containsText" dxfId="123" priority="114" stopIfTrue="1" operator="containsText" text="ds">
      <formula>NOT(ISERROR(SEARCH("ds",R35)))</formula>
    </cfRule>
    <cfRule type="containsText" dxfId="122" priority="115" stopIfTrue="1" operator="containsText" text="subobs">
      <formula>NOT(ISERROR(SEARCH("subobs",R35)))</formula>
    </cfRule>
  </conditionalFormatting>
  <conditionalFormatting sqref="R35:V40">
    <cfRule type="containsText" dxfId="121" priority="101" operator="containsText" text="(Call)">
      <formula>NOT(ISERROR(SEARCH("(Call)",R35)))</formula>
    </cfRule>
  </conditionalFormatting>
  <conditionalFormatting sqref="S35:V40">
    <cfRule type="containsText" dxfId="120" priority="102" operator="containsText" text="b1">
      <formula>NOT(ISERROR(SEARCH("b1",S35)))</formula>
    </cfRule>
    <cfRule type="cellIs" dxfId="119" priority="103" operator="equal">
      <formula>0</formula>
    </cfRule>
    <cfRule type="containsText" dxfId="118" priority="104" stopIfTrue="1" operator="containsText" text="go">
      <formula>NOT(ISERROR(SEARCH("go",S35)))</formula>
    </cfRule>
    <cfRule type="cellIs" dxfId="117" priority="105" operator="equal">
      <formula>"ps_cover"</formula>
    </cfRule>
    <cfRule type="containsText" dxfId="116" priority="106" stopIfTrue="1" operator="containsText" text="9ab">
      <formula>NOT(ISERROR(SEARCH("9ab",S35)))</formula>
    </cfRule>
    <cfRule type="containsText" dxfId="115" priority="107" stopIfTrue="1" operator="containsText" text="ds">
      <formula>NOT(ISERROR(SEARCH("ds",S35)))</formula>
    </cfRule>
    <cfRule type="containsText" dxfId="114" priority="108" stopIfTrue="1" operator="containsText" text="subobs">
      <formula>NOT(ISERROR(SEARCH("subobs",S35)))</formula>
    </cfRule>
  </conditionalFormatting>
  <conditionalFormatting sqref="Y35:AC40">
    <cfRule type="containsText" dxfId="113" priority="94" operator="containsText" text="b1">
      <formula>NOT(ISERROR(SEARCH("b1",Y35)))</formula>
    </cfRule>
    <cfRule type="cellIs" dxfId="112" priority="95" operator="equal">
      <formula>0</formula>
    </cfRule>
    <cfRule type="containsText" dxfId="111" priority="96" stopIfTrue="1" operator="containsText" text="go">
      <formula>NOT(ISERROR(SEARCH("go",Y35)))</formula>
    </cfRule>
    <cfRule type="cellIs" dxfId="110" priority="97" operator="equal">
      <formula>"ps_cover"</formula>
    </cfRule>
    <cfRule type="containsText" dxfId="109" priority="98" stopIfTrue="1" operator="containsText" text="9ab">
      <formula>NOT(ISERROR(SEARCH("9ab",Y35)))</formula>
    </cfRule>
    <cfRule type="containsText" dxfId="108" priority="99" stopIfTrue="1" operator="containsText" text="ds">
      <formula>NOT(ISERROR(SEARCH("ds",Y35)))</formula>
    </cfRule>
    <cfRule type="containsText" dxfId="107" priority="100" stopIfTrue="1" operator="containsText" text="subobs">
      <formula>NOT(ISERROR(SEARCH("subobs",Y35)))</formula>
    </cfRule>
  </conditionalFormatting>
  <conditionalFormatting sqref="Y35:AC40">
    <cfRule type="containsText" dxfId="106" priority="86" operator="containsText" text="(Call)">
      <formula>NOT(ISERROR(SEARCH("(Call)",Y35)))</formula>
    </cfRule>
  </conditionalFormatting>
  <conditionalFormatting sqref="Z35:AC40">
    <cfRule type="containsText" dxfId="105" priority="87" operator="containsText" text="b1">
      <formula>NOT(ISERROR(SEARCH("b1",Z35)))</formula>
    </cfRule>
    <cfRule type="cellIs" dxfId="104" priority="88" operator="equal">
      <formula>0</formula>
    </cfRule>
    <cfRule type="containsText" dxfId="103" priority="89" stopIfTrue="1" operator="containsText" text="go">
      <formula>NOT(ISERROR(SEARCH("go",Z35)))</formula>
    </cfRule>
    <cfRule type="cellIs" dxfId="102" priority="90" operator="equal">
      <formula>"ps_cover"</formula>
    </cfRule>
    <cfRule type="containsText" dxfId="101" priority="91" stopIfTrue="1" operator="containsText" text="9ab">
      <formula>NOT(ISERROR(SEARCH("9ab",Z35)))</formula>
    </cfRule>
    <cfRule type="containsText" dxfId="100" priority="92" stopIfTrue="1" operator="containsText" text="ds">
      <formula>NOT(ISERROR(SEARCH("ds",Z35)))</formula>
    </cfRule>
    <cfRule type="containsText" dxfId="99" priority="93" stopIfTrue="1" operator="containsText" text="subobs">
      <formula>NOT(ISERROR(SEARCH("subobs",Z35)))</formula>
    </cfRule>
  </conditionalFormatting>
  <conditionalFormatting sqref="AF35:AJ40">
    <cfRule type="containsText" dxfId="98" priority="79" operator="containsText" text="b1">
      <formula>NOT(ISERROR(SEARCH("b1",AF35)))</formula>
    </cfRule>
    <cfRule type="cellIs" dxfId="97" priority="80" operator="equal">
      <formula>0</formula>
    </cfRule>
    <cfRule type="containsText" dxfId="96" priority="81" stopIfTrue="1" operator="containsText" text="go">
      <formula>NOT(ISERROR(SEARCH("go",AF35)))</formula>
    </cfRule>
    <cfRule type="cellIs" dxfId="95" priority="82" operator="equal">
      <formula>"ps_cover"</formula>
    </cfRule>
    <cfRule type="containsText" dxfId="94" priority="83" stopIfTrue="1" operator="containsText" text="9ab">
      <formula>NOT(ISERROR(SEARCH("9ab",AF35)))</formula>
    </cfRule>
    <cfRule type="containsText" dxfId="93" priority="84" stopIfTrue="1" operator="containsText" text="ds">
      <formula>NOT(ISERROR(SEARCH("ds",AF35)))</formula>
    </cfRule>
    <cfRule type="containsText" dxfId="92" priority="85" stopIfTrue="1" operator="containsText" text="subobs">
      <formula>NOT(ISERROR(SEARCH("subobs",AF35)))</formula>
    </cfRule>
  </conditionalFormatting>
  <conditionalFormatting sqref="AF35:AJ40">
    <cfRule type="containsText" dxfId="91" priority="71" operator="containsText" text="(Call)">
      <formula>NOT(ISERROR(SEARCH("(Call)",AF35)))</formula>
    </cfRule>
  </conditionalFormatting>
  <conditionalFormatting sqref="AG35:AJ40">
    <cfRule type="containsText" dxfId="90" priority="72" operator="containsText" text="b1">
      <formula>NOT(ISERROR(SEARCH("b1",AG35)))</formula>
    </cfRule>
    <cfRule type="cellIs" dxfId="89" priority="73" operator="equal">
      <formula>0</formula>
    </cfRule>
    <cfRule type="containsText" dxfId="88" priority="74" stopIfTrue="1" operator="containsText" text="go">
      <formula>NOT(ISERROR(SEARCH("go",AG35)))</formula>
    </cfRule>
    <cfRule type="cellIs" dxfId="87" priority="75" operator="equal">
      <formula>"ps_cover"</formula>
    </cfRule>
    <cfRule type="containsText" dxfId="86" priority="76" stopIfTrue="1" operator="containsText" text="9ab">
      <formula>NOT(ISERROR(SEARCH("9ab",AG35)))</formula>
    </cfRule>
    <cfRule type="containsText" dxfId="85" priority="77" stopIfTrue="1" operator="containsText" text="ds">
      <formula>NOT(ISERROR(SEARCH("ds",AG35)))</formula>
    </cfRule>
    <cfRule type="containsText" dxfId="84" priority="78" stopIfTrue="1" operator="containsText" text="subobs">
      <formula>NOT(ISERROR(SEARCH("subobs",AG35)))</formula>
    </cfRule>
  </conditionalFormatting>
  <conditionalFormatting sqref="AM35:AQ40">
    <cfRule type="containsText" dxfId="83" priority="64" operator="containsText" text="b1">
      <formula>NOT(ISERROR(SEARCH("b1",AM35)))</formula>
    </cfRule>
    <cfRule type="cellIs" dxfId="82" priority="65" operator="equal">
      <formula>0</formula>
    </cfRule>
    <cfRule type="containsText" dxfId="81" priority="66" stopIfTrue="1" operator="containsText" text="go">
      <formula>NOT(ISERROR(SEARCH("go",AM35)))</formula>
    </cfRule>
    <cfRule type="cellIs" dxfId="80" priority="67" operator="equal">
      <formula>"ps_cover"</formula>
    </cfRule>
    <cfRule type="containsText" dxfId="79" priority="68" stopIfTrue="1" operator="containsText" text="9ab">
      <formula>NOT(ISERROR(SEARCH("9ab",AM35)))</formula>
    </cfRule>
    <cfRule type="containsText" dxfId="78" priority="69" stopIfTrue="1" operator="containsText" text="ds">
      <formula>NOT(ISERROR(SEARCH("ds",AM35)))</formula>
    </cfRule>
    <cfRule type="containsText" dxfId="77" priority="70" stopIfTrue="1" operator="containsText" text="subobs">
      <formula>NOT(ISERROR(SEARCH("subobs",AM35)))</formula>
    </cfRule>
  </conditionalFormatting>
  <conditionalFormatting sqref="AM35:AQ40">
    <cfRule type="containsText" dxfId="76" priority="56" operator="containsText" text="(Call)">
      <formula>NOT(ISERROR(SEARCH("(Call)",AM35)))</formula>
    </cfRule>
  </conditionalFormatting>
  <conditionalFormatting sqref="AN35:AQ40">
    <cfRule type="containsText" dxfId="75" priority="57" operator="containsText" text="b1">
      <formula>NOT(ISERROR(SEARCH("b1",AN35)))</formula>
    </cfRule>
    <cfRule type="cellIs" dxfId="74" priority="58" operator="equal">
      <formula>0</formula>
    </cfRule>
    <cfRule type="containsText" dxfId="73" priority="59" stopIfTrue="1" operator="containsText" text="go">
      <formula>NOT(ISERROR(SEARCH("go",AN35)))</formula>
    </cfRule>
    <cfRule type="cellIs" dxfId="72" priority="60" operator="equal">
      <formula>"ps_cover"</formula>
    </cfRule>
    <cfRule type="containsText" dxfId="71" priority="61" stopIfTrue="1" operator="containsText" text="9ab">
      <formula>NOT(ISERROR(SEARCH("9ab",AN35)))</formula>
    </cfRule>
    <cfRule type="containsText" dxfId="70" priority="62" stopIfTrue="1" operator="containsText" text="ds">
      <formula>NOT(ISERROR(SEARCH("ds",AN35)))</formula>
    </cfRule>
    <cfRule type="containsText" dxfId="69" priority="63" stopIfTrue="1" operator="containsText" text="subobs">
      <formula>NOT(ISERROR(SEARCH("subobs",AN35)))</formula>
    </cfRule>
  </conditionalFormatting>
  <conditionalFormatting sqref="AT35:AX40">
    <cfRule type="containsText" dxfId="68" priority="49" operator="containsText" text="b1">
      <formula>NOT(ISERROR(SEARCH("b1",AT35)))</formula>
    </cfRule>
    <cfRule type="cellIs" dxfId="67" priority="50" operator="equal">
      <formula>0</formula>
    </cfRule>
    <cfRule type="containsText" dxfId="66" priority="51" stopIfTrue="1" operator="containsText" text="go">
      <formula>NOT(ISERROR(SEARCH("go",AT35)))</formula>
    </cfRule>
    <cfRule type="cellIs" dxfId="65" priority="52" operator="equal">
      <formula>"ps_cover"</formula>
    </cfRule>
    <cfRule type="containsText" dxfId="64" priority="53" stopIfTrue="1" operator="containsText" text="9ab">
      <formula>NOT(ISERROR(SEARCH("9ab",AT35)))</formula>
    </cfRule>
    <cfRule type="containsText" dxfId="63" priority="54" stopIfTrue="1" operator="containsText" text="ds">
      <formula>NOT(ISERROR(SEARCH("ds",AT35)))</formula>
    </cfRule>
    <cfRule type="containsText" dxfId="62" priority="55" stopIfTrue="1" operator="containsText" text="subobs">
      <formula>NOT(ISERROR(SEARCH("subobs",AT35)))</formula>
    </cfRule>
  </conditionalFormatting>
  <conditionalFormatting sqref="AT35:AX40">
    <cfRule type="containsText" dxfId="61" priority="41" operator="containsText" text="(Call)">
      <formula>NOT(ISERROR(SEARCH("(Call)",AT35)))</formula>
    </cfRule>
  </conditionalFormatting>
  <conditionalFormatting sqref="AU35:AX40">
    <cfRule type="containsText" dxfId="60" priority="42" operator="containsText" text="b1">
      <formula>NOT(ISERROR(SEARCH("b1",AU35)))</formula>
    </cfRule>
    <cfRule type="cellIs" dxfId="59" priority="43" operator="equal">
      <formula>0</formula>
    </cfRule>
    <cfRule type="containsText" dxfId="58" priority="44" stopIfTrue="1" operator="containsText" text="go">
      <formula>NOT(ISERROR(SEARCH("go",AU35)))</formula>
    </cfRule>
    <cfRule type="cellIs" dxfId="57" priority="45" operator="equal">
      <formula>"ps_cover"</formula>
    </cfRule>
    <cfRule type="containsText" dxfId="56" priority="46" stopIfTrue="1" operator="containsText" text="9ab">
      <formula>NOT(ISERROR(SEARCH("9ab",AU35)))</formula>
    </cfRule>
    <cfRule type="containsText" dxfId="55" priority="47" stopIfTrue="1" operator="containsText" text="ds">
      <formula>NOT(ISERROR(SEARCH("ds",AU35)))</formula>
    </cfRule>
    <cfRule type="containsText" dxfId="54" priority="48" stopIfTrue="1" operator="containsText" text="subobs">
      <formula>NOT(ISERROR(SEARCH("subobs",AU35)))</formula>
    </cfRule>
  </conditionalFormatting>
  <conditionalFormatting sqref="BA35:BE40">
    <cfRule type="containsText" dxfId="53" priority="34" operator="containsText" text="b1">
      <formula>NOT(ISERROR(SEARCH("b1",BA35)))</formula>
    </cfRule>
    <cfRule type="cellIs" dxfId="52" priority="35" operator="equal">
      <formula>0</formula>
    </cfRule>
    <cfRule type="containsText" dxfId="51" priority="36" stopIfTrue="1" operator="containsText" text="go">
      <formula>NOT(ISERROR(SEARCH("go",BA35)))</formula>
    </cfRule>
    <cfRule type="cellIs" dxfId="50" priority="37" operator="equal">
      <formula>"ps_cover"</formula>
    </cfRule>
    <cfRule type="containsText" dxfId="49" priority="38" stopIfTrue="1" operator="containsText" text="9ab">
      <formula>NOT(ISERROR(SEARCH("9ab",BA35)))</formula>
    </cfRule>
    <cfRule type="containsText" dxfId="48" priority="39" stopIfTrue="1" operator="containsText" text="ds">
      <formula>NOT(ISERROR(SEARCH("ds",BA35)))</formula>
    </cfRule>
    <cfRule type="containsText" dxfId="47" priority="40" stopIfTrue="1" operator="containsText" text="subobs">
      <formula>NOT(ISERROR(SEARCH("subobs",BA35)))</formula>
    </cfRule>
  </conditionalFormatting>
  <conditionalFormatting sqref="BA35:BE40">
    <cfRule type="containsText" dxfId="46" priority="26" operator="containsText" text="(Call)">
      <formula>NOT(ISERROR(SEARCH("(Call)",BA35)))</formula>
    </cfRule>
  </conditionalFormatting>
  <conditionalFormatting sqref="BB35:BE40">
    <cfRule type="containsText" dxfId="45" priority="27" operator="containsText" text="b1">
      <formula>NOT(ISERROR(SEARCH("b1",BB35)))</formula>
    </cfRule>
    <cfRule type="cellIs" dxfId="44" priority="28" operator="equal">
      <formula>0</formula>
    </cfRule>
    <cfRule type="containsText" dxfId="43" priority="29" stopIfTrue="1" operator="containsText" text="go">
      <formula>NOT(ISERROR(SEARCH("go",BB35)))</formula>
    </cfRule>
    <cfRule type="cellIs" dxfId="42" priority="30" operator="equal">
      <formula>"ps_cover"</formula>
    </cfRule>
    <cfRule type="containsText" dxfId="41" priority="31" stopIfTrue="1" operator="containsText" text="9ab">
      <formula>NOT(ISERROR(SEARCH("9ab",BB35)))</formula>
    </cfRule>
    <cfRule type="containsText" dxfId="40" priority="32" stopIfTrue="1" operator="containsText" text="ds">
      <formula>NOT(ISERROR(SEARCH("ds",BB35)))</formula>
    </cfRule>
    <cfRule type="containsText" dxfId="39" priority="33" stopIfTrue="1" operator="containsText" text="subobs">
      <formula>NOT(ISERROR(SEARCH("subobs",BB35)))</formula>
    </cfRule>
  </conditionalFormatting>
  <conditionalFormatting sqref="BH35:BH40">
    <cfRule type="containsText" dxfId="38" priority="18" operator="containsText" text="(Call)">
      <formula>NOT(ISERROR(SEARCH("(Call)",BH35)))</formula>
    </cfRule>
  </conditionalFormatting>
  <conditionalFormatting sqref="BH35:BH40">
    <cfRule type="containsText" dxfId="37" priority="19" operator="containsText" text="b1">
      <formula>NOT(ISERROR(SEARCH("b1",BH35)))</formula>
    </cfRule>
    <cfRule type="cellIs" dxfId="36" priority="20" operator="equal">
      <formula>0</formula>
    </cfRule>
    <cfRule type="containsText" dxfId="35" priority="21" stopIfTrue="1" operator="containsText" text="go">
      <formula>NOT(ISERROR(SEARCH("go",BH35)))</formula>
    </cfRule>
    <cfRule type="cellIs" dxfId="34" priority="22" operator="equal">
      <formula>"ps_cover"</formula>
    </cfRule>
    <cfRule type="containsText" dxfId="33" priority="23" stopIfTrue="1" operator="containsText" text="9ab">
      <formula>NOT(ISERROR(SEARCH("9ab",BH35)))</formula>
    </cfRule>
    <cfRule type="containsText" dxfId="32" priority="24" stopIfTrue="1" operator="containsText" text="ds">
      <formula>NOT(ISERROR(SEARCH("ds",BH35)))</formula>
    </cfRule>
    <cfRule type="containsText" dxfId="31" priority="25" stopIfTrue="1" operator="containsText" text="subobs">
      <formula>NOT(ISERROR(SEARCH("subobs",BH35)))</formula>
    </cfRule>
  </conditionalFormatting>
  <conditionalFormatting sqref="BH35:BH40">
    <cfRule type="containsText" dxfId="30" priority="11" operator="containsText" text="b1">
      <formula>NOT(ISERROR(SEARCH("b1",BH35)))</formula>
    </cfRule>
    <cfRule type="cellIs" dxfId="29" priority="12" operator="equal">
      <formula>0</formula>
    </cfRule>
    <cfRule type="containsText" dxfId="28" priority="13" stopIfTrue="1" operator="containsText" text="go">
      <formula>NOT(ISERROR(SEARCH("go",BH35)))</formula>
    </cfRule>
    <cfRule type="cellIs" dxfId="27" priority="14" operator="equal">
      <formula>"ps_cover"</formula>
    </cfRule>
    <cfRule type="containsText" dxfId="26" priority="15" stopIfTrue="1" operator="containsText" text="9ab">
      <formula>NOT(ISERROR(SEARCH("9ab",BH35)))</formula>
    </cfRule>
    <cfRule type="containsText" dxfId="25" priority="16" stopIfTrue="1" operator="containsText" text="ds">
      <formula>NOT(ISERROR(SEARCH("ds",BH35)))</formula>
    </cfRule>
    <cfRule type="containsText" dxfId="24" priority="17" stopIfTrue="1" operator="containsText" text="subobs">
      <formula>NOT(ISERROR(SEARCH("subobs",BH35)))</formula>
    </cfRule>
  </conditionalFormatting>
  <conditionalFormatting sqref="BH35:BH40">
    <cfRule type="containsText" dxfId="23" priority="3" operator="containsText" text="(Call)">
      <formula>NOT(ISERROR(SEARCH("(Call)",BH35)))</formula>
    </cfRule>
  </conditionalFormatting>
  <conditionalFormatting sqref="BH35:BH40">
    <cfRule type="containsText" dxfId="22" priority="4" operator="containsText" text="b1">
      <formula>NOT(ISERROR(SEARCH("b1",BH35)))</formula>
    </cfRule>
    <cfRule type="cellIs" dxfId="21" priority="5" operator="equal">
      <formula>0</formula>
    </cfRule>
    <cfRule type="containsText" dxfId="20" priority="6" stopIfTrue="1" operator="containsText" text="go">
      <formula>NOT(ISERROR(SEARCH("go",BH35)))</formula>
    </cfRule>
    <cfRule type="cellIs" dxfId="19" priority="7" operator="equal">
      <formula>"ps_cover"</formula>
    </cfRule>
    <cfRule type="containsText" dxfId="18" priority="8" stopIfTrue="1" operator="containsText" text="9ab">
      <formula>NOT(ISERROR(SEARCH("9ab",BH35)))</formula>
    </cfRule>
    <cfRule type="containsText" dxfId="17" priority="9" stopIfTrue="1" operator="containsText" text="ds">
      <formula>NOT(ISERROR(SEARCH("ds",BH35)))</formula>
    </cfRule>
    <cfRule type="containsText" dxfId="16" priority="10" stopIfTrue="1" operator="containsText" text="subobs">
      <formula>NOT(ISERROR(SEARCH("subobs",BH35)))</formula>
    </cfRule>
  </conditionalFormatting>
  <conditionalFormatting sqref="BH18:BH24">
    <cfRule type="cellIs" dxfId="15" priority="2" operator="equal">
      <formula>0</formula>
    </cfRule>
  </conditionalFormatting>
  <conditionalFormatting sqref="BH18:BH23">
    <cfRule type="cellIs" dxfId="14" priority="1" operator="equal">
      <formula>0</formula>
    </cfRule>
  </conditionalFormatting>
  <pageMargins left="0.75" right="0.75" top="1" bottom="1" header="0.5" footer="0.5"/>
  <pageSetup paperSize="9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56" operator="containsText" id="{61957C04-71F7-094E-9665-2861E1C450F2}">
            <xm:f>NOT(ISERROR(SEARCH("-",A18)))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862" operator="containsText" id="{2E6A716C-4374-D446-ADDC-722623748603}">
            <xm:f>NOT(ISERROR(SEARCH("-",A18)))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868" operator="containsText" id="{5A330C87-5F47-1C4E-A19C-57E4EDCA3D3C}">
            <xm:f>NOT(ISERROR(SEARCH("-",A18)))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875" operator="containsText" id="{621C500F-866D-2F4C-9F97-58CD1631DEF6}">
            <xm:f>NOT(ISERROR(SEARCH("-",A18)))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A18:A23</xm:sqref>
        </x14:conditionalFormatting>
        <x14:conditionalFormatting xmlns:xm="http://schemas.microsoft.com/office/excel/2006/main">
          <x14:cfRule type="containsText" priority="1426" operator="containsText" id="{0775F9B2-A437-B245-97E3-2156654ACCB3}">
            <xm:f>NOT(ISERROR(SEARCH("-",A18)))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A18:A24</xm:sqref>
        </x14:conditionalFormatting>
        <x14:conditionalFormatting xmlns:xm="http://schemas.microsoft.com/office/excel/2006/main">
          <x14:cfRule type="containsText" priority="1132" operator="containsText" id="{D55BFFED-A6EA-5B44-88A0-5689A5D2AFD9}">
            <xm:f>NOT(ISERROR(SEARCH("-",C26)))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150" operator="containsText" id="{5A0D6C7B-EFF0-A444-9612-456A15814DA6}">
            <xm:f>NOT(ISERROR(SEARCH("-",C26)))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C26:C31</xm:sqref>
        </x14:conditionalFormatting>
        <x14:conditionalFormatting xmlns:xm="http://schemas.microsoft.com/office/excel/2006/main">
          <x14:cfRule type="containsText" priority="1138" operator="containsText" id="{C83D5EC7-92CD-F642-9DA9-133392F2F1E7}">
            <xm:f>NOT(ISERROR(SEARCH("-",C26)))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C26:C33</xm:sqref>
        </x14:conditionalFormatting>
        <x14:conditionalFormatting xmlns:xm="http://schemas.microsoft.com/office/excel/2006/main">
          <x14:cfRule type="containsText" priority="739" operator="containsText" id="{D48CC43E-D99A-7240-BFC5-DA9641ECD0ED}">
            <xm:f>NOT(ISERROR(SEARCH("-",C35)))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45" operator="containsText" id="{EE412BF6-A7BB-374C-8DD2-DC08DB659348}">
            <xm:f>NOT(ISERROR(SEARCH("-",C35)))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51" operator="containsText" id="{1A806C54-9A5F-4648-89E1-02470D55BB8A}">
            <xm:f>NOT(ISERROR(SEARCH("-",C35)))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57" operator="containsText" id="{1C4871BF-ABCA-0146-B1A0-F703EA66FF00}">
            <xm:f>NOT(ISERROR(SEARCH("-",C35)))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63" operator="containsText" id="{DF195CDE-66D7-EC43-A328-E8487B451BE6}">
            <xm:f>NOT(ISERROR(SEARCH("-",C35)))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71" operator="containsText" id="{2615D3C3-4C78-4141-AC7A-D54CA2DE9838}">
            <xm:f>NOT(ISERROR(SEARCH("-",C35)))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78" operator="containsText" id="{0F73BC4E-07AE-CB4F-B896-93ADDFA101EE}">
            <xm:f>NOT(ISERROR(SEARCH("-",C35)))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C35:C40</xm:sqref>
        </x14:conditionalFormatting>
        <x14:conditionalFormatting xmlns:xm="http://schemas.microsoft.com/office/excel/2006/main">
          <x14:cfRule type="containsText" priority="1374" operator="containsText" id="{915D4C87-272A-3045-B1E0-B1A79E344015}">
            <xm:f>NOT(ISERROR(SEARCH("-",J18)))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400" operator="containsText" id="{F5C39F70-415F-6E4B-9C64-288DC5357AC4}">
            <xm:f>NOT(ISERROR(SEARCH("-",J18)))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J18:J23</xm:sqref>
        </x14:conditionalFormatting>
        <x14:conditionalFormatting xmlns:xm="http://schemas.microsoft.com/office/excel/2006/main">
          <x14:cfRule type="containsText" priority="1380" operator="containsText" id="{FA8BF08D-3798-5B44-BDB3-4F70092A182A}">
            <xm:f>NOT(ISERROR(SEARCH("-",J18)))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444" operator="containsText" id="{55FB8553-7950-FC4E-A007-E11CD5F118F8}">
            <xm:f>NOT(ISERROR(SEARCH("-",J18)))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J18:J24</xm:sqref>
        </x14:conditionalFormatting>
        <x14:conditionalFormatting xmlns:xm="http://schemas.microsoft.com/office/excel/2006/main">
          <x14:cfRule type="containsText" priority="1120" operator="containsText" id="{A165993B-95EF-6D48-959B-B5C4717D63AA}">
            <xm:f>NOT(ISERROR(SEARCH("-",J26)))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144" operator="containsText" id="{264DFDBB-1E81-1A47-9324-E54BB6B939B4}">
            <xm:f>NOT(ISERROR(SEARCH("-",J26)))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J26:J31</xm:sqref>
        </x14:conditionalFormatting>
        <x14:conditionalFormatting xmlns:xm="http://schemas.microsoft.com/office/excel/2006/main">
          <x14:cfRule type="containsText" priority="1126" operator="containsText" id="{283F1970-A9EE-5D41-87FB-22B930C00A1B}">
            <xm:f>NOT(ISERROR(SEARCH("-",J26)))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187" operator="containsText" id="{BDAD443B-4F34-6B42-A864-CEF1E819F38E}">
            <xm:f>NOT(ISERROR(SEARCH("-",J26)))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J26:J33</xm:sqref>
        </x14:conditionalFormatting>
        <x14:conditionalFormatting xmlns:xm="http://schemas.microsoft.com/office/excel/2006/main">
          <x14:cfRule type="containsText" priority="673" operator="containsText" id="{E4802193-BB84-2D44-8BF1-96841C4A4F33}">
            <xm:f>NOT(ISERROR(SEARCH("-",J35)))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79" operator="containsText" id="{F20D2922-F6CC-984C-BCEC-621D25A94132}">
            <xm:f>NOT(ISERROR(SEARCH("-",J35)))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85" operator="containsText" id="{6442EA0A-4A59-604F-83DF-EB3EA1682658}">
            <xm:f>NOT(ISERROR(SEARCH("-",J35)))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91" operator="containsText" id="{7DCB52CE-9585-0644-AFA5-5475E2116FCF}">
            <xm:f>NOT(ISERROR(SEARCH("-",J35)))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97" operator="containsText" id="{AD95657B-A108-1C43-AFB1-94A6A29D1829}">
            <xm:f>NOT(ISERROR(SEARCH("-",J35)))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05" operator="containsText" id="{AF11E378-3620-C14E-BB36-12C77A05F7D0}">
            <xm:f>NOT(ISERROR(SEARCH("-",J35)))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12" operator="containsText" id="{D432C26C-DE79-764A-B468-02DE503BAA2B}">
            <xm:f>NOT(ISERROR(SEARCH("-",J35)))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J35:J40</xm:sqref>
        </x14:conditionalFormatting>
        <x14:conditionalFormatting xmlns:xm="http://schemas.microsoft.com/office/excel/2006/main">
          <x14:cfRule type="containsText" priority="1350" operator="containsText" id="{A2F405D8-EAB9-DD4D-95DD-443F5BB2A106}">
            <xm:f>NOT(ISERROR(SEARCH("-",Q18)))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362" operator="containsText" id="{4342D060-2436-AC47-94D1-67B791D646E5}">
            <xm:f>NOT(ISERROR(SEARCH("-",Q18)))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Q18:Q23</xm:sqref>
        </x14:conditionalFormatting>
        <x14:conditionalFormatting xmlns:xm="http://schemas.microsoft.com/office/excel/2006/main">
          <x14:cfRule type="containsText" priority="1356" operator="containsText" id="{DCA2B006-9805-9742-8CD6-E3A2BEE43EE7}">
            <xm:f>NOT(ISERROR(SEARCH("-",Q18)))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368" operator="containsText" id="{6AB2E20E-D400-9143-AC89-5B9F154BC0C9}">
            <xm:f>NOT(ISERROR(SEARCH("-",Q18)))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438" operator="containsText" id="{D2AE39F8-32A4-784E-B0E0-B09912A7A2C9}">
            <xm:f>NOT(ISERROR(SEARCH("-",Q18)))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Q18:Q24</xm:sqref>
        </x14:conditionalFormatting>
        <x14:conditionalFormatting xmlns:xm="http://schemas.microsoft.com/office/excel/2006/main">
          <x14:cfRule type="containsText" priority="1096" operator="containsText" id="{E150C27B-1FEB-3E47-B599-FED1703BB4D2}">
            <xm:f>NOT(ISERROR(SEARCH("-",Q26)))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108" operator="containsText" id="{D615B9E8-B6AE-EF41-9D0D-6EC121BE1CD0}">
            <xm:f>NOT(ISERROR(SEARCH("-",Q26)))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Q26:Q31</xm:sqref>
        </x14:conditionalFormatting>
        <x14:conditionalFormatting xmlns:xm="http://schemas.microsoft.com/office/excel/2006/main">
          <x14:cfRule type="containsText" priority="1102" operator="containsText" id="{88CE2624-AEB4-6C43-A266-FFBE9B81FE1C}">
            <xm:f>NOT(ISERROR(SEARCH("-",Q26)))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114" operator="containsText" id="{3890ADFA-A0E4-2A49-9D85-A3131724AA0B}">
            <xm:f>NOT(ISERROR(SEARCH("-",Q26)))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181" operator="containsText" id="{B0CF1C5C-83D6-A845-8AB6-FE7AFA154314}">
            <xm:f>NOT(ISERROR(SEARCH("-",Q26)))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Q26:Q33</xm:sqref>
        </x14:conditionalFormatting>
        <x14:conditionalFormatting xmlns:xm="http://schemas.microsoft.com/office/excel/2006/main">
          <x14:cfRule type="containsText" priority="607" operator="containsText" id="{B26B4FA1-73C2-2449-95C3-7E0F3ADF074A}">
            <xm:f>NOT(ISERROR(SEARCH("-",Q35)))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13" operator="containsText" id="{FA3C4F53-087A-8F44-92E8-AED125E3B6AB}">
            <xm:f>NOT(ISERROR(SEARCH("-",Q35)))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19" operator="containsText" id="{52E1D5B5-903C-7240-B92D-6EAFD6A2C3B8}">
            <xm:f>NOT(ISERROR(SEARCH("-",Q35)))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25" operator="containsText" id="{9EBFFA61-2A07-9F49-AD82-55823F73988E}">
            <xm:f>NOT(ISERROR(SEARCH("-",Q35)))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31" operator="containsText" id="{E903A386-4C64-8C48-9908-591EE29882C8}">
            <xm:f>NOT(ISERROR(SEARCH("-",Q35)))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39" operator="containsText" id="{59353037-1765-EC4B-AE44-FB22BD9A1BB2}">
            <xm:f>NOT(ISERROR(SEARCH("-",Q35)))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46" operator="containsText" id="{8DC0A8F4-B4BF-4742-8ADA-13CF36423487}">
            <xm:f>NOT(ISERROR(SEARCH("-",Q35)))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Q35:Q40</xm:sqref>
        </x14:conditionalFormatting>
        <x14:conditionalFormatting xmlns:xm="http://schemas.microsoft.com/office/excel/2006/main">
          <x14:cfRule type="containsText" priority="1326" operator="containsText" id="{9D02D169-B382-2F42-8845-2BA8250BA25D}">
            <xm:f>NOT(ISERROR(SEARCH("-",X18)))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338" operator="containsText" id="{9138764B-475C-B948-85A5-E4D37ADC6AFC}">
            <xm:f>NOT(ISERROR(SEARCH("-",X18)))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X18:X23</xm:sqref>
        </x14:conditionalFormatting>
        <x14:conditionalFormatting xmlns:xm="http://schemas.microsoft.com/office/excel/2006/main">
          <x14:cfRule type="containsText" priority="1332" operator="containsText" id="{50B11688-837D-834B-8A2C-D8E917126B46}">
            <xm:f>NOT(ISERROR(SEARCH("-",X18)))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344" operator="containsText" id="{16781534-4BAA-B244-8F13-6CE5318CD26A}">
            <xm:f>NOT(ISERROR(SEARCH("-",X18)))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432" operator="containsText" id="{82B46465-28DD-304D-A3D0-CB20CAAA5229}">
            <xm:f>NOT(ISERROR(SEARCH("-",X18)))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X18:X24</xm:sqref>
        </x14:conditionalFormatting>
        <x14:conditionalFormatting xmlns:xm="http://schemas.microsoft.com/office/excel/2006/main">
          <x14:cfRule type="containsText" priority="1072" operator="containsText" id="{CE3E711F-6841-D546-B513-7FDC2F86BD5A}">
            <xm:f>NOT(ISERROR(SEARCH("-",X26)))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84" operator="containsText" id="{233F4898-5CD8-FB4E-9D6D-76568E294E50}">
            <xm:f>NOT(ISERROR(SEARCH("-",X26)))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X26:X31</xm:sqref>
        </x14:conditionalFormatting>
        <x14:conditionalFormatting xmlns:xm="http://schemas.microsoft.com/office/excel/2006/main">
          <x14:cfRule type="containsText" priority="1078" operator="containsText" id="{09B2F151-412B-6C4D-8F10-7FB079CD9C06}">
            <xm:f>NOT(ISERROR(SEARCH("-",X26)))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90" operator="containsText" id="{980C8734-5557-E245-9D98-5E4ED71FD5C9}">
            <xm:f>NOT(ISERROR(SEARCH("-",X26)))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175" operator="containsText" id="{C8ACC9EE-1DA3-1E41-9986-34D87DAF0466}">
            <xm:f>NOT(ISERROR(SEARCH("-",X26)))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X26:X33</xm:sqref>
        </x14:conditionalFormatting>
        <x14:conditionalFormatting xmlns:xm="http://schemas.microsoft.com/office/excel/2006/main">
          <x14:cfRule type="containsText" priority="541" operator="containsText" id="{1351CFE2-8E4D-5648-9287-5A75AE22C276}">
            <xm:f>NOT(ISERROR(SEARCH("-",X35)))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47" operator="containsText" id="{02D492E4-DC51-E04B-ACB0-56B6308D4610}">
            <xm:f>NOT(ISERROR(SEARCH("-",X35)))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53" operator="containsText" id="{D7424679-B26A-A74F-9DEF-B4C39F7FD654}">
            <xm:f>NOT(ISERROR(SEARCH("-",X35)))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59" operator="containsText" id="{CC3B0D6D-57F6-334D-897A-2FAD23C6F9CB}">
            <xm:f>NOT(ISERROR(SEARCH("-",X35)))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65" operator="containsText" id="{91FBCBFC-9599-C54C-BDCF-B307229BE72B}">
            <xm:f>NOT(ISERROR(SEARCH("-",X35)))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73" operator="containsText" id="{0920051C-F3FC-E842-9935-D367D2D996BC}">
            <xm:f>NOT(ISERROR(SEARCH("-",X35)))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80" operator="containsText" id="{FF755D50-0BDA-7641-8345-5F14A193E77A}">
            <xm:f>NOT(ISERROR(SEARCH("-",X35)))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X35:X40</xm:sqref>
        </x14:conditionalFormatting>
        <x14:conditionalFormatting xmlns:xm="http://schemas.microsoft.com/office/excel/2006/main">
          <x14:cfRule type="containsText" priority="1301" operator="containsText" id="{64469900-0F9C-AD47-B36B-3A0841E0B538}">
            <xm:f>NOT(ISERROR(SEARCH("-",AE18)))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313" operator="containsText" id="{EEC37EA6-9A9B-C547-99CB-98A3750AF729}">
            <xm:f>NOT(ISERROR(SEARCH("-",AE18)))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AE18:AE23</xm:sqref>
        </x14:conditionalFormatting>
        <x14:conditionalFormatting xmlns:xm="http://schemas.microsoft.com/office/excel/2006/main">
          <x14:cfRule type="containsText" priority="1307" operator="containsText" id="{62478129-E638-7049-B6FA-F52625D5DD1F}">
            <xm:f>NOT(ISERROR(SEARCH("-",AE18)))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320" operator="containsText" id="{EC55F808-6D64-194D-906A-262AF539476E}">
            <xm:f>NOT(ISERROR(SEARCH("-",AE18)))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AE18:AE24</xm:sqref>
        </x14:conditionalFormatting>
        <x14:conditionalFormatting xmlns:xm="http://schemas.microsoft.com/office/excel/2006/main">
          <x14:cfRule type="containsText" priority="1047" operator="containsText" id="{C3AD1F7F-B062-8149-8649-84F41913173B}">
            <xm:f>NOT(ISERROR(SEARCH("-",AE26)))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59" operator="containsText" id="{C52A404D-F252-5645-ADF4-2314AEFFDD64}">
            <xm:f>NOT(ISERROR(SEARCH("-",AE26)))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AE26:AE31</xm:sqref>
        </x14:conditionalFormatting>
        <x14:conditionalFormatting xmlns:xm="http://schemas.microsoft.com/office/excel/2006/main">
          <x14:cfRule type="containsText" priority="1053" operator="containsText" id="{5F2F5D06-BBA2-B249-AC0D-DC5084D3896F}">
            <xm:f>NOT(ISERROR(SEARCH("-",AE26)))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66" operator="containsText" id="{C9AC5143-B66D-D240-A80B-5AFB3230E218}">
            <xm:f>NOT(ISERROR(SEARCH("-",AE26)))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AE26:AE33</xm:sqref>
        </x14:conditionalFormatting>
        <x14:conditionalFormatting xmlns:xm="http://schemas.microsoft.com/office/excel/2006/main">
          <x14:cfRule type="containsText" priority="475" operator="containsText" id="{ECE15F49-7F19-A548-992D-4A4C7A204200}">
            <xm:f>NOT(ISERROR(SEARCH("-",AE35)))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81" operator="containsText" id="{F2FD0A83-C140-B745-9C0F-90D7441E1394}">
            <xm:f>NOT(ISERROR(SEARCH("-",AE35)))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87" operator="containsText" id="{1B9076B6-DB8B-0D45-A44D-79B701F52828}">
            <xm:f>NOT(ISERROR(SEARCH("-",AE35)))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93" operator="containsText" id="{DCB61030-6E73-8143-997E-C35323726CBE}">
            <xm:f>NOT(ISERROR(SEARCH("-",AE35)))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99" operator="containsText" id="{108A9C4D-BB41-9D4D-BF74-07362A7582D4}">
            <xm:f>NOT(ISERROR(SEARCH("-",AE35)))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07" operator="containsText" id="{F1DC9278-2A7D-6043-93DB-B060F609B8F0}">
            <xm:f>NOT(ISERROR(SEARCH("-",AE35)))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14" operator="containsText" id="{E999DBA1-AA14-B546-8609-5FEDC4EB7EE7}">
            <xm:f>NOT(ISERROR(SEARCH("-",AE35)))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AE35:AE40</xm:sqref>
        </x14:conditionalFormatting>
        <x14:conditionalFormatting xmlns:xm="http://schemas.microsoft.com/office/excel/2006/main">
          <x14:cfRule type="containsText" priority="1276" operator="containsText" id="{B8B3DB7D-B9F9-9D43-AEF8-E0A57F817296}">
            <xm:f>NOT(ISERROR(SEARCH("-",AL18)))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288" operator="containsText" id="{74FE21C0-ED03-AC4F-ABAE-9200BCAB92BF}">
            <xm:f>NOT(ISERROR(SEARCH("-",AL18)))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AL18:AL23</xm:sqref>
        </x14:conditionalFormatting>
        <x14:conditionalFormatting xmlns:xm="http://schemas.microsoft.com/office/excel/2006/main">
          <x14:cfRule type="containsText" priority="1282" operator="containsText" id="{10D08A9F-B7CE-A540-8E3D-E3C7924FC955}">
            <xm:f>NOT(ISERROR(SEARCH("-",AL18)))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295" operator="containsText" id="{2B6DCB4A-A736-E640-ADBB-90542E34617D}">
            <xm:f>NOT(ISERROR(SEARCH("-",AL18)))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AL18:AL24</xm:sqref>
        </x14:conditionalFormatting>
        <x14:conditionalFormatting xmlns:xm="http://schemas.microsoft.com/office/excel/2006/main">
          <x14:cfRule type="containsText" priority="1022" operator="containsText" id="{F1F9C8E8-9B3C-8445-AB78-9FF675B70DC9}">
            <xm:f>NOT(ISERROR(SEARCH("-",AL26)))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34" operator="containsText" id="{7EDDDFAD-A71D-8241-B136-7BF8F72F5B6B}">
            <xm:f>NOT(ISERROR(SEARCH("-",AL26)))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AL26:AL31</xm:sqref>
        </x14:conditionalFormatting>
        <x14:conditionalFormatting xmlns:xm="http://schemas.microsoft.com/office/excel/2006/main">
          <x14:cfRule type="containsText" priority="1028" operator="containsText" id="{E257BE3F-3DAC-B54D-AC60-0C7010DF67A4}">
            <xm:f>NOT(ISERROR(SEARCH("-",AL26)))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41" operator="containsText" id="{E31C9E90-5198-E740-BCC8-5783F56079E5}">
            <xm:f>NOT(ISERROR(SEARCH("-",AL26)))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AL26:AL33</xm:sqref>
        </x14:conditionalFormatting>
        <x14:conditionalFormatting xmlns:xm="http://schemas.microsoft.com/office/excel/2006/main">
          <x14:cfRule type="containsText" priority="409" operator="containsText" id="{698A4CBC-972B-DD4F-845E-E39E53E13D67}">
            <xm:f>NOT(ISERROR(SEARCH("-",AL35)))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15" operator="containsText" id="{0AC3087A-581E-BF4D-8086-D79B2D726EA0}">
            <xm:f>NOT(ISERROR(SEARCH("-",AL35)))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21" operator="containsText" id="{1D711C5C-ED50-6F44-8D35-F0DC432203FB}">
            <xm:f>NOT(ISERROR(SEARCH("-",AL35)))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27" operator="containsText" id="{2B63F29B-6491-9A4F-8C7B-6B2B171DBE69}">
            <xm:f>NOT(ISERROR(SEARCH("-",AL35)))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33" operator="containsText" id="{870BD74A-E13D-764E-B46B-8A630F364DB7}">
            <xm:f>NOT(ISERROR(SEARCH("-",AL35)))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41" operator="containsText" id="{ECE0796C-1129-8549-88EE-90348AB41EB7}">
            <xm:f>NOT(ISERROR(SEARCH("-",AL35)))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48" operator="containsText" id="{368AF28D-176A-6244-A410-93453086C301}">
            <xm:f>NOT(ISERROR(SEARCH("-",AL35)))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AL35:AL40</xm:sqref>
        </x14:conditionalFormatting>
        <x14:conditionalFormatting xmlns:xm="http://schemas.microsoft.com/office/excel/2006/main">
          <x14:cfRule type="containsText" priority="1251" operator="containsText" id="{21D94809-5AB1-5341-A23C-EB469EC4C2D6}">
            <xm:f>NOT(ISERROR(SEARCH("-",AS18)))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263" operator="containsText" id="{A82800F8-81C3-B841-A645-D06B30D24791}">
            <xm:f>NOT(ISERROR(SEARCH("-",AS18)))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AS18:AS23</xm:sqref>
        </x14:conditionalFormatting>
        <x14:conditionalFormatting xmlns:xm="http://schemas.microsoft.com/office/excel/2006/main">
          <x14:cfRule type="containsText" priority="1257" operator="containsText" id="{2060623D-5F5F-7145-BCA9-3490485E8932}">
            <xm:f>NOT(ISERROR(SEARCH("-",AS18)))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270" operator="containsText" id="{B816C4AB-85A7-B74C-952D-60AEA71FC9C0}">
            <xm:f>NOT(ISERROR(SEARCH("-",AS18)))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AS18:AS24</xm:sqref>
        </x14:conditionalFormatting>
        <x14:conditionalFormatting xmlns:xm="http://schemas.microsoft.com/office/excel/2006/main">
          <x14:cfRule type="containsText" priority="997" operator="containsText" id="{7958657E-A77B-D641-B71A-F84CC52EAC7A}">
            <xm:f>NOT(ISERROR(SEARCH("-",AS26)))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09" operator="containsText" id="{E5E304A2-3681-8746-8B6C-AB564787526A}">
            <xm:f>NOT(ISERROR(SEARCH("-",AS26)))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AS26:AS31</xm:sqref>
        </x14:conditionalFormatting>
        <x14:conditionalFormatting xmlns:xm="http://schemas.microsoft.com/office/excel/2006/main">
          <x14:cfRule type="containsText" priority="1003" operator="containsText" id="{2F00F749-2037-5541-AAD5-050796566690}">
            <xm:f>NOT(ISERROR(SEARCH("-",AS26)))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16" operator="containsText" id="{8BD17A97-9FAD-0149-9FAB-A6AE875C5376}">
            <xm:f>NOT(ISERROR(SEARCH("-",AS26)))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AS26:AS33</xm:sqref>
        </x14:conditionalFormatting>
        <x14:conditionalFormatting xmlns:xm="http://schemas.microsoft.com/office/excel/2006/main">
          <x14:cfRule type="containsText" priority="343" operator="containsText" id="{83F5107E-43E4-1447-9F05-F0E15E13910A}">
            <xm:f>NOT(ISERROR(SEARCH("-",AS35)))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49" operator="containsText" id="{83452A41-AE04-A349-ABD5-8E9B2DC36919}">
            <xm:f>NOT(ISERROR(SEARCH("-",AS35)))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55" operator="containsText" id="{805774E1-D4B5-1D4C-B77F-B738B792A692}">
            <xm:f>NOT(ISERROR(SEARCH("-",AS35)))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61" operator="containsText" id="{A494E311-D5E4-9245-8D5E-95ACDA24E8B5}">
            <xm:f>NOT(ISERROR(SEARCH("-",AS35)))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67" operator="containsText" id="{C9145498-8C8B-E042-9365-1D711A06991D}">
            <xm:f>NOT(ISERROR(SEARCH("-",AS35)))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75" operator="containsText" id="{DDBD19FD-2BD3-1B46-BE85-0DD9DDD30DF4}">
            <xm:f>NOT(ISERROR(SEARCH("-",AS35)))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82" operator="containsText" id="{29C284F7-B374-304B-9E5C-DBD1946B6E29}">
            <xm:f>NOT(ISERROR(SEARCH("-",AS35)))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AS35:AS40</xm:sqref>
        </x14:conditionalFormatting>
        <x14:conditionalFormatting xmlns:xm="http://schemas.microsoft.com/office/excel/2006/main">
          <x14:cfRule type="containsText" priority="1226" operator="containsText" id="{760314DA-A647-FC47-8F5A-8E1A12464923}">
            <xm:f>NOT(ISERROR(SEARCH("-",AZ18)))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238" operator="containsText" id="{406B011A-8001-0D44-9655-A12B1E8FA743}">
            <xm:f>NOT(ISERROR(SEARCH("-",AZ18)))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AZ18:AZ23</xm:sqref>
        </x14:conditionalFormatting>
        <x14:conditionalFormatting xmlns:xm="http://schemas.microsoft.com/office/excel/2006/main">
          <x14:cfRule type="containsText" priority="1232" operator="containsText" id="{8A578161-B1ED-BC4B-9BE1-E356BFE15B83}">
            <xm:f>NOT(ISERROR(SEARCH("-",AZ18)))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245" operator="containsText" id="{3B239A98-9B77-2B41-843F-609289CEAAE9}">
            <xm:f>NOT(ISERROR(SEARCH("-",AZ18)))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AZ18:AZ24</xm:sqref>
        </x14:conditionalFormatting>
        <x14:conditionalFormatting xmlns:xm="http://schemas.microsoft.com/office/excel/2006/main">
          <x14:cfRule type="containsText" priority="972" operator="containsText" id="{FA28BAE6-4DCF-2346-A452-455F8354BD19}">
            <xm:f>NOT(ISERROR(SEARCH("-",AZ26)))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84" operator="containsText" id="{A74AF64B-7BB5-1443-A68F-C19E74E619A8}">
            <xm:f>NOT(ISERROR(SEARCH("-",AZ26)))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AZ26:AZ31</xm:sqref>
        </x14:conditionalFormatting>
        <x14:conditionalFormatting xmlns:xm="http://schemas.microsoft.com/office/excel/2006/main">
          <x14:cfRule type="containsText" priority="978" operator="containsText" id="{913C9A6D-6F80-D84B-9328-4C5F621B16CE}">
            <xm:f>NOT(ISERROR(SEARCH("-",AZ26)))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91" operator="containsText" id="{CE1031F5-F267-8949-A810-D64D770A1F94}">
            <xm:f>NOT(ISERROR(SEARCH("-",AZ26)))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AZ26:AZ33</xm:sqref>
        </x14:conditionalFormatting>
        <x14:conditionalFormatting xmlns:xm="http://schemas.microsoft.com/office/excel/2006/main">
          <x14:cfRule type="containsText" priority="277" operator="containsText" id="{882BD9F7-4F1F-BB45-B57A-135316D9D884}">
            <xm:f>NOT(ISERROR(SEARCH("-",AZ35)))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83" operator="containsText" id="{391F7257-E97A-BA4D-BDB6-2B6651671D30}">
            <xm:f>NOT(ISERROR(SEARCH("-",AZ35)))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89" operator="containsText" id="{78ABBD37-7A1E-704B-8991-D5B0CB76355A}">
            <xm:f>NOT(ISERROR(SEARCH("-",AZ35)))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95" operator="containsText" id="{7C9406CE-B013-7B44-8936-46C36D34A9A5}">
            <xm:f>NOT(ISERROR(SEARCH("-",AZ35)))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01" operator="containsText" id="{6CB6D13C-F335-B447-8EAB-DDA8C3374B54}">
            <xm:f>NOT(ISERROR(SEARCH("-",AZ35)))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09" operator="containsText" id="{22ABD372-E4CF-3F48-91C4-CEF96128F0A0}">
            <xm:f>NOT(ISERROR(SEARCH("-",AZ35)))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16" operator="containsText" id="{0CA5AE23-934E-584F-B282-3B240A323D5C}">
            <xm:f>NOT(ISERROR(SEARCH("-",AZ35)))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AZ35:AZ40</xm:sqref>
        </x14:conditionalFormatting>
        <x14:conditionalFormatting xmlns:xm="http://schemas.microsoft.com/office/excel/2006/main">
          <x14:cfRule type="containsText" priority="1201" operator="containsText" id="{67568B86-80E3-DE4E-9284-834D69155CCB}">
            <xm:f>NOT(ISERROR(SEARCH("-",BG18)))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213" operator="containsText" id="{DA9FD308-222C-0E42-82DD-5FFACCFE3324}">
            <xm:f>NOT(ISERROR(SEARCH("-",BG18)))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BG18:BG23</xm:sqref>
        </x14:conditionalFormatting>
        <x14:conditionalFormatting xmlns:xm="http://schemas.microsoft.com/office/excel/2006/main">
          <x14:cfRule type="containsText" priority="1207" operator="containsText" id="{4D1A6149-5FBA-5649-AE67-CF02BBFE1FF0}">
            <xm:f>NOT(ISERROR(SEARCH("-",BG18)))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220" operator="containsText" id="{17795F37-28CC-3840-9E2E-E5A538A670E8}">
            <xm:f>NOT(ISERROR(SEARCH("-",BG18)))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BG18:BG24</xm:sqref>
        </x14:conditionalFormatting>
        <x14:conditionalFormatting xmlns:xm="http://schemas.microsoft.com/office/excel/2006/main">
          <x14:cfRule type="containsText" priority="947" operator="containsText" id="{C2D4B47C-E83C-9649-A3E8-CFC574F3353D}">
            <xm:f>NOT(ISERROR(SEARCH("-",BG26)))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59" operator="containsText" id="{7DA79256-9F8D-CE49-AFBB-99BA3E4C9648}">
            <xm:f>NOT(ISERROR(SEARCH("-",BG26)))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BG26:BG31</xm:sqref>
        </x14:conditionalFormatting>
        <x14:conditionalFormatting xmlns:xm="http://schemas.microsoft.com/office/excel/2006/main">
          <x14:cfRule type="containsText" priority="953" operator="containsText" id="{C43AA0A8-036C-B749-81E8-FB191C7EB59A}">
            <xm:f>NOT(ISERROR(SEARCH("-",BG26)))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66" operator="containsText" id="{7658DE00-73E4-014C-B527-5F382B1D6146}">
            <xm:f>NOT(ISERROR(SEARCH("-",BG26)))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BG26:BG33</xm:sqref>
        </x14:conditionalFormatting>
        <x14:conditionalFormatting xmlns:xm="http://schemas.microsoft.com/office/excel/2006/main">
          <x14:cfRule type="containsText" priority="211" operator="containsText" id="{C44D2CAE-CEAB-AF47-ABA2-4A29B4811CF4}">
            <xm:f>NOT(ISERROR(SEARCH("-",BG35)))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17" operator="containsText" id="{593FAB89-4E2B-4247-A72A-2F227C7E2E91}">
            <xm:f>NOT(ISERROR(SEARCH("-",BG35)))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23" operator="containsText" id="{59ECB763-826E-6E42-B267-7132D864DD67}">
            <xm:f>NOT(ISERROR(SEARCH("-",BG35)))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29" operator="containsText" id="{B5518B81-C4C7-6D4D-AFE8-54E6911B1264}">
            <xm:f>NOT(ISERROR(SEARCH("-",BG35)))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35" operator="containsText" id="{006D23E6-5A75-3143-9553-77EABB960B12}">
            <xm:f>NOT(ISERROR(SEARCH("-",BG35)))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43" operator="containsText" id="{39AA1D03-BAAB-EB49-910F-B68060691B5C}">
            <xm:f>NOT(ISERROR(SEARCH("-",BG35)))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50" operator="containsText" id="{506D7AFB-46FD-0A43-8C67-55E21B63EE14}">
            <xm:f>NOT(ISERROR(SEARCH("-",BG35)))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BG35:BG40</xm:sqref>
        </x14:conditionalFormatting>
        <x14:conditionalFormatting xmlns:xm="http://schemas.microsoft.com/office/excel/2006/main">
          <x14:cfRule type="containsText" priority="145" operator="containsText" id="{3A292C57-26BF-E341-97D5-CBA5E9A85700}">
            <xm:f>NOT(ISERROR(SEARCH("-",A35)))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51" operator="containsText" id="{EBF9419A-ADCF-D04B-80C6-7CFCEBA12C08}">
            <xm:f>NOT(ISERROR(SEARCH("-",A35)))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57" operator="containsText" id="{6F94B4B1-14B3-7342-8EB3-E58C8BB00854}">
            <xm:f>NOT(ISERROR(SEARCH("-",A35)))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63" operator="containsText" id="{EF687780-00F6-EB40-9E01-0E21F92D1464}">
            <xm:f>NOT(ISERROR(SEARCH("-",A35)))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69" operator="containsText" id="{AC6820AB-CB5F-9A4A-91DD-CF6BFD15EEC9}">
            <xm:f>NOT(ISERROR(SEARCH("-",A35)))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77" operator="containsText" id="{8426090D-6E8F-0B47-94D3-1A46AF12839A}">
            <xm:f>NOT(ISERROR(SEARCH("-",A35)))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84" operator="containsText" id="{E5B4F1BF-B792-7842-88F9-4AEAF775F6D2}">
            <xm:f>NOT(ISERROR(SEARCH("-",A35)))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A35:A40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7709C-28F1-D34D-8ABC-B54D91CB1EC7}">
  <dimension ref="A1:AE12"/>
  <sheetViews>
    <sheetView zoomScale="125" zoomScaleNormal="125" workbookViewId="0">
      <pane xSplit="1" topLeftCell="B1" activePane="topRight" state="frozen"/>
      <selection pane="topRight" activeCell="C5" sqref="C5"/>
    </sheetView>
  </sheetViews>
  <sheetFormatPr baseColWidth="10" defaultRowHeight="16" x14ac:dyDescent="0.2"/>
  <cols>
    <col min="1" max="1" width="19.83203125" style="23" customWidth="1"/>
    <col min="2" max="2" width="8.83203125" style="20" customWidth="1"/>
    <col min="3" max="7" width="8.83203125" style="23" customWidth="1"/>
    <col min="8" max="9" width="8.83203125" style="20" customWidth="1"/>
    <col min="10" max="14" width="8.83203125" style="23" customWidth="1"/>
    <col min="15" max="16" width="8.83203125" style="20" customWidth="1"/>
    <col min="17" max="21" width="8.83203125" style="23" customWidth="1"/>
    <col min="22" max="23" width="8.83203125" style="20" customWidth="1"/>
    <col min="24" max="28" width="8.83203125" style="23" customWidth="1"/>
    <col min="29" max="30" width="8.83203125" style="20" customWidth="1"/>
    <col min="31" max="31" width="8.83203125" style="23" customWidth="1"/>
    <col min="32" max="16384" width="10.83203125" style="23"/>
  </cols>
  <sheetData>
    <row r="1" spans="1:31" x14ac:dyDescent="0.2">
      <c r="A1" s="18" t="s">
        <v>0</v>
      </c>
      <c r="B1" s="19">
        <v>46033</v>
      </c>
      <c r="C1" s="22">
        <v>46064</v>
      </c>
      <c r="D1" s="22">
        <v>46092</v>
      </c>
      <c r="E1" s="22">
        <v>46123</v>
      </c>
      <c r="F1" s="22">
        <v>46153</v>
      </c>
      <c r="G1" s="22">
        <v>46184</v>
      </c>
      <c r="H1" s="19">
        <v>46214</v>
      </c>
      <c r="I1" s="19">
        <v>46245</v>
      </c>
      <c r="J1" s="22">
        <v>46276</v>
      </c>
      <c r="K1" s="22">
        <v>46306</v>
      </c>
      <c r="L1" s="22">
        <v>46337</v>
      </c>
      <c r="M1" s="22">
        <v>46367</v>
      </c>
      <c r="N1" s="23" t="s">
        <v>38</v>
      </c>
      <c r="O1" s="20" t="s">
        <v>39</v>
      </c>
      <c r="P1" s="20" t="s">
        <v>40</v>
      </c>
      <c r="Q1" s="23" t="s">
        <v>41</v>
      </c>
      <c r="R1" s="23" t="s">
        <v>42</v>
      </c>
      <c r="S1" s="23" t="s">
        <v>43</v>
      </c>
      <c r="T1" s="23" t="s">
        <v>44</v>
      </c>
      <c r="U1" s="23" t="s">
        <v>45</v>
      </c>
      <c r="V1" s="20" t="s">
        <v>46</v>
      </c>
      <c r="W1" s="20" t="s">
        <v>47</v>
      </c>
      <c r="X1" s="23" t="s">
        <v>48</v>
      </c>
      <c r="Y1" s="23" t="s">
        <v>49</v>
      </c>
      <c r="Z1" s="23" t="s">
        <v>50</v>
      </c>
      <c r="AA1" s="23" t="s">
        <v>51</v>
      </c>
      <c r="AB1" s="23" t="s">
        <v>52</v>
      </c>
      <c r="AC1" s="20" t="s">
        <v>53</v>
      </c>
      <c r="AD1" s="20" t="s">
        <v>54</v>
      </c>
      <c r="AE1" s="23" t="s">
        <v>55</v>
      </c>
    </row>
    <row r="2" spans="1:31" x14ac:dyDescent="0.2">
      <c r="A2" s="18" t="s">
        <v>1</v>
      </c>
      <c r="B2" s="20">
        <v>-1</v>
      </c>
      <c r="C2" s="23" t="s">
        <v>63</v>
      </c>
      <c r="D2" s="23" t="s">
        <v>63</v>
      </c>
      <c r="E2" s="23" t="s">
        <v>63</v>
      </c>
      <c r="F2" s="23" t="s">
        <v>63</v>
      </c>
      <c r="G2" s="23" t="s">
        <v>63</v>
      </c>
      <c r="H2" s="20">
        <v>-1</v>
      </c>
      <c r="I2" s="20">
        <v>-1</v>
      </c>
      <c r="J2" s="23">
        <v>-1</v>
      </c>
      <c r="K2" s="23" t="s">
        <v>63</v>
      </c>
      <c r="L2" s="23" t="s">
        <v>62</v>
      </c>
      <c r="M2" s="23">
        <v>-1</v>
      </c>
      <c r="N2" s="23" t="s">
        <v>62</v>
      </c>
      <c r="O2" s="20">
        <v>-1</v>
      </c>
      <c r="P2" s="20">
        <v>-1</v>
      </c>
      <c r="Q2" s="23" t="s">
        <v>62</v>
      </c>
      <c r="R2" s="23">
        <v>-1</v>
      </c>
      <c r="S2" s="23">
        <v>-1</v>
      </c>
      <c r="T2" s="23">
        <v>-1</v>
      </c>
      <c r="U2" s="23">
        <v>-1</v>
      </c>
      <c r="V2" s="20">
        <v>-1</v>
      </c>
      <c r="W2" s="20">
        <v>-1</v>
      </c>
      <c r="X2" s="23" t="s">
        <v>62</v>
      </c>
      <c r="Y2" s="23" t="s">
        <v>63</v>
      </c>
      <c r="Z2" s="23">
        <v>-1</v>
      </c>
      <c r="AA2" s="23" t="s">
        <v>62</v>
      </c>
      <c r="AB2" s="23">
        <v>-1</v>
      </c>
      <c r="AC2" s="20" t="s">
        <v>62</v>
      </c>
      <c r="AD2" s="20" t="s">
        <v>62</v>
      </c>
      <c r="AE2" s="23" t="s">
        <v>62</v>
      </c>
    </row>
    <row r="3" spans="1:31" x14ac:dyDescent="0.2">
      <c r="A3" s="18" t="s">
        <v>3</v>
      </c>
      <c r="B3" s="20" t="s">
        <v>62</v>
      </c>
      <c r="C3" s="23">
        <v>-1</v>
      </c>
      <c r="D3" s="23">
        <v>-1</v>
      </c>
      <c r="E3" s="23">
        <v>-1</v>
      </c>
      <c r="F3" s="23" t="s">
        <v>62</v>
      </c>
      <c r="G3" s="23">
        <v>-1</v>
      </c>
      <c r="H3" s="20" t="s">
        <v>62</v>
      </c>
      <c r="I3" s="20" t="s">
        <v>62</v>
      </c>
      <c r="J3" s="23">
        <v>-1</v>
      </c>
      <c r="K3" s="23">
        <v>-1</v>
      </c>
      <c r="L3" s="23" t="s">
        <v>63</v>
      </c>
      <c r="M3" s="23" t="s">
        <v>63</v>
      </c>
      <c r="N3" s="23" t="s">
        <v>63</v>
      </c>
      <c r="O3" s="20" t="s">
        <v>62</v>
      </c>
      <c r="P3" s="20" t="s">
        <v>62</v>
      </c>
      <c r="Q3" s="23">
        <v>-1</v>
      </c>
      <c r="R3" s="23" t="s">
        <v>62</v>
      </c>
      <c r="S3" s="23" t="s">
        <v>62</v>
      </c>
      <c r="T3" s="23">
        <v>-1</v>
      </c>
      <c r="U3" s="23">
        <v>-1</v>
      </c>
      <c r="V3" s="20" t="s">
        <v>62</v>
      </c>
      <c r="W3" s="20" t="s">
        <v>62</v>
      </c>
      <c r="X3" s="23" t="s">
        <v>63</v>
      </c>
      <c r="Y3" s="23">
        <v>-1</v>
      </c>
      <c r="Z3" s="23" t="s">
        <v>63</v>
      </c>
      <c r="AA3" s="23" t="s">
        <v>63</v>
      </c>
      <c r="AB3" s="23" t="s">
        <v>63</v>
      </c>
      <c r="AC3" s="20" t="s">
        <v>62</v>
      </c>
      <c r="AD3" s="20" t="s">
        <v>62</v>
      </c>
      <c r="AE3" s="23" t="s">
        <v>62</v>
      </c>
    </row>
    <row r="4" spans="1:31" x14ac:dyDescent="0.2">
      <c r="A4" s="18" t="s">
        <v>4</v>
      </c>
      <c r="B4" s="26">
        <v>-1</v>
      </c>
      <c r="C4" s="23">
        <v>-1</v>
      </c>
      <c r="D4" s="23">
        <v>-1</v>
      </c>
      <c r="E4" s="23">
        <v>-1</v>
      </c>
      <c r="F4" s="23">
        <v>-1</v>
      </c>
      <c r="G4" s="23">
        <v>-1</v>
      </c>
      <c r="H4" s="20">
        <v>-1</v>
      </c>
      <c r="I4" s="20">
        <v>-1</v>
      </c>
      <c r="J4" s="23">
        <v>-1</v>
      </c>
      <c r="K4" s="23">
        <v>-1</v>
      </c>
      <c r="L4" s="23">
        <v>-1</v>
      </c>
      <c r="M4" s="23">
        <v>-1</v>
      </c>
      <c r="N4" s="23">
        <v>-1</v>
      </c>
      <c r="O4" s="20">
        <v>-1</v>
      </c>
      <c r="P4" s="20">
        <v>-1</v>
      </c>
      <c r="Q4" s="23">
        <v>-1</v>
      </c>
      <c r="R4" s="23">
        <v>-1</v>
      </c>
      <c r="S4" s="23" t="s">
        <v>63</v>
      </c>
      <c r="T4" s="23" t="s">
        <v>63</v>
      </c>
      <c r="U4" s="23" t="s">
        <v>63</v>
      </c>
      <c r="V4" s="20">
        <v>-1</v>
      </c>
      <c r="W4" s="20">
        <v>-1</v>
      </c>
      <c r="X4" s="23">
        <v>-1</v>
      </c>
      <c r="Y4" s="23">
        <v>-1</v>
      </c>
      <c r="Z4" s="23">
        <v>-1</v>
      </c>
      <c r="AA4" s="23">
        <v>-1</v>
      </c>
      <c r="AB4" s="23">
        <v>-1</v>
      </c>
      <c r="AC4" s="20">
        <v>-1</v>
      </c>
      <c r="AD4" s="20">
        <v>-1</v>
      </c>
      <c r="AE4" s="23">
        <v>-1</v>
      </c>
    </row>
    <row r="5" spans="1:31" x14ac:dyDescent="0.2">
      <c r="A5" s="18" t="s">
        <v>5</v>
      </c>
      <c r="B5" s="20">
        <v>-1</v>
      </c>
      <c r="C5" s="23">
        <v>-1</v>
      </c>
      <c r="D5" s="23">
        <v>-1</v>
      </c>
      <c r="E5" s="23">
        <v>-1</v>
      </c>
      <c r="F5" s="23">
        <v>-1</v>
      </c>
      <c r="G5" s="23">
        <v>-1</v>
      </c>
      <c r="H5" s="20">
        <v>-1</v>
      </c>
      <c r="I5" s="20">
        <v>-1</v>
      </c>
      <c r="J5" s="23">
        <v>-1</v>
      </c>
      <c r="K5" s="23">
        <v>-1</v>
      </c>
      <c r="L5" s="23">
        <v>-1</v>
      </c>
      <c r="M5" s="23">
        <v>-1</v>
      </c>
      <c r="N5" s="23">
        <v>-1</v>
      </c>
      <c r="O5" s="20">
        <v>-1</v>
      </c>
      <c r="P5" s="20">
        <v>-1</v>
      </c>
      <c r="Q5" s="23">
        <v>-1</v>
      </c>
      <c r="R5" s="23" t="s">
        <v>63</v>
      </c>
      <c r="S5" s="23">
        <v>-1</v>
      </c>
      <c r="T5" s="23">
        <v>-1</v>
      </c>
      <c r="U5" s="23">
        <v>-1</v>
      </c>
      <c r="V5" s="20">
        <v>-1</v>
      </c>
      <c r="W5" s="20">
        <v>-1</v>
      </c>
      <c r="X5" s="23">
        <v>-1</v>
      </c>
      <c r="Y5" s="23">
        <v>-1</v>
      </c>
      <c r="Z5" s="23">
        <v>-1</v>
      </c>
      <c r="AA5" s="23">
        <v>-1</v>
      </c>
      <c r="AB5" s="23">
        <v>-1</v>
      </c>
      <c r="AC5" s="20">
        <v>-1</v>
      </c>
      <c r="AD5" s="20">
        <v>-1</v>
      </c>
      <c r="AE5" s="23">
        <v>-1</v>
      </c>
    </row>
    <row r="6" spans="1:31" x14ac:dyDescent="0.2">
      <c r="A6" s="18" t="s">
        <v>6</v>
      </c>
      <c r="B6" s="20">
        <v>-1</v>
      </c>
      <c r="C6" s="23">
        <v>-1</v>
      </c>
      <c r="D6" s="23">
        <v>-1</v>
      </c>
      <c r="E6" s="23">
        <v>-1</v>
      </c>
      <c r="F6" s="23">
        <v>-1</v>
      </c>
      <c r="G6" s="20" t="s">
        <v>62</v>
      </c>
      <c r="H6" s="20">
        <v>-1</v>
      </c>
      <c r="I6" s="20">
        <v>-1</v>
      </c>
      <c r="J6" s="23">
        <v>-1</v>
      </c>
      <c r="K6" s="23">
        <v>-1</v>
      </c>
      <c r="L6" s="23">
        <v>-1</v>
      </c>
      <c r="M6" s="23">
        <v>-1</v>
      </c>
      <c r="N6" s="23">
        <v>-1</v>
      </c>
      <c r="O6" s="20">
        <v>-1</v>
      </c>
      <c r="P6" s="20">
        <v>-1</v>
      </c>
      <c r="Q6" s="23">
        <v>-1</v>
      </c>
      <c r="R6" s="23">
        <v>-1</v>
      </c>
      <c r="S6" s="23">
        <v>-1</v>
      </c>
      <c r="T6" s="23">
        <v>-1</v>
      </c>
      <c r="U6" s="23">
        <v>-1</v>
      </c>
      <c r="V6" s="20">
        <v>-1</v>
      </c>
      <c r="W6" s="20">
        <v>-1</v>
      </c>
      <c r="X6" s="23">
        <v>-1</v>
      </c>
      <c r="Y6" s="23">
        <v>-1</v>
      </c>
      <c r="Z6" s="23">
        <v>-1</v>
      </c>
      <c r="AA6" s="23">
        <v>-1</v>
      </c>
      <c r="AB6" s="23">
        <v>-1</v>
      </c>
      <c r="AC6" s="20">
        <v>-1</v>
      </c>
      <c r="AD6" s="20">
        <v>-1</v>
      </c>
      <c r="AE6" s="23" t="s">
        <v>63</v>
      </c>
    </row>
    <row r="7" spans="1:31" x14ac:dyDescent="0.2">
      <c r="A7" s="18" t="s">
        <v>7</v>
      </c>
      <c r="B7" s="20">
        <v>-1</v>
      </c>
      <c r="C7" s="23">
        <v>-1</v>
      </c>
      <c r="D7" s="23">
        <v>-1</v>
      </c>
      <c r="E7" s="20" t="s">
        <v>62</v>
      </c>
      <c r="F7" s="23">
        <v>-1</v>
      </c>
      <c r="G7" s="23">
        <v>-1</v>
      </c>
      <c r="H7" s="20">
        <v>-1</v>
      </c>
      <c r="I7" s="20" t="s">
        <v>62</v>
      </c>
      <c r="J7" s="23">
        <v>-1</v>
      </c>
      <c r="K7" s="23">
        <v>-1</v>
      </c>
      <c r="L7" s="23" t="s">
        <v>63</v>
      </c>
      <c r="M7" s="23">
        <v>-1</v>
      </c>
      <c r="N7" s="23">
        <v>-1</v>
      </c>
      <c r="O7" s="20">
        <v>-1</v>
      </c>
      <c r="P7" s="20">
        <v>-1</v>
      </c>
      <c r="Q7" s="20" t="s">
        <v>62</v>
      </c>
      <c r="R7" s="23" t="s">
        <v>63</v>
      </c>
      <c r="S7" s="23">
        <v>-1</v>
      </c>
      <c r="T7" s="23" t="s">
        <v>63</v>
      </c>
      <c r="U7" s="23" t="s">
        <v>63</v>
      </c>
      <c r="V7" s="20">
        <v>-1</v>
      </c>
      <c r="W7" s="20">
        <v>-1</v>
      </c>
      <c r="X7" s="23">
        <v>-1</v>
      </c>
      <c r="Y7" s="23">
        <v>-1</v>
      </c>
      <c r="Z7" s="23">
        <v>-1</v>
      </c>
      <c r="AA7" s="23">
        <v>-1</v>
      </c>
      <c r="AB7" s="23">
        <v>-1</v>
      </c>
      <c r="AC7" s="20">
        <v>-1</v>
      </c>
      <c r="AD7" s="20">
        <v>-1</v>
      </c>
      <c r="AE7" s="23">
        <v>-1</v>
      </c>
    </row>
    <row r="8" spans="1:31" x14ac:dyDescent="0.2">
      <c r="A8" s="18" t="s">
        <v>8</v>
      </c>
      <c r="B8" s="20">
        <v>-1</v>
      </c>
      <c r="C8" s="23">
        <v>-1</v>
      </c>
      <c r="D8" s="23">
        <v>-1</v>
      </c>
      <c r="E8" s="23">
        <v>-1</v>
      </c>
      <c r="F8" s="23">
        <v>-1</v>
      </c>
      <c r="G8" s="23">
        <v>-1</v>
      </c>
      <c r="H8" s="20">
        <v>-1</v>
      </c>
      <c r="I8" s="20">
        <v>-1</v>
      </c>
      <c r="J8" s="23">
        <v>-1</v>
      </c>
      <c r="K8" s="23">
        <v>-1</v>
      </c>
      <c r="L8" s="23">
        <v>-1</v>
      </c>
      <c r="M8" s="23" t="s">
        <v>63</v>
      </c>
      <c r="N8" s="23" t="s">
        <v>63</v>
      </c>
      <c r="O8" s="20">
        <v>-1</v>
      </c>
      <c r="P8" s="20">
        <v>-1</v>
      </c>
      <c r="Q8" s="23">
        <v>-1</v>
      </c>
      <c r="R8" s="23">
        <v>-1</v>
      </c>
      <c r="S8" s="23" t="s">
        <v>63</v>
      </c>
      <c r="T8" s="23">
        <v>-1</v>
      </c>
      <c r="U8" s="23">
        <v>-1</v>
      </c>
      <c r="V8" s="20">
        <v>-1</v>
      </c>
      <c r="W8" s="20">
        <v>-1</v>
      </c>
      <c r="X8" s="23" t="s">
        <v>63</v>
      </c>
      <c r="Y8" s="23" t="s">
        <v>63</v>
      </c>
      <c r="Z8" s="23" t="s">
        <v>63</v>
      </c>
      <c r="AA8" s="23" t="s">
        <v>63</v>
      </c>
      <c r="AB8" s="23" t="s">
        <v>63</v>
      </c>
      <c r="AC8" s="20">
        <v>-1</v>
      </c>
      <c r="AD8" s="20">
        <v>-1</v>
      </c>
      <c r="AE8" s="23">
        <v>-1</v>
      </c>
    </row>
    <row r="9" spans="1:31" x14ac:dyDescent="0.2">
      <c r="A9" s="18" t="s">
        <v>9</v>
      </c>
      <c r="B9" s="20">
        <v>-1</v>
      </c>
      <c r="C9" s="23" t="s">
        <v>63</v>
      </c>
      <c r="D9" s="23" t="s">
        <v>63</v>
      </c>
      <c r="E9" s="23" t="s">
        <v>63</v>
      </c>
      <c r="F9" s="23">
        <v>-1</v>
      </c>
      <c r="G9" s="23">
        <v>-1</v>
      </c>
      <c r="H9" s="20">
        <v>-1</v>
      </c>
      <c r="I9" s="20">
        <v>-1</v>
      </c>
      <c r="J9" s="23">
        <v>-1</v>
      </c>
      <c r="K9" s="23">
        <v>-1</v>
      </c>
      <c r="L9" s="23">
        <v>-1</v>
      </c>
      <c r="M9" s="23">
        <v>-1</v>
      </c>
      <c r="N9" s="23">
        <v>-1</v>
      </c>
      <c r="O9" s="20">
        <v>-1</v>
      </c>
      <c r="P9" s="20">
        <v>-1</v>
      </c>
      <c r="Q9" s="23">
        <v>-1</v>
      </c>
      <c r="R9" s="23">
        <v>-1</v>
      </c>
      <c r="S9" s="23">
        <v>-1</v>
      </c>
      <c r="T9" s="23">
        <v>-1</v>
      </c>
      <c r="U9" s="20" t="s">
        <v>62</v>
      </c>
      <c r="V9" s="20">
        <v>-1</v>
      </c>
      <c r="W9" s="20">
        <v>-1</v>
      </c>
      <c r="X9" s="23">
        <v>-1</v>
      </c>
      <c r="Y9" s="23">
        <v>-1</v>
      </c>
      <c r="Z9" s="23">
        <v>-1</v>
      </c>
      <c r="AA9" s="23">
        <v>-1</v>
      </c>
      <c r="AB9" s="20" t="s">
        <v>62</v>
      </c>
      <c r="AC9" s="20">
        <v>-1</v>
      </c>
      <c r="AD9" s="20">
        <v>-1</v>
      </c>
      <c r="AE9" s="23">
        <v>-1</v>
      </c>
    </row>
    <row r="10" spans="1:31" x14ac:dyDescent="0.2">
      <c r="A10" s="18" t="s">
        <v>10</v>
      </c>
      <c r="B10" s="20">
        <v>-1</v>
      </c>
      <c r="C10" s="23">
        <v>-1</v>
      </c>
      <c r="D10" s="23">
        <v>-1</v>
      </c>
      <c r="E10" s="23">
        <v>-1</v>
      </c>
      <c r="F10" s="23" t="s">
        <v>63</v>
      </c>
      <c r="G10" s="23" t="s">
        <v>63</v>
      </c>
      <c r="H10" s="20">
        <v>-1</v>
      </c>
      <c r="I10" s="20">
        <v>-1</v>
      </c>
      <c r="J10" s="23">
        <v>-1</v>
      </c>
      <c r="K10" s="23">
        <v>-1</v>
      </c>
      <c r="L10" s="23">
        <v>-1</v>
      </c>
      <c r="M10" s="20" t="s">
        <v>62</v>
      </c>
      <c r="N10" s="20" t="s">
        <v>62</v>
      </c>
      <c r="O10" s="20" t="s">
        <v>62</v>
      </c>
      <c r="P10" s="20">
        <v>-1</v>
      </c>
      <c r="Q10" s="23">
        <v>-1</v>
      </c>
      <c r="R10" s="23">
        <v>-1</v>
      </c>
      <c r="S10" s="23">
        <v>-1</v>
      </c>
      <c r="T10" s="23">
        <v>-1</v>
      </c>
      <c r="U10" s="23">
        <v>-1</v>
      </c>
      <c r="V10" s="20">
        <v>-1</v>
      </c>
      <c r="W10" s="20">
        <v>-1</v>
      </c>
      <c r="X10" s="23">
        <v>-1</v>
      </c>
      <c r="Y10" s="23">
        <v>-1</v>
      </c>
      <c r="Z10" s="23">
        <v>-1</v>
      </c>
      <c r="AA10" s="23">
        <v>-1</v>
      </c>
      <c r="AB10" s="23">
        <v>-1</v>
      </c>
      <c r="AC10" s="20">
        <v>-1</v>
      </c>
      <c r="AD10" s="20">
        <v>-1</v>
      </c>
      <c r="AE10" s="23">
        <v>-1</v>
      </c>
    </row>
    <row r="11" spans="1:31" x14ac:dyDescent="0.2">
      <c r="A11" s="18" t="s">
        <v>11</v>
      </c>
      <c r="B11" s="20">
        <v>-1</v>
      </c>
      <c r="C11" s="23">
        <v>-1</v>
      </c>
      <c r="D11" s="23">
        <v>-1</v>
      </c>
      <c r="E11" s="23">
        <v>-1</v>
      </c>
      <c r="F11" s="23">
        <v>-1</v>
      </c>
      <c r="G11" s="20" t="s">
        <v>62</v>
      </c>
      <c r="H11" s="20">
        <v>-1</v>
      </c>
      <c r="I11" s="20">
        <v>-1</v>
      </c>
      <c r="J11" s="23">
        <v>-1</v>
      </c>
      <c r="K11" s="23">
        <v>-1</v>
      </c>
      <c r="L11" s="23">
        <v>-1</v>
      </c>
      <c r="M11" s="23">
        <v>-1</v>
      </c>
      <c r="N11" s="23">
        <v>-1</v>
      </c>
      <c r="O11" s="20">
        <v>-1</v>
      </c>
      <c r="P11" s="20">
        <v>-1</v>
      </c>
      <c r="Q11" s="23">
        <v>-1</v>
      </c>
      <c r="R11" s="23">
        <v>-1</v>
      </c>
      <c r="S11" s="23">
        <v>-1</v>
      </c>
      <c r="T11" s="23">
        <v>-1</v>
      </c>
      <c r="U11" s="23">
        <v>-1</v>
      </c>
      <c r="V11" s="20">
        <v>-1</v>
      </c>
      <c r="W11" s="20">
        <v>-1</v>
      </c>
      <c r="X11" s="23">
        <v>-1</v>
      </c>
      <c r="Y11" s="23">
        <v>-1</v>
      </c>
      <c r="Z11" s="23">
        <v>-1</v>
      </c>
      <c r="AA11" s="23">
        <v>-1</v>
      </c>
      <c r="AB11" s="23">
        <v>-1</v>
      </c>
      <c r="AC11" s="20">
        <v>-1</v>
      </c>
      <c r="AD11" s="20">
        <v>-1</v>
      </c>
      <c r="AE11" s="23">
        <v>-1</v>
      </c>
    </row>
    <row r="12" spans="1:31" x14ac:dyDescent="0.2">
      <c r="A12" s="18" t="s">
        <v>12</v>
      </c>
      <c r="B12" s="20" t="s">
        <v>62</v>
      </c>
      <c r="C12" s="23" t="s">
        <v>62</v>
      </c>
      <c r="D12" s="23" t="s">
        <v>62</v>
      </c>
      <c r="E12" s="23" t="s">
        <v>62</v>
      </c>
      <c r="F12" s="23" t="s">
        <v>62</v>
      </c>
      <c r="G12" s="23" t="s">
        <v>62</v>
      </c>
      <c r="H12" s="20" t="s">
        <v>62</v>
      </c>
      <c r="I12" s="20" t="s">
        <v>62</v>
      </c>
      <c r="J12" s="23" t="s">
        <v>62</v>
      </c>
      <c r="K12" s="23" t="s">
        <v>62</v>
      </c>
      <c r="L12" s="23" t="s">
        <v>62</v>
      </c>
      <c r="M12" s="23" t="s">
        <v>62</v>
      </c>
      <c r="N12" s="23" t="s">
        <v>62</v>
      </c>
      <c r="O12" s="20">
        <v>-1</v>
      </c>
      <c r="P12" s="20">
        <v>-1</v>
      </c>
      <c r="Q12" s="23" t="s">
        <v>63</v>
      </c>
      <c r="R12" s="23">
        <v>-1</v>
      </c>
      <c r="S12" s="23">
        <v>-1</v>
      </c>
      <c r="T12" s="23">
        <v>-1</v>
      </c>
      <c r="U12" s="23">
        <v>-1</v>
      </c>
      <c r="V12" s="20">
        <v>-1</v>
      </c>
      <c r="W12" s="20">
        <v>-1</v>
      </c>
      <c r="X12" s="23">
        <v>-1</v>
      </c>
      <c r="Y12" s="23">
        <v>-1</v>
      </c>
      <c r="Z12" s="23">
        <v>-1</v>
      </c>
      <c r="AA12" s="23">
        <v>-1</v>
      </c>
      <c r="AB12" s="23">
        <v>-1</v>
      </c>
      <c r="AC12" s="20">
        <v>-1</v>
      </c>
      <c r="AD12" s="20">
        <v>-1</v>
      </c>
      <c r="AE12" s="23">
        <v>-1</v>
      </c>
    </row>
  </sheetData>
  <conditionalFormatting sqref="B2:AE3 C4:AE4 B5:AE12">
    <cfRule type="cellIs" dxfId="13" priority="3" operator="equal">
      <formula>"B"</formula>
    </cfRule>
    <cfRule type="cellIs" dxfId="12" priority="4" operator="equal">
      <formula>"L"</formula>
    </cfRule>
  </conditionalFormatting>
  <conditionalFormatting sqref="B1:AE1">
    <cfRule type="cellIs" dxfId="11" priority="1" operator="equal">
      <formula>"B"</formula>
    </cfRule>
    <cfRule type="cellIs" dxfId="10" priority="2" operator="equal">
      <formula>"L"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37A78-2F98-5D41-B20E-75862B273935}">
  <dimension ref="A1:AE12"/>
  <sheetViews>
    <sheetView workbookViewId="0">
      <selection activeCell="J18" sqref="J18"/>
    </sheetView>
  </sheetViews>
  <sheetFormatPr baseColWidth="10" defaultRowHeight="16" x14ac:dyDescent="0.2"/>
  <cols>
    <col min="1" max="1" width="24.5" style="23" customWidth="1"/>
    <col min="2" max="2" width="10.83203125" style="20"/>
    <col min="3" max="7" width="10.83203125" style="23"/>
    <col min="8" max="9" width="10.83203125" style="20"/>
    <col min="10" max="14" width="10.83203125" style="23"/>
    <col min="15" max="16" width="10.83203125" style="20"/>
    <col min="17" max="21" width="10.83203125" style="23"/>
    <col min="22" max="23" width="10.83203125" style="20"/>
    <col min="24" max="28" width="10.83203125" style="23"/>
    <col min="29" max="30" width="10.83203125" style="20"/>
    <col min="31" max="16384" width="10.83203125" style="23"/>
  </cols>
  <sheetData>
    <row r="1" spans="1:31" x14ac:dyDescent="0.2">
      <c r="A1" s="18" t="s">
        <v>0</v>
      </c>
      <c r="B1" s="19">
        <v>46033</v>
      </c>
      <c r="C1" s="22">
        <v>46064</v>
      </c>
      <c r="D1" s="22">
        <v>46092</v>
      </c>
      <c r="E1" s="22">
        <v>46123</v>
      </c>
      <c r="F1" s="22">
        <v>46153</v>
      </c>
      <c r="G1" s="22">
        <v>46184</v>
      </c>
      <c r="H1" s="19">
        <v>46214</v>
      </c>
      <c r="I1" s="19">
        <v>46245</v>
      </c>
      <c r="J1" s="22">
        <v>46276</v>
      </c>
      <c r="K1" s="22">
        <v>46306</v>
      </c>
      <c r="L1" s="22">
        <v>46337</v>
      </c>
      <c r="M1" s="22">
        <v>46367</v>
      </c>
      <c r="N1" s="23" t="s">
        <v>38</v>
      </c>
      <c r="O1" s="20" t="s">
        <v>39</v>
      </c>
      <c r="P1" s="20" t="s">
        <v>40</v>
      </c>
      <c r="Q1" s="23" t="s">
        <v>41</v>
      </c>
      <c r="R1" s="23" t="s">
        <v>42</v>
      </c>
      <c r="S1" s="23" t="s">
        <v>43</v>
      </c>
      <c r="T1" s="23" t="s">
        <v>44</v>
      </c>
      <c r="U1" s="23" t="s">
        <v>45</v>
      </c>
      <c r="V1" s="20" t="s">
        <v>46</v>
      </c>
      <c r="W1" s="20" t="s">
        <v>47</v>
      </c>
      <c r="X1" s="23" t="s">
        <v>48</v>
      </c>
      <c r="Y1" s="23" t="s">
        <v>49</v>
      </c>
      <c r="Z1" s="23" t="s">
        <v>50</v>
      </c>
      <c r="AA1" s="23" t="s">
        <v>51</v>
      </c>
      <c r="AB1" s="23" t="s">
        <v>52</v>
      </c>
      <c r="AC1" s="20" t="s">
        <v>53</v>
      </c>
      <c r="AD1" s="20" t="s">
        <v>54</v>
      </c>
      <c r="AE1" s="23" t="s">
        <v>55</v>
      </c>
    </row>
    <row r="2" spans="1:31" x14ac:dyDescent="0.2">
      <c r="A2" s="18" t="s">
        <v>1</v>
      </c>
    </row>
    <row r="3" spans="1:31" x14ac:dyDescent="0.2">
      <c r="A3" s="18" t="s">
        <v>3</v>
      </c>
    </row>
    <row r="4" spans="1:31" x14ac:dyDescent="0.2">
      <c r="A4" s="18" t="s">
        <v>4</v>
      </c>
      <c r="C4" s="23" t="s">
        <v>61</v>
      </c>
      <c r="J4" s="23" t="s">
        <v>61</v>
      </c>
      <c r="Q4" s="23" t="s">
        <v>61</v>
      </c>
      <c r="X4" s="23" t="s">
        <v>61</v>
      </c>
      <c r="AE4" s="23" t="s">
        <v>61</v>
      </c>
    </row>
    <row r="5" spans="1:31" x14ac:dyDescent="0.2">
      <c r="A5" s="18" t="s">
        <v>5</v>
      </c>
    </row>
    <row r="6" spans="1:31" x14ac:dyDescent="0.2">
      <c r="A6" s="18" t="s">
        <v>6</v>
      </c>
    </row>
    <row r="7" spans="1:31" x14ac:dyDescent="0.2">
      <c r="A7" s="18" t="s">
        <v>7</v>
      </c>
    </row>
    <row r="8" spans="1:31" x14ac:dyDescent="0.2">
      <c r="A8" s="18" t="s">
        <v>8</v>
      </c>
    </row>
    <row r="9" spans="1:31" x14ac:dyDescent="0.2">
      <c r="A9" s="18" t="s">
        <v>9</v>
      </c>
    </row>
    <row r="10" spans="1:31" x14ac:dyDescent="0.2">
      <c r="A10" s="18" t="s">
        <v>10</v>
      </c>
    </row>
    <row r="11" spans="1:31" x14ac:dyDescent="0.2">
      <c r="A11" s="18" t="s">
        <v>11</v>
      </c>
    </row>
    <row r="12" spans="1:31" x14ac:dyDescent="0.2">
      <c r="A12" s="18" t="s">
        <v>12</v>
      </c>
    </row>
  </sheetData>
  <conditionalFormatting sqref="B1:AE12">
    <cfRule type="cellIs" dxfId="9" priority="1" operator="equal">
      <formula>"B"</formula>
    </cfRule>
    <cfRule type="cellIs" dxfId="8" priority="2" operator="equal">
      <formula>"L"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4F8A-0881-2C45-9025-DFCB379B2E79}">
  <dimension ref="A1:AE12"/>
  <sheetViews>
    <sheetView zoomScale="106" workbookViewId="0">
      <selection activeCell="B5" sqref="B5"/>
    </sheetView>
  </sheetViews>
  <sheetFormatPr baseColWidth="10" defaultRowHeight="16" x14ac:dyDescent="0.2"/>
  <cols>
    <col min="1" max="1" width="24.5" style="23" customWidth="1"/>
    <col min="2" max="2" width="10.83203125" style="20"/>
    <col min="3" max="7" width="10.83203125" style="23"/>
    <col min="8" max="9" width="10.83203125" style="20"/>
    <col min="10" max="14" width="10.83203125" style="23"/>
    <col min="15" max="16" width="10.83203125" style="20"/>
    <col min="17" max="21" width="10.83203125" style="23"/>
    <col min="22" max="23" width="10.83203125" style="20"/>
    <col min="24" max="28" width="10.83203125" style="23"/>
    <col min="29" max="30" width="10.83203125" style="20"/>
    <col min="31" max="16384" width="10.83203125" style="23"/>
  </cols>
  <sheetData>
    <row r="1" spans="1:31" x14ac:dyDescent="0.2">
      <c r="A1" s="18" t="s">
        <v>0</v>
      </c>
      <c r="B1" s="19">
        <v>46033</v>
      </c>
      <c r="C1" s="22">
        <v>46064</v>
      </c>
      <c r="D1" s="22">
        <v>46092</v>
      </c>
      <c r="E1" s="22">
        <v>46123</v>
      </c>
      <c r="F1" s="22">
        <v>46153</v>
      </c>
      <c r="G1" s="22">
        <v>46184</v>
      </c>
      <c r="H1" s="19">
        <v>46214</v>
      </c>
      <c r="I1" s="19">
        <v>46245</v>
      </c>
      <c r="J1" s="22">
        <v>46276</v>
      </c>
      <c r="K1" s="22">
        <v>46306</v>
      </c>
      <c r="L1" s="22">
        <v>46337</v>
      </c>
      <c r="M1" s="22">
        <v>46367</v>
      </c>
      <c r="N1" s="23" t="s">
        <v>38</v>
      </c>
      <c r="O1" s="20" t="s">
        <v>39</v>
      </c>
      <c r="P1" s="20" t="s">
        <v>40</v>
      </c>
      <c r="Q1" s="23" t="s">
        <v>41</v>
      </c>
      <c r="R1" s="23" t="s">
        <v>42</v>
      </c>
      <c r="S1" s="23" t="s">
        <v>43</v>
      </c>
      <c r="T1" s="23" t="s">
        <v>44</v>
      </c>
      <c r="U1" s="23" t="s">
        <v>45</v>
      </c>
      <c r="V1" s="20" t="s">
        <v>46</v>
      </c>
      <c r="W1" s="20" t="s">
        <v>47</v>
      </c>
      <c r="X1" s="23" t="s">
        <v>48</v>
      </c>
      <c r="Y1" s="23" t="s">
        <v>49</v>
      </c>
      <c r="Z1" s="23" t="s">
        <v>50</v>
      </c>
      <c r="AA1" s="23" t="s">
        <v>51</v>
      </c>
      <c r="AB1" s="23" t="s">
        <v>52</v>
      </c>
      <c r="AC1" s="20" t="s">
        <v>53</v>
      </c>
      <c r="AD1" s="20" t="s">
        <v>54</v>
      </c>
      <c r="AE1" s="23" t="s">
        <v>55</v>
      </c>
    </row>
    <row r="2" spans="1:31" x14ac:dyDescent="0.2">
      <c r="A2" s="18" t="s">
        <v>1</v>
      </c>
      <c r="B2" s="20">
        <v>-1</v>
      </c>
      <c r="C2" s="23">
        <v>-1</v>
      </c>
      <c r="D2" s="23">
        <v>-1</v>
      </c>
      <c r="E2" s="23">
        <v>-1</v>
      </c>
      <c r="F2" s="23">
        <v>-1</v>
      </c>
      <c r="G2" s="23">
        <v>-1</v>
      </c>
      <c r="H2" s="20">
        <v>-1</v>
      </c>
      <c r="I2" s="20">
        <v>-1</v>
      </c>
      <c r="J2" s="23">
        <v>-1</v>
      </c>
      <c r="K2" s="23">
        <v>-1</v>
      </c>
      <c r="L2" s="23">
        <v>-1</v>
      </c>
      <c r="M2" s="23">
        <v>-1</v>
      </c>
      <c r="N2" s="23">
        <v>-1</v>
      </c>
      <c r="O2" s="20">
        <v>-1</v>
      </c>
      <c r="P2" s="20">
        <v>-1</v>
      </c>
      <c r="Q2" s="23">
        <v>-1</v>
      </c>
      <c r="R2" s="23">
        <v>-1</v>
      </c>
      <c r="S2" s="23">
        <v>-1</v>
      </c>
      <c r="T2" s="23">
        <v>-1</v>
      </c>
      <c r="U2" s="23">
        <v>-1</v>
      </c>
      <c r="V2" s="20">
        <v>-1</v>
      </c>
      <c r="W2" s="20">
        <v>-1</v>
      </c>
      <c r="X2" s="23">
        <v>-1</v>
      </c>
      <c r="Y2" s="23">
        <v>-1</v>
      </c>
      <c r="Z2" s="23">
        <v>-1</v>
      </c>
      <c r="AA2" s="23">
        <v>-1</v>
      </c>
      <c r="AB2" s="23">
        <v>-1</v>
      </c>
      <c r="AC2" s="20">
        <v>-1</v>
      </c>
      <c r="AD2" s="20">
        <v>-1</v>
      </c>
      <c r="AE2" s="23">
        <v>-1</v>
      </c>
    </row>
    <row r="3" spans="1:31" x14ac:dyDescent="0.2">
      <c r="A3" s="18" t="s">
        <v>3</v>
      </c>
      <c r="B3" s="20">
        <v>-1</v>
      </c>
      <c r="C3" s="23">
        <v>-1</v>
      </c>
      <c r="D3" s="23">
        <v>-1</v>
      </c>
      <c r="E3" s="23">
        <v>-1</v>
      </c>
      <c r="F3" s="23">
        <v>-1</v>
      </c>
      <c r="G3" s="23">
        <v>-1</v>
      </c>
      <c r="H3" s="20">
        <v>-1</v>
      </c>
      <c r="I3" s="20">
        <v>-1</v>
      </c>
      <c r="J3" s="23">
        <v>-1</v>
      </c>
      <c r="K3" s="23">
        <v>-1</v>
      </c>
      <c r="L3" s="23">
        <v>-1</v>
      </c>
      <c r="M3" s="23">
        <v>-1</v>
      </c>
      <c r="N3" s="23">
        <v>-1</v>
      </c>
      <c r="O3" s="20">
        <v>-1</v>
      </c>
      <c r="P3" s="20">
        <v>-1</v>
      </c>
      <c r="Q3" s="23">
        <v>-1</v>
      </c>
      <c r="R3" s="23">
        <v>-1</v>
      </c>
      <c r="S3" s="23">
        <v>-1</v>
      </c>
      <c r="T3" s="23">
        <v>-1</v>
      </c>
      <c r="U3" s="23">
        <v>-1</v>
      </c>
      <c r="V3" s="20">
        <v>-1</v>
      </c>
      <c r="W3" s="20">
        <v>-1</v>
      </c>
      <c r="X3" s="23">
        <v>-1</v>
      </c>
      <c r="Y3" s="23">
        <v>-1</v>
      </c>
      <c r="Z3" s="23">
        <v>-1</v>
      </c>
      <c r="AA3" s="23">
        <v>-1</v>
      </c>
      <c r="AB3" s="23">
        <v>-1</v>
      </c>
      <c r="AC3" s="20">
        <v>-1</v>
      </c>
      <c r="AD3" s="20">
        <v>-1</v>
      </c>
      <c r="AE3" s="23">
        <v>-1</v>
      </c>
    </row>
    <row r="4" spans="1:31" x14ac:dyDescent="0.2">
      <c r="A4" s="18" t="s">
        <v>4</v>
      </c>
      <c r="B4" s="20">
        <v>-1</v>
      </c>
      <c r="C4" s="23">
        <v>-1</v>
      </c>
      <c r="D4" s="23">
        <v>-1</v>
      </c>
      <c r="E4" s="23">
        <v>-1</v>
      </c>
      <c r="F4" s="23">
        <v>-1</v>
      </c>
      <c r="G4" s="23">
        <v>-1</v>
      </c>
      <c r="H4" s="20">
        <v>-1</v>
      </c>
      <c r="I4" s="20">
        <v>-1</v>
      </c>
      <c r="J4" s="23">
        <v>-1</v>
      </c>
      <c r="K4" s="23">
        <v>-1</v>
      </c>
      <c r="L4" s="23">
        <v>-1</v>
      </c>
      <c r="M4" s="23">
        <v>-1</v>
      </c>
      <c r="N4" s="23">
        <v>-1</v>
      </c>
      <c r="O4" s="20">
        <v>-1</v>
      </c>
      <c r="P4" s="20">
        <v>-1</v>
      </c>
      <c r="Q4" s="23">
        <v>-1</v>
      </c>
      <c r="R4" s="23">
        <v>-1</v>
      </c>
      <c r="S4" s="23">
        <v>-1</v>
      </c>
      <c r="T4" s="23">
        <v>-1</v>
      </c>
      <c r="U4" s="23">
        <v>-1</v>
      </c>
      <c r="V4" s="20">
        <v>-1</v>
      </c>
      <c r="W4" s="20">
        <v>-1</v>
      </c>
      <c r="X4" s="23">
        <v>-1</v>
      </c>
      <c r="Y4" s="23">
        <v>-1</v>
      </c>
      <c r="Z4" s="23">
        <v>-1</v>
      </c>
      <c r="AA4" s="23">
        <v>-1</v>
      </c>
      <c r="AB4" s="23">
        <v>-1</v>
      </c>
      <c r="AC4" s="20">
        <v>-1</v>
      </c>
      <c r="AD4" s="20">
        <v>-1</v>
      </c>
      <c r="AE4" s="23">
        <v>-1</v>
      </c>
    </row>
    <row r="5" spans="1:31" x14ac:dyDescent="0.2">
      <c r="A5" s="18" t="s">
        <v>5</v>
      </c>
      <c r="B5" s="20">
        <v>1</v>
      </c>
      <c r="C5" s="23">
        <v>-1</v>
      </c>
      <c r="D5" s="23">
        <v>-1</v>
      </c>
      <c r="E5" s="23">
        <v>-1</v>
      </c>
      <c r="F5" s="23">
        <v>-1</v>
      </c>
      <c r="G5" s="23">
        <v>-1</v>
      </c>
      <c r="H5" s="20">
        <v>1</v>
      </c>
      <c r="I5" s="20">
        <v>-1</v>
      </c>
      <c r="J5" s="23">
        <v>-1</v>
      </c>
      <c r="K5" s="23">
        <v>-1</v>
      </c>
      <c r="L5" s="23">
        <v>-1</v>
      </c>
      <c r="M5" s="23">
        <v>-1</v>
      </c>
      <c r="N5" s="23">
        <v>-1</v>
      </c>
      <c r="O5" s="20">
        <v>-1</v>
      </c>
      <c r="P5" s="20">
        <v>-1</v>
      </c>
      <c r="Q5" s="23">
        <v>-1</v>
      </c>
      <c r="R5" s="23">
        <v>-1</v>
      </c>
      <c r="S5" s="23">
        <v>-1</v>
      </c>
      <c r="T5" s="23">
        <v>-1</v>
      </c>
      <c r="U5" s="23">
        <v>-1</v>
      </c>
      <c r="V5" s="20">
        <v>-1</v>
      </c>
      <c r="W5" s="20">
        <v>-1</v>
      </c>
      <c r="X5" s="23">
        <v>-1</v>
      </c>
      <c r="Y5" s="23">
        <v>-1</v>
      </c>
      <c r="Z5" s="23">
        <v>-1</v>
      </c>
      <c r="AA5" s="23">
        <v>-1</v>
      </c>
      <c r="AB5" s="23">
        <v>-1</v>
      </c>
      <c r="AC5" s="20">
        <v>-1</v>
      </c>
      <c r="AD5" s="20">
        <v>-1</v>
      </c>
      <c r="AE5" s="23">
        <v>-1</v>
      </c>
    </row>
    <row r="6" spans="1:31" x14ac:dyDescent="0.2">
      <c r="A6" s="18" t="s">
        <v>6</v>
      </c>
      <c r="B6" s="20">
        <v>0</v>
      </c>
      <c r="C6" s="23">
        <v>-1</v>
      </c>
      <c r="D6" s="23">
        <v>-1</v>
      </c>
      <c r="E6" s="23">
        <v>-1</v>
      </c>
      <c r="F6" s="23">
        <v>-1</v>
      </c>
      <c r="G6" s="23">
        <v>-1</v>
      </c>
      <c r="H6" s="20">
        <v>0</v>
      </c>
      <c r="I6" s="20">
        <v>1</v>
      </c>
      <c r="J6" s="23">
        <v>-1</v>
      </c>
      <c r="K6" s="23">
        <v>-1</v>
      </c>
      <c r="L6" s="23">
        <v>-1</v>
      </c>
      <c r="M6" s="23">
        <v>-1</v>
      </c>
      <c r="N6" s="23">
        <v>-1</v>
      </c>
      <c r="O6" s="20">
        <v>-1</v>
      </c>
      <c r="P6" s="20">
        <v>1</v>
      </c>
      <c r="Q6" s="23">
        <v>-1</v>
      </c>
      <c r="R6" s="23">
        <v>-1</v>
      </c>
      <c r="S6" s="23">
        <v>-1</v>
      </c>
      <c r="T6" s="23">
        <v>-1</v>
      </c>
      <c r="U6" s="23">
        <v>-1</v>
      </c>
      <c r="V6" s="20">
        <v>-1</v>
      </c>
      <c r="W6" s="20">
        <v>-1</v>
      </c>
      <c r="X6" s="23">
        <v>-1</v>
      </c>
      <c r="Y6" s="23">
        <v>-1</v>
      </c>
      <c r="Z6" s="23">
        <v>-1</v>
      </c>
      <c r="AA6" s="23">
        <v>-1</v>
      </c>
      <c r="AB6" s="23">
        <v>-1</v>
      </c>
      <c r="AC6" s="20">
        <v>-1</v>
      </c>
      <c r="AD6" s="20">
        <v>-1</v>
      </c>
      <c r="AE6" s="23">
        <v>-1</v>
      </c>
    </row>
    <row r="7" spans="1:31" x14ac:dyDescent="0.2">
      <c r="A7" s="18" t="s">
        <v>7</v>
      </c>
      <c r="B7" s="20">
        <v>-1</v>
      </c>
      <c r="C7" s="23">
        <v>-1</v>
      </c>
      <c r="D7" s="23">
        <v>-1</v>
      </c>
      <c r="E7" s="23">
        <v>-1</v>
      </c>
      <c r="F7" s="23">
        <v>-1</v>
      </c>
      <c r="G7" s="23">
        <v>-1</v>
      </c>
      <c r="H7" s="20">
        <v>-1</v>
      </c>
      <c r="I7" s="20">
        <v>-1</v>
      </c>
      <c r="J7" s="23">
        <v>-1</v>
      </c>
      <c r="K7" s="23">
        <v>-1</v>
      </c>
      <c r="L7" s="23">
        <v>-1</v>
      </c>
      <c r="M7" s="23">
        <v>-1</v>
      </c>
      <c r="N7" s="23">
        <v>-1</v>
      </c>
      <c r="O7" s="20">
        <v>-1</v>
      </c>
      <c r="P7" s="20">
        <v>-1</v>
      </c>
      <c r="Q7" s="23">
        <v>-1</v>
      </c>
      <c r="R7" s="23">
        <v>-1</v>
      </c>
      <c r="S7" s="23">
        <v>-1</v>
      </c>
      <c r="T7" s="23">
        <v>-1</v>
      </c>
      <c r="U7" s="23">
        <v>-1</v>
      </c>
      <c r="V7" s="20">
        <v>-1</v>
      </c>
      <c r="W7" s="20">
        <v>-1</v>
      </c>
      <c r="X7" s="23">
        <v>-1</v>
      </c>
      <c r="Y7" s="23">
        <v>-1</v>
      </c>
      <c r="Z7" s="23">
        <v>-1</v>
      </c>
      <c r="AA7" s="23">
        <v>-1</v>
      </c>
      <c r="AB7" s="23">
        <v>-1</v>
      </c>
      <c r="AC7" s="20">
        <v>-1</v>
      </c>
      <c r="AD7" s="20">
        <v>-1</v>
      </c>
      <c r="AE7" s="23">
        <v>-1</v>
      </c>
    </row>
    <row r="8" spans="1:31" x14ac:dyDescent="0.2">
      <c r="A8" s="18" t="s">
        <v>8</v>
      </c>
      <c r="B8" s="20">
        <v>-1</v>
      </c>
      <c r="C8" s="23">
        <v>-1</v>
      </c>
      <c r="D8" s="23">
        <v>-1</v>
      </c>
      <c r="E8" s="23">
        <v>-1</v>
      </c>
      <c r="F8" s="23">
        <v>-1</v>
      </c>
      <c r="G8" s="23">
        <v>-1</v>
      </c>
      <c r="H8" s="20">
        <v>-1</v>
      </c>
      <c r="I8" s="20">
        <v>-1</v>
      </c>
      <c r="J8" s="23">
        <v>-1</v>
      </c>
      <c r="K8" s="23">
        <v>-1</v>
      </c>
      <c r="L8" s="23">
        <v>-1</v>
      </c>
      <c r="M8" s="23">
        <v>-1</v>
      </c>
      <c r="N8" s="23">
        <v>-1</v>
      </c>
      <c r="O8" s="20">
        <v>-1</v>
      </c>
      <c r="P8" s="20">
        <v>-1</v>
      </c>
      <c r="Q8" s="23">
        <v>-1</v>
      </c>
      <c r="R8" s="23">
        <v>-1</v>
      </c>
      <c r="S8" s="23">
        <v>-1</v>
      </c>
      <c r="T8" s="23">
        <v>-1</v>
      </c>
      <c r="U8" s="23">
        <v>-1</v>
      </c>
      <c r="V8" s="20">
        <v>-1</v>
      </c>
      <c r="W8" s="20">
        <v>-1</v>
      </c>
      <c r="X8" s="23">
        <v>-1</v>
      </c>
      <c r="Y8" s="23">
        <v>-1</v>
      </c>
      <c r="Z8" s="23">
        <v>-1</v>
      </c>
      <c r="AA8" s="23">
        <v>-1</v>
      </c>
      <c r="AB8" s="23">
        <v>-1</v>
      </c>
      <c r="AC8" s="20">
        <v>-1</v>
      </c>
      <c r="AD8" s="20">
        <v>-1</v>
      </c>
      <c r="AE8" s="23">
        <v>-1</v>
      </c>
    </row>
    <row r="9" spans="1:31" x14ac:dyDescent="0.2">
      <c r="A9" s="18" t="s">
        <v>9</v>
      </c>
      <c r="B9" s="20">
        <v>-1</v>
      </c>
      <c r="C9" s="23">
        <v>-1</v>
      </c>
      <c r="D9" s="23">
        <v>-1</v>
      </c>
      <c r="E9" s="23">
        <v>-1</v>
      </c>
      <c r="F9" s="23">
        <v>-1</v>
      </c>
      <c r="G9" s="23">
        <v>-1</v>
      </c>
      <c r="H9" s="20">
        <v>-1</v>
      </c>
      <c r="I9" s="20">
        <v>-1</v>
      </c>
      <c r="J9" s="23">
        <v>-1</v>
      </c>
      <c r="K9" s="23">
        <v>-1</v>
      </c>
      <c r="L9" s="23">
        <v>-1</v>
      </c>
      <c r="M9" s="23">
        <v>-1</v>
      </c>
      <c r="N9" s="23">
        <v>-1</v>
      </c>
      <c r="O9" s="20">
        <v>-1</v>
      </c>
      <c r="P9" s="20">
        <v>-1</v>
      </c>
      <c r="Q9" s="23">
        <v>-1</v>
      </c>
      <c r="R9" s="23">
        <v>-1</v>
      </c>
      <c r="S9" s="23">
        <v>-1</v>
      </c>
      <c r="T9" s="23">
        <v>-1</v>
      </c>
      <c r="U9" s="23">
        <v>-1</v>
      </c>
      <c r="V9" s="20">
        <v>-1</v>
      </c>
      <c r="W9" s="20">
        <v>-1</v>
      </c>
      <c r="X9" s="23">
        <v>-1</v>
      </c>
      <c r="Y9" s="23">
        <v>-1</v>
      </c>
      <c r="Z9" s="23">
        <v>-1</v>
      </c>
      <c r="AA9" s="23">
        <v>-1</v>
      </c>
      <c r="AB9" s="23">
        <v>-1</v>
      </c>
      <c r="AC9" s="20">
        <v>-1</v>
      </c>
      <c r="AD9" s="20">
        <v>-1</v>
      </c>
      <c r="AE9" s="23">
        <v>-1</v>
      </c>
    </row>
    <row r="10" spans="1:31" x14ac:dyDescent="0.2">
      <c r="A10" s="18" t="s">
        <v>10</v>
      </c>
      <c r="B10" s="20">
        <v>-1</v>
      </c>
      <c r="C10" s="23">
        <v>-1</v>
      </c>
      <c r="D10" s="23">
        <v>-1</v>
      </c>
      <c r="E10" s="23">
        <v>-1</v>
      </c>
      <c r="F10" s="23">
        <v>-1</v>
      </c>
      <c r="G10" s="23">
        <v>-1</v>
      </c>
      <c r="H10" s="20">
        <v>-1</v>
      </c>
      <c r="I10" s="20">
        <v>-1</v>
      </c>
      <c r="J10" s="23">
        <v>-1</v>
      </c>
      <c r="K10" s="23">
        <v>-1</v>
      </c>
      <c r="L10" s="23">
        <v>-1</v>
      </c>
      <c r="M10" s="23">
        <v>-1</v>
      </c>
      <c r="N10" s="23">
        <v>-1</v>
      </c>
      <c r="O10" s="20">
        <v>-1</v>
      </c>
      <c r="P10" s="20">
        <v>-1</v>
      </c>
      <c r="Q10" s="23">
        <v>-1</v>
      </c>
      <c r="R10" s="23">
        <v>-1</v>
      </c>
      <c r="S10" s="23">
        <v>-1</v>
      </c>
      <c r="T10" s="23">
        <v>-1</v>
      </c>
      <c r="U10" s="23">
        <v>-1</v>
      </c>
      <c r="V10" s="20">
        <v>-1</v>
      </c>
      <c r="W10" s="20">
        <v>-1</v>
      </c>
      <c r="X10" s="23">
        <v>-1</v>
      </c>
      <c r="Y10" s="23">
        <v>-1</v>
      </c>
      <c r="Z10" s="23">
        <v>-1</v>
      </c>
      <c r="AA10" s="23">
        <v>-1</v>
      </c>
      <c r="AB10" s="23">
        <v>-1</v>
      </c>
      <c r="AC10" s="20">
        <v>-1</v>
      </c>
      <c r="AD10" s="20">
        <v>-1</v>
      </c>
      <c r="AE10" s="23">
        <v>-1</v>
      </c>
    </row>
    <row r="11" spans="1:31" x14ac:dyDescent="0.2">
      <c r="A11" s="18" t="s">
        <v>11</v>
      </c>
      <c r="B11" s="20">
        <v>-1</v>
      </c>
      <c r="C11" s="23">
        <v>-1</v>
      </c>
      <c r="D11" s="23">
        <v>-1</v>
      </c>
      <c r="E11" s="23">
        <v>-1</v>
      </c>
      <c r="F11" s="23">
        <v>-1</v>
      </c>
      <c r="G11" s="23">
        <v>-1</v>
      </c>
      <c r="H11" s="20">
        <v>-1</v>
      </c>
      <c r="I11" s="20">
        <v>-1</v>
      </c>
      <c r="J11" s="23">
        <v>-1</v>
      </c>
      <c r="K11" s="23">
        <v>-1</v>
      </c>
      <c r="L11" s="23">
        <v>-1</v>
      </c>
      <c r="M11" s="23">
        <v>-1</v>
      </c>
      <c r="N11" s="23">
        <v>-1</v>
      </c>
      <c r="O11" s="20">
        <v>-1</v>
      </c>
      <c r="P11" s="20">
        <v>-1</v>
      </c>
      <c r="Q11" s="23">
        <v>-1</v>
      </c>
      <c r="R11" s="23">
        <v>-1</v>
      </c>
      <c r="S11" s="23">
        <v>-1</v>
      </c>
      <c r="T11" s="23">
        <v>-1</v>
      </c>
      <c r="U11" s="23">
        <v>-1</v>
      </c>
      <c r="V11" s="20">
        <v>-1</v>
      </c>
      <c r="W11" s="20">
        <v>-1</v>
      </c>
      <c r="X11" s="23">
        <v>-1</v>
      </c>
      <c r="Y11" s="23">
        <v>-1</v>
      </c>
      <c r="Z11" s="23">
        <v>-1</v>
      </c>
      <c r="AA11" s="23">
        <v>-1</v>
      </c>
      <c r="AB11" s="23">
        <v>-1</v>
      </c>
      <c r="AC11" s="20">
        <v>-1</v>
      </c>
      <c r="AD11" s="20">
        <v>-1</v>
      </c>
      <c r="AE11" s="23">
        <v>-1</v>
      </c>
    </row>
    <row r="12" spans="1:31" x14ac:dyDescent="0.2">
      <c r="A12" s="18" t="s">
        <v>12</v>
      </c>
      <c r="B12" s="20">
        <v>-1</v>
      </c>
      <c r="C12" s="23">
        <v>-1</v>
      </c>
      <c r="D12" s="23">
        <v>-1</v>
      </c>
      <c r="E12" s="23">
        <v>-1</v>
      </c>
      <c r="F12" s="23">
        <v>-1</v>
      </c>
      <c r="G12" s="23">
        <v>-1</v>
      </c>
      <c r="H12" s="20">
        <v>-1</v>
      </c>
      <c r="I12" s="20">
        <v>-1</v>
      </c>
      <c r="J12" s="23">
        <v>-1</v>
      </c>
      <c r="K12" s="23">
        <v>-1</v>
      </c>
      <c r="L12" s="23">
        <v>-1</v>
      </c>
      <c r="M12" s="23">
        <v>-1</v>
      </c>
      <c r="N12" s="23">
        <v>-1</v>
      </c>
      <c r="O12" s="20">
        <v>-1</v>
      </c>
      <c r="P12" s="20">
        <v>-1</v>
      </c>
      <c r="Q12" s="23">
        <v>-1</v>
      </c>
      <c r="R12" s="23">
        <v>-1</v>
      </c>
      <c r="S12" s="23">
        <v>-1</v>
      </c>
      <c r="T12" s="23">
        <v>-1</v>
      </c>
      <c r="U12" s="23">
        <v>-1</v>
      </c>
      <c r="V12" s="20">
        <v>-1</v>
      </c>
      <c r="W12" s="20">
        <v>-1</v>
      </c>
      <c r="X12" s="23">
        <v>-1</v>
      </c>
      <c r="Y12" s="23">
        <v>-1</v>
      </c>
      <c r="Z12" s="23">
        <v>-1</v>
      </c>
      <c r="AA12" s="23">
        <v>-1</v>
      </c>
      <c r="AB12" s="23">
        <v>-1</v>
      </c>
      <c r="AC12" s="20">
        <v>-1</v>
      </c>
      <c r="AD12" s="20">
        <v>-1</v>
      </c>
      <c r="AE12" s="23">
        <v>-1</v>
      </c>
    </row>
  </sheetData>
  <conditionalFormatting sqref="B1:AE12">
    <cfRule type="cellIs" dxfId="7" priority="3" operator="equal">
      <formula>"B"</formula>
    </cfRule>
    <cfRule type="cellIs" dxfId="6" priority="4" operator="equal">
      <formula>"L"</formula>
    </cfRule>
  </conditionalFormatting>
  <conditionalFormatting sqref="A1:AE12">
    <cfRule type="cellIs" dxfId="5" priority="1" operator="equal">
      <formula>1</formula>
    </cfRule>
    <cfRule type="cellIs" dxfId="4" priority="2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5DF3-4EE4-574A-9AD7-D44223B44C2A}">
  <dimension ref="A1:AE12"/>
  <sheetViews>
    <sheetView workbookViewId="0">
      <selection activeCell="G1" sqref="G1:I1048576"/>
    </sheetView>
  </sheetViews>
  <sheetFormatPr baseColWidth="10" defaultRowHeight="16" x14ac:dyDescent="0.2"/>
  <cols>
    <col min="1" max="1" width="10.83203125" style="23"/>
    <col min="2" max="2" width="10.83203125" style="20"/>
    <col min="3" max="7" width="10.83203125" style="23"/>
    <col min="8" max="9" width="10.83203125" style="20"/>
    <col min="10" max="14" width="10.83203125" style="23"/>
    <col min="15" max="16" width="10.83203125" style="20"/>
    <col min="17" max="21" width="10.83203125" style="23"/>
    <col min="22" max="23" width="10.83203125" style="20"/>
    <col min="24" max="28" width="10.83203125" style="23"/>
    <col min="29" max="30" width="10.83203125" style="20"/>
    <col min="31" max="16384" width="10.83203125" style="23"/>
  </cols>
  <sheetData>
    <row r="1" spans="1:31" x14ac:dyDescent="0.2">
      <c r="A1" s="18" t="s">
        <v>14</v>
      </c>
      <c r="B1" s="19">
        <v>46033</v>
      </c>
      <c r="C1" s="22">
        <v>46064</v>
      </c>
      <c r="D1" s="22">
        <v>46092</v>
      </c>
      <c r="E1" s="22">
        <v>46123</v>
      </c>
      <c r="F1" s="22">
        <v>46153</v>
      </c>
      <c r="G1" s="22">
        <v>46184</v>
      </c>
      <c r="H1" s="19">
        <v>46214</v>
      </c>
      <c r="I1" s="19">
        <v>46245</v>
      </c>
      <c r="J1" s="22">
        <v>46276</v>
      </c>
      <c r="K1" s="22">
        <v>46306</v>
      </c>
      <c r="L1" s="22">
        <v>46337</v>
      </c>
      <c r="M1" s="22">
        <v>46367</v>
      </c>
      <c r="N1" s="23" t="s">
        <v>38</v>
      </c>
      <c r="O1" s="20" t="s">
        <v>39</v>
      </c>
      <c r="P1" s="20" t="s">
        <v>40</v>
      </c>
      <c r="Q1" s="23" t="s">
        <v>41</v>
      </c>
      <c r="R1" s="23" t="s">
        <v>42</v>
      </c>
      <c r="S1" s="23" t="s">
        <v>43</v>
      </c>
      <c r="T1" s="23" t="s">
        <v>44</v>
      </c>
      <c r="U1" s="23" t="s">
        <v>45</v>
      </c>
      <c r="V1" s="20" t="s">
        <v>46</v>
      </c>
      <c r="W1" s="20" t="s">
        <v>47</v>
      </c>
      <c r="X1" s="23" t="s">
        <v>48</v>
      </c>
      <c r="Y1" s="23" t="s">
        <v>49</v>
      </c>
      <c r="Z1" s="23" t="s">
        <v>50</v>
      </c>
      <c r="AA1" s="23" t="s">
        <v>51</v>
      </c>
      <c r="AB1" s="23" t="s">
        <v>52</v>
      </c>
      <c r="AC1" s="20" t="s">
        <v>53</v>
      </c>
      <c r="AD1" s="20" t="s">
        <v>54</v>
      </c>
      <c r="AE1" s="23" t="s">
        <v>55</v>
      </c>
    </row>
    <row r="2" spans="1:31" x14ac:dyDescent="0.2">
      <c r="A2" s="18" t="s">
        <v>56</v>
      </c>
      <c r="B2" s="20">
        <v>0</v>
      </c>
      <c r="C2" s="23">
        <v>3</v>
      </c>
      <c r="D2" s="23">
        <v>3</v>
      </c>
      <c r="E2" s="23">
        <v>3</v>
      </c>
      <c r="F2" s="23">
        <v>3</v>
      </c>
      <c r="G2" s="23">
        <v>3</v>
      </c>
      <c r="H2" s="20">
        <v>0</v>
      </c>
      <c r="I2" s="20">
        <v>0</v>
      </c>
      <c r="J2" s="23">
        <v>3</v>
      </c>
      <c r="K2" s="23">
        <v>3</v>
      </c>
      <c r="L2" s="23">
        <v>3</v>
      </c>
      <c r="M2" s="23">
        <v>3</v>
      </c>
      <c r="N2" s="23">
        <v>3</v>
      </c>
      <c r="O2" s="20">
        <v>0</v>
      </c>
      <c r="P2" s="20">
        <v>0</v>
      </c>
      <c r="Q2" s="23">
        <v>3</v>
      </c>
      <c r="R2" s="23">
        <v>3</v>
      </c>
      <c r="S2" s="23">
        <v>3</v>
      </c>
      <c r="T2" s="23">
        <v>3</v>
      </c>
      <c r="U2" s="23">
        <v>3</v>
      </c>
      <c r="V2" s="20">
        <v>0</v>
      </c>
      <c r="W2" s="20">
        <v>0</v>
      </c>
      <c r="X2" s="23">
        <v>3</v>
      </c>
      <c r="Y2" s="23">
        <v>3</v>
      </c>
      <c r="Z2" s="23">
        <v>3</v>
      </c>
      <c r="AA2" s="23">
        <v>3</v>
      </c>
      <c r="AB2" s="23">
        <v>3</v>
      </c>
      <c r="AC2" s="20">
        <v>0</v>
      </c>
      <c r="AD2" s="20">
        <v>0</v>
      </c>
      <c r="AE2" s="23">
        <v>3</v>
      </c>
    </row>
    <row r="3" spans="1:31" x14ac:dyDescent="0.2">
      <c r="A3" s="18" t="s">
        <v>57</v>
      </c>
      <c r="B3" s="20">
        <v>0</v>
      </c>
      <c r="C3" s="23">
        <v>2</v>
      </c>
      <c r="D3" s="23">
        <v>2</v>
      </c>
      <c r="E3" s="23">
        <v>2</v>
      </c>
      <c r="F3" s="23">
        <v>2</v>
      </c>
      <c r="G3" s="23">
        <v>2</v>
      </c>
      <c r="H3" s="20">
        <v>0</v>
      </c>
      <c r="I3" s="20">
        <v>0</v>
      </c>
      <c r="J3" s="23">
        <v>2</v>
      </c>
      <c r="K3" s="23">
        <v>2</v>
      </c>
      <c r="L3" s="23">
        <v>2</v>
      </c>
      <c r="M3" s="23">
        <v>2</v>
      </c>
      <c r="N3" s="23">
        <v>2</v>
      </c>
      <c r="O3" s="20">
        <v>0</v>
      </c>
      <c r="P3" s="20">
        <v>0</v>
      </c>
      <c r="Q3" s="23">
        <v>2</v>
      </c>
      <c r="R3" s="23">
        <v>2</v>
      </c>
      <c r="S3" s="23">
        <v>2</v>
      </c>
      <c r="T3" s="23">
        <v>2</v>
      </c>
      <c r="U3" s="23">
        <v>2</v>
      </c>
      <c r="V3" s="20">
        <v>0</v>
      </c>
      <c r="W3" s="20">
        <v>0</v>
      </c>
      <c r="X3" s="23">
        <v>2</v>
      </c>
      <c r="Y3" s="23">
        <v>2</v>
      </c>
      <c r="Z3" s="23">
        <v>2</v>
      </c>
      <c r="AA3" s="23">
        <v>2</v>
      </c>
      <c r="AB3" s="23">
        <v>2</v>
      </c>
      <c r="AC3" s="20">
        <v>0</v>
      </c>
      <c r="AD3" s="20">
        <v>0</v>
      </c>
      <c r="AE3" s="23">
        <v>2</v>
      </c>
    </row>
    <row r="4" spans="1:31" x14ac:dyDescent="0.2">
      <c r="A4" s="18" t="s">
        <v>58</v>
      </c>
      <c r="B4" s="20">
        <v>0</v>
      </c>
      <c r="C4" s="23">
        <v>2</v>
      </c>
      <c r="D4" s="23">
        <v>2</v>
      </c>
      <c r="E4" s="23">
        <v>2</v>
      </c>
      <c r="F4" s="23">
        <v>2</v>
      </c>
      <c r="G4" s="23">
        <v>2</v>
      </c>
      <c r="H4" s="20">
        <v>0</v>
      </c>
      <c r="I4" s="20">
        <v>0</v>
      </c>
      <c r="J4" s="23">
        <v>2</v>
      </c>
      <c r="K4" s="23">
        <v>2</v>
      </c>
      <c r="L4" s="23">
        <v>2</v>
      </c>
      <c r="M4" s="23">
        <v>2</v>
      </c>
      <c r="N4" s="23">
        <v>2</v>
      </c>
      <c r="O4" s="20">
        <v>0</v>
      </c>
      <c r="P4" s="20">
        <v>0</v>
      </c>
      <c r="Q4" s="23">
        <v>2</v>
      </c>
      <c r="R4" s="23">
        <v>2</v>
      </c>
      <c r="S4" s="23">
        <v>2</v>
      </c>
      <c r="T4" s="23">
        <v>2</v>
      </c>
      <c r="U4" s="23">
        <v>2</v>
      </c>
      <c r="V4" s="20">
        <v>0</v>
      </c>
      <c r="W4" s="20">
        <v>0</v>
      </c>
      <c r="X4" s="23">
        <v>2</v>
      </c>
      <c r="Y4" s="23">
        <v>2</v>
      </c>
      <c r="Z4" s="23">
        <v>2</v>
      </c>
      <c r="AA4" s="23">
        <v>2</v>
      </c>
      <c r="AB4" s="23">
        <v>2</v>
      </c>
      <c r="AC4" s="20">
        <v>0</v>
      </c>
      <c r="AD4" s="20">
        <v>0</v>
      </c>
      <c r="AE4" s="23">
        <v>2</v>
      </c>
    </row>
    <row r="5" spans="1:31" x14ac:dyDescent="0.2">
      <c r="A5" s="18" t="s">
        <v>59</v>
      </c>
      <c r="B5" s="20">
        <v>0</v>
      </c>
      <c r="C5" s="23">
        <v>1</v>
      </c>
      <c r="D5" s="23">
        <v>1</v>
      </c>
      <c r="E5" s="23">
        <v>1</v>
      </c>
      <c r="F5" s="23">
        <v>1</v>
      </c>
      <c r="G5" s="23">
        <v>1</v>
      </c>
      <c r="H5" s="20">
        <v>0</v>
      </c>
      <c r="I5" s="20">
        <v>0</v>
      </c>
      <c r="J5" s="23">
        <v>1</v>
      </c>
      <c r="K5" s="23">
        <v>1</v>
      </c>
      <c r="L5" s="23">
        <v>1</v>
      </c>
      <c r="M5" s="23">
        <v>1</v>
      </c>
      <c r="N5" s="23">
        <v>1</v>
      </c>
      <c r="O5" s="20">
        <v>0</v>
      </c>
      <c r="P5" s="20">
        <v>0</v>
      </c>
      <c r="Q5" s="23">
        <v>1</v>
      </c>
      <c r="R5" s="23">
        <v>1</v>
      </c>
      <c r="S5" s="23">
        <v>1</v>
      </c>
      <c r="T5" s="23">
        <v>1</v>
      </c>
      <c r="U5" s="23">
        <v>1</v>
      </c>
      <c r="V5" s="20">
        <v>0</v>
      </c>
      <c r="W5" s="20">
        <v>0</v>
      </c>
      <c r="X5" s="23">
        <v>1</v>
      </c>
      <c r="Y5" s="23">
        <v>1</v>
      </c>
      <c r="Z5" s="23">
        <v>1</v>
      </c>
      <c r="AA5" s="23">
        <v>1</v>
      </c>
      <c r="AB5" s="23">
        <v>1</v>
      </c>
      <c r="AC5" s="20">
        <v>0</v>
      </c>
      <c r="AD5" s="20">
        <v>0</v>
      </c>
      <c r="AE5" s="23">
        <v>1</v>
      </c>
    </row>
    <row r="6" spans="1:31" x14ac:dyDescent="0.2">
      <c r="A6" s="18" t="s">
        <v>60</v>
      </c>
      <c r="B6" s="20">
        <v>0</v>
      </c>
      <c r="C6" s="23">
        <v>1</v>
      </c>
      <c r="D6" s="23">
        <v>1</v>
      </c>
      <c r="E6" s="23">
        <v>1</v>
      </c>
      <c r="F6" s="23">
        <v>1</v>
      </c>
      <c r="G6" s="23">
        <v>1</v>
      </c>
      <c r="H6" s="20">
        <v>0</v>
      </c>
      <c r="I6" s="20">
        <v>0</v>
      </c>
      <c r="J6" s="23">
        <v>1</v>
      </c>
      <c r="K6" s="23">
        <v>1</v>
      </c>
      <c r="L6" s="23">
        <v>1</v>
      </c>
      <c r="M6" s="23">
        <v>1</v>
      </c>
      <c r="N6" s="23">
        <v>1</v>
      </c>
      <c r="O6" s="20">
        <v>0</v>
      </c>
      <c r="P6" s="20">
        <v>0</v>
      </c>
      <c r="Q6" s="23">
        <v>1</v>
      </c>
      <c r="R6" s="23">
        <v>1</v>
      </c>
      <c r="S6" s="23">
        <v>1</v>
      </c>
      <c r="T6" s="23">
        <v>1</v>
      </c>
      <c r="U6" s="23">
        <v>1</v>
      </c>
      <c r="V6" s="20">
        <v>0</v>
      </c>
      <c r="W6" s="20">
        <v>0</v>
      </c>
      <c r="X6" s="23">
        <v>1</v>
      </c>
      <c r="Y6" s="23">
        <v>1</v>
      </c>
      <c r="Z6" s="23">
        <v>1</v>
      </c>
      <c r="AA6" s="23">
        <v>1</v>
      </c>
      <c r="AB6" s="23">
        <v>1</v>
      </c>
      <c r="AC6" s="20">
        <v>0</v>
      </c>
      <c r="AD6" s="20">
        <v>0</v>
      </c>
      <c r="AE6" s="23">
        <v>1</v>
      </c>
    </row>
    <row r="7" spans="1:31" x14ac:dyDescent="0.2">
      <c r="A7" s="18" t="s">
        <v>61</v>
      </c>
      <c r="B7" s="20">
        <v>0</v>
      </c>
      <c r="C7" s="23">
        <v>1</v>
      </c>
      <c r="D7" s="23">
        <v>1</v>
      </c>
      <c r="E7" s="23">
        <v>1</v>
      </c>
      <c r="F7" s="23">
        <v>1</v>
      </c>
      <c r="G7" s="23">
        <v>1</v>
      </c>
      <c r="H7" s="20">
        <v>0</v>
      </c>
      <c r="I7" s="20">
        <v>0</v>
      </c>
      <c r="J7" s="23">
        <v>1</v>
      </c>
      <c r="K7" s="23">
        <v>1</v>
      </c>
      <c r="L7" s="23">
        <v>1</v>
      </c>
      <c r="M7" s="23">
        <v>1</v>
      </c>
      <c r="N7" s="23">
        <v>1</v>
      </c>
      <c r="O7" s="20">
        <v>0</v>
      </c>
      <c r="P7" s="20">
        <v>0</v>
      </c>
      <c r="Q7" s="23">
        <v>1</v>
      </c>
      <c r="R7" s="23">
        <v>1</v>
      </c>
      <c r="S7" s="23">
        <v>1</v>
      </c>
      <c r="T7" s="23">
        <v>1</v>
      </c>
      <c r="U7" s="23">
        <v>1</v>
      </c>
      <c r="V7" s="20">
        <v>0</v>
      </c>
      <c r="W7" s="20">
        <v>0</v>
      </c>
      <c r="X7" s="23">
        <v>1</v>
      </c>
      <c r="Y7" s="23">
        <v>1</v>
      </c>
      <c r="Z7" s="23">
        <v>1</v>
      </c>
      <c r="AA7" s="23">
        <v>1</v>
      </c>
      <c r="AB7" s="23">
        <v>1</v>
      </c>
      <c r="AC7" s="20">
        <v>0</v>
      </c>
      <c r="AD7" s="20">
        <v>0</v>
      </c>
      <c r="AE7" s="23">
        <v>1</v>
      </c>
    </row>
    <row r="8" spans="1:31" x14ac:dyDescent="0.2">
      <c r="A8" s="18" t="s">
        <v>35</v>
      </c>
      <c r="B8" s="20">
        <v>0</v>
      </c>
      <c r="C8" s="23">
        <v>1</v>
      </c>
      <c r="D8" s="23">
        <v>1</v>
      </c>
      <c r="E8" s="23">
        <v>1</v>
      </c>
      <c r="F8" s="23">
        <v>1</v>
      </c>
      <c r="G8" s="23">
        <v>1</v>
      </c>
      <c r="H8" s="20">
        <v>0</v>
      </c>
      <c r="I8" s="20">
        <v>0</v>
      </c>
      <c r="J8" s="23">
        <v>1</v>
      </c>
      <c r="K8" s="23">
        <v>1</v>
      </c>
      <c r="L8" s="23">
        <v>1</v>
      </c>
      <c r="M8" s="23">
        <v>1</v>
      </c>
      <c r="N8" s="23">
        <v>1</v>
      </c>
      <c r="O8" s="20">
        <v>0</v>
      </c>
      <c r="P8" s="20">
        <v>0</v>
      </c>
      <c r="Q8" s="23">
        <v>1</v>
      </c>
      <c r="R8" s="23">
        <v>1</v>
      </c>
      <c r="S8" s="23">
        <v>1</v>
      </c>
      <c r="T8" s="23">
        <v>1</v>
      </c>
      <c r="U8" s="23">
        <v>1</v>
      </c>
      <c r="V8" s="20">
        <v>0</v>
      </c>
      <c r="W8" s="20">
        <v>0</v>
      </c>
      <c r="X8" s="23">
        <v>1</v>
      </c>
      <c r="Y8" s="23">
        <v>1</v>
      </c>
      <c r="Z8" s="23">
        <v>1</v>
      </c>
      <c r="AA8" s="23">
        <v>1</v>
      </c>
      <c r="AB8" s="23">
        <v>1</v>
      </c>
      <c r="AC8" s="20">
        <v>0</v>
      </c>
      <c r="AD8" s="20">
        <v>0</v>
      </c>
      <c r="AE8" s="23">
        <v>1</v>
      </c>
    </row>
    <row r="9" spans="1:31" x14ac:dyDescent="0.2">
      <c r="A9" s="21"/>
    </row>
    <row r="10" spans="1:31" x14ac:dyDescent="0.2">
      <c r="A10" s="21"/>
    </row>
    <row r="11" spans="1:31" x14ac:dyDescent="0.2">
      <c r="A11" s="21"/>
    </row>
    <row r="12" spans="1:31" x14ac:dyDescent="0.2">
      <c r="A12" s="21"/>
    </row>
  </sheetData>
  <conditionalFormatting sqref="A9:AE12 B1:AE8">
    <cfRule type="cellIs" dxfId="3" priority="1" operator="equal">
      <formula>"B"</formula>
    </cfRule>
    <cfRule type="cellIs" dxfId="2" priority="2" operator="equal">
      <formula>"L"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10E6-D78B-B34A-AA29-586A1CC59A95}">
  <dimension ref="A1:AE12"/>
  <sheetViews>
    <sheetView workbookViewId="0">
      <selection activeCell="H15" sqref="H15"/>
    </sheetView>
  </sheetViews>
  <sheetFormatPr baseColWidth="10" defaultRowHeight="16" x14ac:dyDescent="0.2"/>
  <cols>
    <col min="1" max="1" width="24.5" style="23" customWidth="1"/>
    <col min="2" max="2" width="10.83203125" style="20"/>
    <col min="3" max="7" width="10.83203125" style="23"/>
    <col min="8" max="9" width="10.83203125" style="20"/>
    <col min="10" max="14" width="10.83203125" style="23"/>
    <col min="15" max="16" width="10.83203125" style="20"/>
    <col min="17" max="21" width="10.83203125" style="23"/>
    <col min="22" max="23" width="10.83203125" style="20"/>
    <col min="24" max="28" width="10.83203125" style="23"/>
    <col min="29" max="30" width="10.83203125" style="20"/>
    <col min="31" max="16384" width="10.83203125" style="23"/>
  </cols>
  <sheetData>
    <row r="1" spans="1:31" x14ac:dyDescent="0.2">
      <c r="A1" s="18" t="s">
        <v>64</v>
      </c>
      <c r="B1" s="19">
        <v>46033</v>
      </c>
      <c r="C1" s="22">
        <v>46064</v>
      </c>
      <c r="D1" s="22">
        <v>46092</v>
      </c>
      <c r="E1" s="22">
        <v>46123</v>
      </c>
      <c r="F1" s="22">
        <v>46153</v>
      </c>
      <c r="G1" s="22">
        <v>46184</v>
      </c>
      <c r="H1" s="19">
        <v>46214</v>
      </c>
      <c r="I1" s="19">
        <v>46245</v>
      </c>
      <c r="J1" s="22">
        <v>46276</v>
      </c>
      <c r="K1" s="22">
        <v>46306</v>
      </c>
      <c r="L1" s="22">
        <v>46337</v>
      </c>
      <c r="M1" s="22">
        <v>46367</v>
      </c>
      <c r="N1" s="23" t="s">
        <v>38</v>
      </c>
      <c r="O1" s="20" t="s">
        <v>39</v>
      </c>
      <c r="P1" s="20" t="s">
        <v>40</v>
      </c>
      <c r="Q1" s="23" t="s">
        <v>41</v>
      </c>
      <c r="R1" s="23" t="s">
        <v>42</v>
      </c>
      <c r="S1" s="23" t="s">
        <v>43</v>
      </c>
      <c r="T1" s="23" t="s">
        <v>44</v>
      </c>
      <c r="U1" s="23" t="s">
        <v>45</v>
      </c>
      <c r="V1" s="20" t="s">
        <v>46</v>
      </c>
      <c r="W1" s="20" t="s">
        <v>47</v>
      </c>
      <c r="X1" s="23" t="s">
        <v>48</v>
      </c>
      <c r="Y1" s="23" t="s">
        <v>49</v>
      </c>
      <c r="Z1" s="23" t="s">
        <v>50</v>
      </c>
      <c r="AA1" s="23" t="s">
        <v>51</v>
      </c>
      <c r="AB1" s="23" t="s">
        <v>52</v>
      </c>
      <c r="AC1" s="20" t="s">
        <v>53</v>
      </c>
      <c r="AD1" s="20" t="s">
        <v>54</v>
      </c>
      <c r="AE1" s="23" t="s">
        <v>55</v>
      </c>
    </row>
    <row r="2" spans="1:31" x14ac:dyDescent="0.2">
      <c r="A2" s="18" t="s">
        <v>65</v>
      </c>
      <c r="B2" s="20">
        <v>2</v>
      </c>
      <c r="C2" s="23">
        <v>1</v>
      </c>
      <c r="D2" s="23">
        <v>1</v>
      </c>
      <c r="E2" s="23">
        <v>1</v>
      </c>
      <c r="F2" s="23">
        <v>1</v>
      </c>
      <c r="G2" s="23">
        <v>1</v>
      </c>
      <c r="H2" s="20">
        <v>2</v>
      </c>
      <c r="I2" s="20">
        <v>2</v>
      </c>
      <c r="J2" s="23">
        <v>1</v>
      </c>
      <c r="K2" s="23">
        <v>1</v>
      </c>
      <c r="L2" s="23">
        <v>1</v>
      </c>
      <c r="M2" s="23">
        <v>1</v>
      </c>
      <c r="N2" s="23">
        <v>1</v>
      </c>
      <c r="O2" s="20">
        <v>2</v>
      </c>
      <c r="P2" s="20">
        <v>2</v>
      </c>
      <c r="Q2" s="23">
        <v>1</v>
      </c>
      <c r="R2" s="23">
        <v>1</v>
      </c>
      <c r="S2" s="23">
        <v>1</v>
      </c>
      <c r="T2" s="23">
        <v>1</v>
      </c>
      <c r="U2" s="23">
        <v>1</v>
      </c>
      <c r="V2" s="20">
        <v>2</v>
      </c>
      <c r="W2" s="20">
        <v>2</v>
      </c>
      <c r="X2" s="23">
        <v>1</v>
      </c>
      <c r="Y2" s="23">
        <v>1</v>
      </c>
      <c r="Z2" s="23">
        <v>1</v>
      </c>
      <c r="AA2" s="23">
        <v>1</v>
      </c>
      <c r="AB2" s="23">
        <v>1</v>
      </c>
      <c r="AC2" s="20">
        <v>2</v>
      </c>
      <c r="AD2" s="20">
        <v>2</v>
      </c>
      <c r="AE2" s="23">
        <v>1</v>
      </c>
    </row>
    <row r="3" spans="1:31" x14ac:dyDescent="0.2">
      <c r="A3" s="18"/>
    </row>
    <row r="4" spans="1:31" x14ac:dyDescent="0.2">
      <c r="A4" s="18"/>
    </row>
    <row r="5" spans="1:31" x14ac:dyDescent="0.2">
      <c r="A5" s="18"/>
    </row>
    <row r="6" spans="1:31" x14ac:dyDescent="0.2">
      <c r="A6" s="18"/>
    </row>
    <row r="7" spans="1:31" x14ac:dyDescent="0.2">
      <c r="A7" s="18"/>
    </row>
    <row r="8" spans="1:31" x14ac:dyDescent="0.2">
      <c r="A8" s="18"/>
    </row>
    <row r="9" spans="1:31" x14ac:dyDescent="0.2">
      <c r="A9" s="21"/>
    </row>
    <row r="10" spans="1:31" x14ac:dyDescent="0.2">
      <c r="A10" s="21"/>
    </row>
    <row r="11" spans="1:31" x14ac:dyDescent="0.2">
      <c r="A11" s="21"/>
    </row>
    <row r="12" spans="1:31" x14ac:dyDescent="0.2">
      <c r="A12" s="21"/>
    </row>
  </sheetData>
  <conditionalFormatting sqref="A9:AE12 B1:AE8">
    <cfRule type="cellIs" dxfId="1" priority="1" operator="equal">
      <formula>"B"</formula>
    </cfRule>
    <cfRule type="cellIs" dxfId="0" priority="2" operator="equal">
      <formula>"L"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old (2)</vt:lpstr>
      <vt:lpstr>roster</vt:lpstr>
      <vt:lpstr>input_leaves_blockouts</vt:lpstr>
      <vt:lpstr>input_teams</vt:lpstr>
      <vt:lpstr>input_calls</vt:lpstr>
      <vt:lpstr>input_team_requirements</vt:lpstr>
      <vt:lpstr>input_call_requirements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Xuyuan Tang</dc:creator>
  <cp:lastModifiedBy>Xuyuan Tang</cp:lastModifiedBy>
  <cp:lastPrinted>2026-09-21T06:19:05Z</cp:lastPrinted>
  <dcterms:created xsi:type="dcterms:W3CDTF">2026-09-21T06:19:58Z</dcterms:created>
  <dcterms:modified xsi:type="dcterms:W3CDTF">2026-09-26T11:13:49Z</dcterms:modified>
</cp:coreProperties>
</file>