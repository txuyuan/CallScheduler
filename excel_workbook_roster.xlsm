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7" codeName="{52B413DB-416B-A148-0A32-6202AF4EA34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xuyuan/Dev/pythonProjects/CallScheduler/"/>
    </mc:Choice>
  </mc:AlternateContent>
  <xr:revisionPtr revIDLastSave="0" documentId="13_ncr:1_{372ED56F-A238-744C-ABC1-1D595A25C2D7}" xr6:coauthVersionLast="47" xr6:coauthVersionMax="47" xr10:uidLastSave="{00000000-0000-0000-0000-000000000000}"/>
  <bookViews>
    <workbookView xWindow="0" yWindow="600" windowWidth="28800" windowHeight="17400" xr2:uid="{21295E27-03F2-7648-A894-650B76265762}"/>
  </bookViews>
  <sheets>
    <sheet name="output_roster" sheetId="1" r:id="rId1"/>
    <sheet name="input_general_parameters" sheetId="14" r:id="rId2"/>
    <sheet name="input_leaves_blockouts" sheetId="5" r:id="rId3"/>
    <sheet name="input_teams" sheetId="11" r:id="rId4"/>
    <sheet name="input_calls" sheetId="12" r:id="rId5"/>
    <sheet name="input_team_requirements" sheetId="9" r:id="rId6"/>
    <sheet name="input_call_requirements" sheetId="10" r:id="rId7"/>
  </sheets>
  <definedNames>
    <definedName name="_xlnm._FilterDatabase" localSheetId="0" hidden="1">output_roster!$C$1:$BH$35</definedName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H26" i="1" l="1"/>
  <c r="BE26" i="1"/>
  <c r="BD26" i="1"/>
  <c r="BC26" i="1"/>
  <c r="BB26" i="1"/>
  <c r="BA26" i="1"/>
  <c r="AX26" i="1"/>
  <c r="AW26" i="1"/>
  <c r="AV26" i="1"/>
  <c r="AU26" i="1"/>
  <c r="AT26" i="1"/>
  <c r="AQ26" i="1"/>
  <c r="AP26" i="1"/>
  <c r="AO26" i="1"/>
  <c r="AN26" i="1"/>
  <c r="AM26" i="1"/>
  <c r="AJ26" i="1"/>
  <c r="AI26" i="1"/>
  <c r="AH26" i="1"/>
  <c r="AG26" i="1"/>
  <c r="AF26" i="1"/>
  <c r="AC26" i="1"/>
  <c r="AB26" i="1"/>
  <c r="AA26" i="1"/>
  <c r="Z26" i="1"/>
  <c r="Y26" i="1"/>
  <c r="V26" i="1"/>
  <c r="U26" i="1"/>
  <c r="T26" i="1"/>
  <c r="S26" i="1"/>
  <c r="R26" i="1"/>
  <c r="O26" i="1"/>
  <c r="N26" i="1"/>
  <c r="M26" i="1"/>
  <c r="L26" i="1"/>
  <c r="K26" i="1"/>
  <c r="H26" i="1"/>
  <c r="G26" i="1"/>
  <c r="F26" i="1"/>
  <c r="E26" i="1"/>
  <c r="D26" i="1"/>
  <c r="BH25" i="1"/>
  <c r="BE25" i="1"/>
  <c r="BD25" i="1"/>
  <c r="BC25" i="1"/>
  <c r="BB25" i="1"/>
  <c r="BA25" i="1"/>
  <c r="AX25" i="1"/>
  <c r="AW25" i="1"/>
  <c r="AV25" i="1"/>
  <c r="AU25" i="1"/>
  <c r="AT25" i="1"/>
  <c r="AQ25" i="1"/>
  <c r="AP25" i="1"/>
  <c r="AO25" i="1"/>
  <c r="AN25" i="1"/>
  <c r="AM25" i="1"/>
  <c r="AJ25" i="1"/>
  <c r="AI25" i="1"/>
  <c r="AH25" i="1"/>
  <c r="AG25" i="1"/>
  <c r="AF25" i="1"/>
  <c r="AC25" i="1"/>
  <c r="AB25" i="1"/>
  <c r="AA25" i="1"/>
  <c r="Z25" i="1"/>
  <c r="Y25" i="1"/>
  <c r="V25" i="1"/>
  <c r="U25" i="1"/>
  <c r="T25" i="1"/>
  <c r="S25" i="1"/>
  <c r="R25" i="1"/>
  <c r="O25" i="1"/>
  <c r="N25" i="1"/>
  <c r="M25" i="1"/>
  <c r="L25" i="1"/>
  <c r="K25" i="1"/>
  <c r="H25" i="1"/>
  <c r="G25" i="1"/>
  <c r="F25" i="1"/>
  <c r="E25" i="1"/>
  <c r="D25" i="1"/>
  <c r="D24" i="1"/>
  <c r="BH24" i="1"/>
  <c r="BH23" i="1"/>
  <c r="BH22" i="1"/>
  <c r="BH21" i="1"/>
  <c r="BH20" i="1"/>
  <c r="BH19" i="1"/>
  <c r="BH42" i="1"/>
  <c r="BH41" i="1"/>
  <c r="BH40" i="1"/>
  <c r="BH39" i="1"/>
  <c r="BH38" i="1"/>
  <c r="BH37" i="1"/>
  <c r="BE42" i="1"/>
  <c r="BD42" i="1"/>
  <c r="BC42" i="1"/>
  <c r="BB42" i="1"/>
  <c r="BA42" i="1"/>
  <c r="BE41" i="1"/>
  <c r="BD41" i="1"/>
  <c r="BC41" i="1"/>
  <c r="BB41" i="1"/>
  <c r="BA41" i="1"/>
  <c r="BE40" i="1"/>
  <c r="BD40" i="1"/>
  <c r="BC40" i="1"/>
  <c r="BB40" i="1"/>
  <c r="BA40" i="1"/>
  <c r="BE39" i="1"/>
  <c r="BD39" i="1"/>
  <c r="BC39" i="1"/>
  <c r="BB39" i="1"/>
  <c r="BA39" i="1"/>
  <c r="BE38" i="1"/>
  <c r="BD38" i="1"/>
  <c r="BC38" i="1"/>
  <c r="BB38" i="1"/>
  <c r="BA38" i="1"/>
  <c r="BE37" i="1"/>
  <c r="BD37" i="1"/>
  <c r="BC37" i="1"/>
  <c r="BB37" i="1"/>
  <c r="BA37" i="1"/>
  <c r="AX42" i="1"/>
  <c r="AW42" i="1"/>
  <c r="AV42" i="1"/>
  <c r="AU42" i="1"/>
  <c r="AT42" i="1"/>
  <c r="AX41" i="1"/>
  <c r="AW41" i="1"/>
  <c r="AV41" i="1"/>
  <c r="AU41" i="1"/>
  <c r="AT41" i="1"/>
  <c r="AX40" i="1"/>
  <c r="AW40" i="1"/>
  <c r="AV40" i="1"/>
  <c r="AU40" i="1"/>
  <c r="AT40" i="1"/>
  <c r="AX39" i="1"/>
  <c r="AW39" i="1"/>
  <c r="AV39" i="1"/>
  <c r="AU39" i="1"/>
  <c r="AT39" i="1"/>
  <c r="AX38" i="1"/>
  <c r="AW38" i="1"/>
  <c r="AV38" i="1"/>
  <c r="AU38" i="1"/>
  <c r="AT38" i="1"/>
  <c r="AX37" i="1"/>
  <c r="AW37" i="1"/>
  <c r="AV37" i="1"/>
  <c r="AU37" i="1"/>
  <c r="AT37" i="1"/>
  <c r="AQ42" i="1"/>
  <c r="AP42" i="1"/>
  <c r="AO42" i="1"/>
  <c r="AN42" i="1"/>
  <c r="AM42" i="1"/>
  <c r="AQ41" i="1"/>
  <c r="AP41" i="1"/>
  <c r="AO41" i="1"/>
  <c r="AN41" i="1"/>
  <c r="AM41" i="1"/>
  <c r="AQ40" i="1"/>
  <c r="AP40" i="1"/>
  <c r="AO40" i="1"/>
  <c r="AN40" i="1"/>
  <c r="AM40" i="1"/>
  <c r="AQ39" i="1"/>
  <c r="AP39" i="1"/>
  <c r="AO39" i="1"/>
  <c r="AN39" i="1"/>
  <c r="AM39" i="1"/>
  <c r="AQ38" i="1"/>
  <c r="AP38" i="1"/>
  <c r="AO38" i="1"/>
  <c r="AN38" i="1"/>
  <c r="AM38" i="1"/>
  <c r="AQ37" i="1"/>
  <c r="AP37" i="1"/>
  <c r="AO37" i="1"/>
  <c r="AN37" i="1"/>
  <c r="AM37" i="1"/>
  <c r="AJ42" i="1"/>
  <c r="AI42" i="1"/>
  <c r="AH42" i="1"/>
  <c r="AG42" i="1"/>
  <c r="AF42" i="1"/>
  <c r="AJ41" i="1"/>
  <c r="AI41" i="1"/>
  <c r="AH41" i="1"/>
  <c r="AG41" i="1"/>
  <c r="AF41" i="1"/>
  <c r="AJ40" i="1"/>
  <c r="AI40" i="1"/>
  <c r="AH40" i="1"/>
  <c r="AG40" i="1"/>
  <c r="AF40" i="1"/>
  <c r="AJ39" i="1"/>
  <c r="AI39" i="1"/>
  <c r="AH39" i="1"/>
  <c r="AG39" i="1"/>
  <c r="AF39" i="1"/>
  <c r="AJ38" i="1"/>
  <c r="AI38" i="1"/>
  <c r="AH38" i="1"/>
  <c r="AG38" i="1"/>
  <c r="AF38" i="1"/>
  <c r="AJ37" i="1"/>
  <c r="AI37" i="1"/>
  <c r="AH37" i="1"/>
  <c r="AG37" i="1"/>
  <c r="AF37" i="1"/>
  <c r="AC42" i="1"/>
  <c r="AB42" i="1"/>
  <c r="AA42" i="1"/>
  <c r="Z42" i="1"/>
  <c r="Y42" i="1"/>
  <c r="AC41" i="1"/>
  <c r="AB41" i="1"/>
  <c r="AA41" i="1"/>
  <c r="Z41" i="1"/>
  <c r="Y41" i="1"/>
  <c r="AC40" i="1"/>
  <c r="AB40" i="1"/>
  <c r="AA40" i="1"/>
  <c r="Z40" i="1"/>
  <c r="Y40" i="1"/>
  <c r="AC39" i="1"/>
  <c r="AB39" i="1"/>
  <c r="AA39" i="1"/>
  <c r="Z39" i="1"/>
  <c r="Y39" i="1"/>
  <c r="AC38" i="1"/>
  <c r="AB38" i="1"/>
  <c r="AA38" i="1"/>
  <c r="Z38" i="1"/>
  <c r="Y38" i="1"/>
  <c r="AC37" i="1"/>
  <c r="AB37" i="1"/>
  <c r="AA37" i="1"/>
  <c r="Z37" i="1"/>
  <c r="Y37" i="1"/>
  <c r="V42" i="1"/>
  <c r="U42" i="1"/>
  <c r="T42" i="1"/>
  <c r="S42" i="1"/>
  <c r="R42" i="1"/>
  <c r="V41" i="1"/>
  <c r="U41" i="1"/>
  <c r="T41" i="1"/>
  <c r="S41" i="1"/>
  <c r="R41" i="1"/>
  <c r="V40" i="1"/>
  <c r="U40" i="1"/>
  <c r="T40" i="1"/>
  <c r="S40" i="1"/>
  <c r="R40" i="1"/>
  <c r="V39" i="1"/>
  <c r="U39" i="1"/>
  <c r="T39" i="1"/>
  <c r="S39" i="1"/>
  <c r="R39" i="1"/>
  <c r="V38" i="1"/>
  <c r="U38" i="1"/>
  <c r="T38" i="1"/>
  <c r="S38" i="1"/>
  <c r="R38" i="1"/>
  <c r="V37" i="1"/>
  <c r="U37" i="1"/>
  <c r="T37" i="1"/>
  <c r="S37" i="1"/>
  <c r="R37" i="1"/>
  <c r="O42" i="1"/>
  <c r="N42" i="1"/>
  <c r="M42" i="1"/>
  <c r="L42" i="1"/>
  <c r="K42" i="1"/>
  <c r="O41" i="1"/>
  <c r="N41" i="1"/>
  <c r="M41" i="1"/>
  <c r="L41" i="1"/>
  <c r="K41" i="1"/>
  <c r="O40" i="1"/>
  <c r="N40" i="1"/>
  <c r="M40" i="1"/>
  <c r="L40" i="1"/>
  <c r="K40" i="1"/>
  <c r="O39" i="1"/>
  <c r="N39" i="1"/>
  <c r="M39" i="1"/>
  <c r="L39" i="1"/>
  <c r="K39" i="1"/>
  <c r="O38" i="1"/>
  <c r="N38" i="1"/>
  <c r="M38" i="1"/>
  <c r="L38" i="1"/>
  <c r="K38" i="1"/>
  <c r="O37" i="1"/>
  <c r="N37" i="1"/>
  <c r="M37" i="1"/>
  <c r="L37" i="1"/>
  <c r="K37" i="1"/>
  <c r="H42" i="1"/>
  <c r="G42" i="1"/>
  <c r="H41" i="1"/>
  <c r="G41" i="1"/>
  <c r="H40" i="1"/>
  <c r="G40" i="1"/>
  <c r="H39" i="1"/>
  <c r="G39" i="1"/>
  <c r="H38" i="1"/>
  <c r="G38" i="1"/>
  <c r="H37" i="1"/>
  <c r="G37" i="1"/>
  <c r="BE24" i="1"/>
  <c r="BD24" i="1"/>
  <c r="BC24" i="1"/>
  <c r="BB24" i="1"/>
  <c r="BA24" i="1"/>
  <c r="BE23" i="1"/>
  <c r="BD23" i="1"/>
  <c r="BC23" i="1"/>
  <c r="BB23" i="1"/>
  <c r="BA23" i="1"/>
  <c r="BE22" i="1"/>
  <c r="BD22" i="1"/>
  <c r="BC22" i="1"/>
  <c r="BB22" i="1"/>
  <c r="BA22" i="1"/>
  <c r="BE21" i="1"/>
  <c r="BD21" i="1"/>
  <c r="BC21" i="1"/>
  <c r="BB21" i="1"/>
  <c r="BA21" i="1"/>
  <c r="BE20" i="1"/>
  <c r="BD20" i="1"/>
  <c r="BC20" i="1"/>
  <c r="BB20" i="1"/>
  <c r="BA20" i="1"/>
  <c r="BE19" i="1"/>
  <c r="BD19" i="1"/>
  <c r="BC19" i="1"/>
  <c r="BB19" i="1"/>
  <c r="BA19" i="1"/>
  <c r="AX24" i="1"/>
  <c r="AW24" i="1"/>
  <c r="AV24" i="1"/>
  <c r="AU24" i="1"/>
  <c r="AT24" i="1"/>
  <c r="AX23" i="1"/>
  <c r="AW23" i="1"/>
  <c r="AV23" i="1"/>
  <c r="AU23" i="1"/>
  <c r="AT23" i="1"/>
  <c r="AX22" i="1"/>
  <c r="AW22" i="1"/>
  <c r="AV22" i="1"/>
  <c r="AU22" i="1"/>
  <c r="AT22" i="1"/>
  <c r="AX21" i="1"/>
  <c r="AW21" i="1"/>
  <c r="AV21" i="1"/>
  <c r="AU21" i="1"/>
  <c r="AT21" i="1"/>
  <c r="AX20" i="1"/>
  <c r="AW20" i="1"/>
  <c r="AV20" i="1"/>
  <c r="AU20" i="1"/>
  <c r="AT20" i="1"/>
  <c r="AX19" i="1"/>
  <c r="AW19" i="1"/>
  <c r="AV19" i="1"/>
  <c r="AU19" i="1"/>
  <c r="AT19" i="1"/>
  <c r="AQ24" i="1"/>
  <c r="AP24" i="1"/>
  <c r="AO24" i="1"/>
  <c r="AN24" i="1"/>
  <c r="AM24" i="1"/>
  <c r="AQ23" i="1"/>
  <c r="AP23" i="1"/>
  <c r="AO23" i="1"/>
  <c r="AN23" i="1"/>
  <c r="AM23" i="1"/>
  <c r="AQ22" i="1"/>
  <c r="AP22" i="1"/>
  <c r="AO22" i="1"/>
  <c r="AN22" i="1"/>
  <c r="AM22" i="1"/>
  <c r="AQ21" i="1"/>
  <c r="AP21" i="1"/>
  <c r="AO21" i="1"/>
  <c r="AN21" i="1"/>
  <c r="AM21" i="1"/>
  <c r="AQ20" i="1"/>
  <c r="AP20" i="1"/>
  <c r="AO20" i="1"/>
  <c r="AN20" i="1"/>
  <c r="AM20" i="1"/>
  <c r="AQ19" i="1"/>
  <c r="AP19" i="1"/>
  <c r="AO19" i="1"/>
  <c r="AN19" i="1"/>
  <c r="AM19" i="1"/>
  <c r="AJ24" i="1"/>
  <c r="AI24" i="1"/>
  <c r="AH24" i="1"/>
  <c r="AG24" i="1"/>
  <c r="AF24" i="1"/>
  <c r="AJ23" i="1"/>
  <c r="AI23" i="1"/>
  <c r="AH23" i="1"/>
  <c r="AG23" i="1"/>
  <c r="AF23" i="1"/>
  <c r="AJ22" i="1"/>
  <c r="AI22" i="1"/>
  <c r="AH22" i="1"/>
  <c r="AG22" i="1"/>
  <c r="AF22" i="1"/>
  <c r="AJ21" i="1"/>
  <c r="AI21" i="1"/>
  <c r="AH21" i="1"/>
  <c r="AG21" i="1"/>
  <c r="AF21" i="1"/>
  <c r="AJ20" i="1"/>
  <c r="AI20" i="1"/>
  <c r="AH20" i="1"/>
  <c r="AG20" i="1"/>
  <c r="AF20" i="1"/>
  <c r="AJ19" i="1"/>
  <c r="AI19" i="1"/>
  <c r="AH19" i="1"/>
  <c r="AG19" i="1"/>
  <c r="AF19" i="1"/>
  <c r="AC24" i="1"/>
  <c r="AB24" i="1"/>
  <c r="AA24" i="1"/>
  <c r="Z24" i="1"/>
  <c r="Y24" i="1"/>
  <c r="AC23" i="1"/>
  <c r="AB23" i="1"/>
  <c r="AA23" i="1"/>
  <c r="Z23" i="1"/>
  <c r="Y23" i="1"/>
  <c r="AC22" i="1"/>
  <c r="AB22" i="1"/>
  <c r="AA22" i="1"/>
  <c r="Z22" i="1"/>
  <c r="Y22" i="1"/>
  <c r="AC21" i="1"/>
  <c r="AB21" i="1"/>
  <c r="AA21" i="1"/>
  <c r="Z21" i="1"/>
  <c r="Y21" i="1"/>
  <c r="AC20" i="1"/>
  <c r="AB20" i="1"/>
  <c r="AA20" i="1"/>
  <c r="Z20" i="1"/>
  <c r="Y20" i="1"/>
  <c r="AC19" i="1"/>
  <c r="AB19" i="1"/>
  <c r="AA19" i="1"/>
  <c r="Z19" i="1"/>
  <c r="Y19" i="1"/>
  <c r="V24" i="1"/>
  <c r="U24" i="1"/>
  <c r="T24" i="1"/>
  <c r="S24" i="1"/>
  <c r="R24" i="1"/>
  <c r="V23" i="1"/>
  <c r="U23" i="1"/>
  <c r="T23" i="1"/>
  <c r="S23" i="1"/>
  <c r="R23" i="1"/>
  <c r="V22" i="1"/>
  <c r="U22" i="1"/>
  <c r="T22" i="1"/>
  <c r="S22" i="1"/>
  <c r="R22" i="1"/>
  <c r="V21" i="1"/>
  <c r="U21" i="1"/>
  <c r="T21" i="1"/>
  <c r="S21" i="1"/>
  <c r="R21" i="1"/>
  <c r="V20" i="1"/>
  <c r="U20" i="1"/>
  <c r="T20" i="1"/>
  <c r="S20" i="1"/>
  <c r="R20" i="1"/>
  <c r="V19" i="1"/>
  <c r="U19" i="1"/>
  <c r="T19" i="1"/>
  <c r="S19" i="1"/>
  <c r="R19" i="1"/>
  <c r="O24" i="1"/>
  <c r="N24" i="1"/>
  <c r="M24" i="1"/>
  <c r="L24" i="1"/>
  <c r="K24" i="1"/>
  <c r="O23" i="1"/>
  <c r="N23" i="1"/>
  <c r="M23" i="1"/>
  <c r="L23" i="1"/>
  <c r="K23" i="1"/>
  <c r="O22" i="1"/>
  <c r="N22" i="1"/>
  <c r="M22" i="1"/>
  <c r="L22" i="1"/>
  <c r="K22" i="1"/>
  <c r="O21" i="1"/>
  <c r="N21" i="1"/>
  <c r="M21" i="1"/>
  <c r="L21" i="1"/>
  <c r="K21" i="1"/>
  <c r="O20" i="1"/>
  <c r="N20" i="1"/>
  <c r="M20" i="1"/>
  <c r="L20" i="1"/>
  <c r="K20" i="1"/>
  <c r="O19" i="1"/>
  <c r="N19" i="1"/>
  <c r="M19" i="1"/>
  <c r="L19" i="1"/>
  <c r="K19" i="1"/>
  <c r="H24" i="1"/>
  <c r="G24" i="1"/>
  <c r="H23" i="1"/>
  <c r="G23" i="1"/>
  <c r="H22" i="1"/>
  <c r="G22" i="1"/>
  <c r="H21" i="1"/>
  <c r="G21" i="1"/>
  <c r="H20" i="1"/>
  <c r="G20" i="1"/>
  <c r="H19" i="1"/>
  <c r="G19" i="1"/>
  <c r="BH35" i="1"/>
  <c r="BE35" i="1"/>
  <c r="BD35" i="1"/>
  <c r="BC35" i="1"/>
  <c r="BB35" i="1"/>
  <c r="BA35" i="1"/>
  <c r="AX35" i="1"/>
  <c r="AW35" i="1"/>
  <c r="AV35" i="1"/>
  <c r="AU35" i="1"/>
  <c r="AT35" i="1"/>
  <c r="AQ35" i="1"/>
  <c r="AP35" i="1"/>
  <c r="AO35" i="1"/>
  <c r="AN35" i="1"/>
  <c r="AM35" i="1"/>
  <c r="AJ35" i="1"/>
  <c r="AI35" i="1"/>
  <c r="AH35" i="1"/>
  <c r="AG35" i="1"/>
  <c r="AF35" i="1"/>
  <c r="AC35" i="1"/>
  <c r="AB35" i="1"/>
  <c r="AA35" i="1"/>
  <c r="Z35" i="1"/>
  <c r="Y35" i="1"/>
  <c r="V35" i="1"/>
  <c r="U35" i="1"/>
  <c r="T35" i="1"/>
  <c r="S35" i="1"/>
  <c r="R35" i="1"/>
  <c r="O35" i="1"/>
  <c r="N35" i="1"/>
  <c r="M35" i="1"/>
  <c r="L35" i="1"/>
  <c r="K35" i="1"/>
  <c r="H35" i="1"/>
  <c r="G35" i="1"/>
  <c r="BH34" i="1"/>
  <c r="BE34" i="1"/>
  <c r="BD34" i="1"/>
  <c r="BC34" i="1"/>
  <c r="BB34" i="1"/>
  <c r="BA34" i="1"/>
  <c r="AX34" i="1"/>
  <c r="AW34" i="1"/>
  <c r="AV34" i="1"/>
  <c r="AU34" i="1"/>
  <c r="AT34" i="1"/>
  <c r="AQ34" i="1"/>
  <c r="AP34" i="1"/>
  <c r="AO34" i="1"/>
  <c r="AN34" i="1"/>
  <c r="AM34" i="1"/>
  <c r="AJ34" i="1"/>
  <c r="AI34" i="1"/>
  <c r="AH34" i="1"/>
  <c r="AG34" i="1"/>
  <c r="AF34" i="1"/>
  <c r="AC34" i="1"/>
  <c r="AB34" i="1"/>
  <c r="AA34" i="1"/>
  <c r="Z34" i="1"/>
  <c r="Y34" i="1"/>
  <c r="V34" i="1"/>
  <c r="U34" i="1"/>
  <c r="T34" i="1"/>
  <c r="S34" i="1"/>
  <c r="R34" i="1"/>
  <c r="O34" i="1"/>
  <c r="N34" i="1"/>
  <c r="M34" i="1"/>
  <c r="L34" i="1"/>
  <c r="K34" i="1"/>
  <c r="H34" i="1"/>
  <c r="G34" i="1"/>
  <c r="BH33" i="1"/>
  <c r="BE33" i="1"/>
  <c r="BD33" i="1"/>
  <c r="BC33" i="1"/>
  <c r="BB33" i="1"/>
  <c r="BA33" i="1"/>
  <c r="AX33" i="1"/>
  <c r="AW33" i="1"/>
  <c r="AV33" i="1"/>
  <c r="AU33" i="1"/>
  <c r="AT33" i="1"/>
  <c r="AQ33" i="1"/>
  <c r="AP33" i="1"/>
  <c r="AO33" i="1"/>
  <c r="AN33" i="1"/>
  <c r="AM33" i="1"/>
  <c r="AJ33" i="1"/>
  <c r="AI33" i="1"/>
  <c r="AH33" i="1"/>
  <c r="AG33" i="1"/>
  <c r="AF33" i="1"/>
  <c r="AC33" i="1"/>
  <c r="AB33" i="1"/>
  <c r="AA33" i="1"/>
  <c r="Z33" i="1"/>
  <c r="Y33" i="1"/>
  <c r="V33" i="1"/>
  <c r="U33" i="1"/>
  <c r="T33" i="1"/>
  <c r="S33" i="1"/>
  <c r="R33" i="1"/>
  <c r="O33" i="1"/>
  <c r="N33" i="1"/>
  <c r="M33" i="1"/>
  <c r="L33" i="1"/>
  <c r="K33" i="1"/>
  <c r="H33" i="1"/>
  <c r="G33" i="1"/>
  <c r="BH32" i="1"/>
  <c r="BE32" i="1"/>
  <c r="BD32" i="1"/>
  <c r="BC32" i="1"/>
  <c r="BB32" i="1"/>
  <c r="BA32" i="1"/>
  <c r="AX32" i="1"/>
  <c r="AW32" i="1"/>
  <c r="AV32" i="1"/>
  <c r="AU32" i="1"/>
  <c r="AT32" i="1"/>
  <c r="AQ32" i="1"/>
  <c r="AP32" i="1"/>
  <c r="AO32" i="1"/>
  <c r="AN32" i="1"/>
  <c r="AM32" i="1"/>
  <c r="AJ32" i="1"/>
  <c r="AI32" i="1"/>
  <c r="AH32" i="1"/>
  <c r="AG32" i="1"/>
  <c r="AF32" i="1"/>
  <c r="AC32" i="1"/>
  <c r="AB32" i="1"/>
  <c r="AA32" i="1"/>
  <c r="Z32" i="1"/>
  <c r="Y32" i="1"/>
  <c r="V32" i="1"/>
  <c r="U32" i="1"/>
  <c r="T32" i="1"/>
  <c r="S32" i="1"/>
  <c r="R32" i="1"/>
  <c r="O32" i="1"/>
  <c r="N32" i="1"/>
  <c r="M32" i="1"/>
  <c r="L32" i="1"/>
  <c r="K32" i="1"/>
  <c r="H32" i="1"/>
  <c r="G32" i="1"/>
  <c r="BH31" i="1"/>
  <c r="BE31" i="1"/>
  <c r="BD31" i="1"/>
  <c r="BC31" i="1"/>
  <c r="BB31" i="1"/>
  <c r="BA31" i="1"/>
  <c r="AX31" i="1"/>
  <c r="AW31" i="1"/>
  <c r="AV31" i="1"/>
  <c r="AU31" i="1"/>
  <c r="AT31" i="1"/>
  <c r="AQ31" i="1"/>
  <c r="AP31" i="1"/>
  <c r="AO31" i="1"/>
  <c r="AN31" i="1"/>
  <c r="AM31" i="1"/>
  <c r="AJ31" i="1"/>
  <c r="AI31" i="1"/>
  <c r="AH31" i="1"/>
  <c r="AG31" i="1"/>
  <c r="AF31" i="1"/>
  <c r="AC31" i="1"/>
  <c r="AB31" i="1"/>
  <c r="AA31" i="1"/>
  <c r="Z31" i="1"/>
  <c r="Y31" i="1"/>
  <c r="V31" i="1"/>
  <c r="U31" i="1"/>
  <c r="T31" i="1"/>
  <c r="S31" i="1"/>
  <c r="R31" i="1"/>
  <c r="O31" i="1"/>
  <c r="N31" i="1"/>
  <c r="M31" i="1"/>
  <c r="L31" i="1"/>
  <c r="K31" i="1"/>
  <c r="H31" i="1"/>
  <c r="G31" i="1"/>
  <c r="BH30" i="1"/>
  <c r="BE30" i="1"/>
  <c r="BD30" i="1"/>
  <c r="BC30" i="1"/>
  <c r="BB30" i="1"/>
  <c r="BA30" i="1"/>
  <c r="AX30" i="1"/>
  <c r="AW30" i="1"/>
  <c r="AV30" i="1"/>
  <c r="AU30" i="1"/>
  <c r="AT30" i="1"/>
  <c r="AQ30" i="1"/>
  <c r="AP30" i="1"/>
  <c r="AO30" i="1"/>
  <c r="AN30" i="1"/>
  <c r="AM30" i="1"/>
  <c r="AJ30" i="1"/>
  <c r="AI30" i="1"/>
  <c r="AH30" i="1"/>
  <c r="AG30" i="1"/>
  <c r="AF30" i="1"/>
  <c r="AC30" i="1"/>
  <c r="AB30" i="1"/>
  <c r="AA30" i="1"/>
  <c r="Z30" i="1"/>
  <c r="Y30" i="1"/>
  <c r="V30" i="1"/>
  <c r="U30" i="1"/>
  <c r="T30" i="1"/>
  <c r="S30" i="1"/>
  <c r="R30" i="1"/>
  <c r="O30" i="1"/>
  <c r="N30" i="1"/>
  <c r="M30" i="1"/>
  <c r="L30" i="1"/>
  <c r="K30" i="1"/>
  <c r="H30" i="1"/>
  <c r="G30" i="1"/>
  <c r="BH29" i="1"/>
  <c r="BE29" i="1"/>
  <c r="BD29" i="1"/>
  <c r="BC29" i="1"/>
  <c r="BB29" i="1"/>
  <c r="BA29" i="1"/>
  <c r="AX29" i="1"/>
  <c r="AW29" i="1"/>
  <c r="AV29" i="1"/>
  <c r="AU29" i="1"/>
  <c r="AT29" i="1"/>
  <c r="AQ29" i="1"/>
  <c r="AP29" i="1"/>
  <c r="AO29" i="1"/>
  <c r="AN29" i="1"/>
  <c r="AM29" i="1"/>
  <c r="AJ29" i="1"/>
  <c r="AI29" i="1"/>
  <c r="AH29" i="1"/>
  <c r="AG29" i="1"/>
  <c r="AF29" i="1"/>
  <c r="AC29" i="1"/>
  <c r="AB29" i="1"/>
  <c r="AA29" i="1"/>
  <c r="Z29" i="1"/>
  <c r="Y29" i="1"/>
  <c r="V29" i="1"/>
  <c r="U29" i="1"/>
  <c r="T29" i="1"/>
  <c r="S29" i="1"/>
  <c r="R29" i="1"/>
  <c r="O29" i="1"/>
  <c r="N29" i="1"/>
  <c r="M29" i="1"/>
  <c r="L29" i="1"/>
  <c r="K29" i="1"/>
  <c r="H29" i="1"/>
  <c r="G29" i="1"/>
  <c r="BH28" i="1"/>
  <c r="BE28" i="1"/>
  <c r="BD28" i="1"/>
  <c r="BC28" i="1"/>
  <c r="BB28" i="1"/>
  <c r="BA28" i="1"/>
  <c r="AX28" i="1"/>
  <c r="AW28" i="1"/>
  <c r="AV28" i="1"/>
  <c r="AU28" i="1"/>
  <c r="AT28" i="1"/>
  <c r="AQ28" i="1"/>
  <c r="AP28" i="1"/>
  <c r="AO28" i="1"/>
  <c r="AN28" i="1"/>
  <c r="AM28" i="1"/>
  <c r="AJ28" i="1"/>
  <c r="AI28" i="1"/>
  <c r="AH28" i="1"/>
  <c r="AG28" i="1"/>
  <c r="AF28" i="1"/>
  <c r="AC28" i="1"/>
  <c r="AB28" i="1"/>
  <c r="AA28" i="1"/>
  <c r="Z28" i="1"/>
  <c r="Y28" i="1"/>
  <c r="V28" i="1"/>
  <c r="U28" i="1"/>
  <c r="T28" i="1"/>
  <c r="S28" i="1"/>
  <c r="R28" i="1"/>
  <c r="O28" i="1"/>
  <c r="N28" i="1"/>
  <c r="M28" i="1"/>
  <c r="L28" i="1"/>
  <c r="K28" i="1"/>
  <c r="H28" i="1"/>
  <c r="G28" i="1"/>
  <c r="F28" i="1"/>
  <c r="F37" i="1"/>
  <c r="F41" i="1"/>
  <c r="F19" i="1"/>
  <c r="F42" i="1"/>
  <c r="F39" i="1"/>
  <c r="F38" i="1"/>
  <c r="F35" i="1"/>
  <c r="F22" i="1"/>
  <c r="F34" i="1"/>
  <c r="F40" i="1"/>
  <c r="F21" i="1"/>
  <c r="F20" i="1"/>
  <c r="F24" i="1"/>
  <c r="F23" i="1"/>
  <c r="F30" i="1"/>
  <c r="F33" i="1"/>
  <c r="F32" i="1"/>
  <c r="F31" i="1"/>
  <c r="F29" i="1"/>
  <c r="D31" i="1"/>
  <c r="D20" i="1"/>
  <c r="D40" i="1"/>
  <c r="D41" i="1"/>
  <c r="D22" i="1"/>
  <c r="D32" i="1"/>
  <c r="D38" i="1"/>
  <c r="D29" i="1"/>
  <c r="D37" i="1"/>
  <c r="D21" i="1"/>
  <c r="D42" i="1"/>
  <c r="D34" i="1"/>
  <c r="D39" i="1"/>
  <c r="D30" i="1"/>
  <c r="D19" i="1"/>
  <c r="D28" i="1"/>
  <c r="D33" i="1"/>
  <c r="D35" i="1"/>
  <c r="D23" i="1"/>
  <c r="E31" i="1"/>
  <c r="E34" i="1"/>
  <c r="E19" i="1"/>
  <c r="E42" i="1"/>
  <c r="E30" i="1"/>
  <c r="E24" i="1"/>
  <c r="E22" i="1"/>
  <c r="E33" i="1"/>
  <c r="E29" i="1"/>
  <c r="E23" i="1"/>
  <c r="E38" i="1"/>
  <c r="E40" i="1"/>
  <c r="E41" i="1"/>
  <c r="E35" i="1"/>
  <c r="E21" i="1"/>
  <c r="E37" i="1"/>
  <c r="E28" i="1"/>
  <c r="E39" i="1"/>
  <c r="E32" i="1"/>
  <c r="E20" i="1"/>
</calcChain>
</file>

<file path=xl/sharedStrings.xml><?xml version="1.0" encoding="utf-8"?>
<sst xmlns="http://schemas.openxmlformats.org/spreadsheetml/2006/main" count="1089" uniqueCount="87">
  <si>
    <t>Staff</t>
  </si>
  <si>
    <t>post_call_cover</t>
  </si>
  <si>
    <t>leave</t>
  </si>
  <si>
    <t>Team</t>
  </si>
  <si>
    <t>Requirement</t>
  </si>
  <si>
    <t>Leave per team</t>
  </si>
  <si>
    <t>Priority</t>
  </si>
  <si>
    <t>go</t>
  </si>
  <si>
    <t>subobs</t>
  </si>
  <si>
    <t>bg</t>
  </si>
  <si>
    <t>9ab</t>
  </si>
  <si>
    <t>ds</t>
  </si>
  <si>
    <t>b1</t>
  </si>
  <si>
    <t>bg (call)</t>
  </si>
  <si>
    <t>ds (call)</t>
  </si>
  <si>
    <t>9ab (call)</t>
  </si>
  <si>
    <t>subobs (call)</t>
  </si>
  <si>
    <t>go (call)</t>
  </si>
  <si>
    <t>b1 (call)</t>
  </si>
  <si>
    <t xml:space="preserve">Req </t>
  </si>
  <si>
    <t>ps_cover</t>
  </si>
  <si>
    <t>Calls per team</t>
  </si>
  <si>
    <t>ps_cover (call)</t>
  </si>
  <si>
    <t>13/11/2026</t>
  </si>
  <si>
    <t>14/11/2026</t>
  </si>
  <si>
    <t>15/11/2026</t>
  </si>
  <si>
    <t>16/11/2026</t>
  </si>
  <si>
    <t>17/11/2026</t>
  </si>
  <si>
    <t>18/11/2026</t>
  </si>
  <si>
    <t>19/11/2026</t>
  </si>
  <si>
    <t>20/11/2026</t>
  </si>
  <si>
    <t>21/11/2026</t>
  </si>
  <si>
    <t>22/11/2026</t>
  </si>
  <si>
    <t>23/11/2026</t>
  </si>
  <si>
    <t>24/11/2026</t>
  </si>
  <si>
    <t>25/11/2026</t>
  </si>
  <si>
    <t>26/11/2026</t>
  </si>
  <si>
    <t>27/11/2026</t>
  </si>
  <si>
    <t>28/11/2026</t>
  </si>
  <si>
    <t>29/11/2026</t>
  </si>
  <si>
    <t>30/11/2026</t>
  </si>
  <si>
    <t>B</t>
  </si>
  <si>
    <t>L</t>
  </si>
  <si>
    <t>Call Requirement</t>
  </si>
  <si>
    <t>(call)</t>
  </si>
  <si>
    <t>Deficit per team</t>
  </si>
  <si>
    <t>&gt;&gt;&gt;</t>
  </si>
  <si>
    <t>Xin Yi</t>
  </si>
  <si>
    <t>Charmaine</t>
  </si>
  <si>
    <t>Gwendolyn</t>
  </si>
  <si>
    <t>Sean</t>
  </si>
  <si>
    <t>Haziq</t>
  </si>
  <si>
    <t>Zhichen</t>
  </si>
  <si>
    <t>Keerthana</t>
  </si>
  <si>
    <t>Maxine</t>
  </si>
  <si>
    <t>Ee Jin</t>
  </si>
  <si>
    <t>Cheng Yat</t>
  </si>
  <si>
    <t>Megan</t>
  </si>
  <si>
    <t>#shittiness</t>
  </si>
  <si>
    <t>#team</t>
  </si>
  <si>
    <t>#al_buffer_before</t>
  </si>
  <si>
    <t>#al_buffer_after</t>
  </si>
  <si>
    <t>#bl_buffer_before</t>
  </si>
  <si>
    <t>#bl_buffer_after</t>
  </si>
  <si>
    <t>#min_call_interval</t>
  </si>
  <si>
    <t>#max_solve_time_seconds</t>
  </si>
  <si>
    <t>13/12/2026</t>
  </si>
  <si>
    <t>14/12/2026</t>
  </si>
  <si>
    <t>15/12/2026</t>
  </si>
  <si>
    <t>16/12/2026</t>
  </si>
  <si>
    <t>17/12/2026</t>
  </si>
  <si>
    <t>18/12/2026</t>
  </si>
  <si>
    <t>19/12/2026</t>
  </si>
  <si>
    <t>20/12/2026</t>
  </si>
  <si>
    <t>21/12/2026</t>
  </si>
  <si>
    <t>22/12/2026</t>
  </si>
  <si>
    <t>23/12/2026</t>
  </si>
  <si>
    <t>24/12/2026</t>
  </si>
  <si>
    <t>25/12/2026</t>
  </si>
  <si>
    <t>26/12/2026</t>
  </si>
  <si>
    <t>27/12/2026</t>
  </si>
  <si>
    <t>28/12/2026</t>
  </si>
  <si>
    <t>29/12/2026</t>
  </si>
  <si>
    <t>30/12/2026</t>
  </si>
  <si>
    <t>31/12/2026</t>
  </si>
  <si>
    <t>#allowed_shortfall</t>
  </si>
  <si>
    <t>#shortfall_cost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</si>
</sst>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27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0"/>
      <name val="Aptos Narrow"/>
      <scheme val="minor"/>
    </font>
    <font>
      <sz val="12"/>
      <color theme="0"/>
      <name val="Aptos Narrow"/>
      <scheme val="minor"/>
    </font>
    <font>
      <sz val="12"/>
      <color theme="1" tint="0.499984740745262"/>
      <name val="Aptos Narrow"/>
      <family val="2"/>
      <scheme val="minor"/>
    </font>
    <font>
      <sz val="12"/>
      <color rgb="FFBBBEBF"/>
      <name val="Menlo"/>
      <family val="2"/>
    </font>
    <font>
      <sz val="12"/>
      <name val="Aptos Narrow"/>
      <family val="2"/>
      <scheme val="minor"/>
    </font>
    <font>
      <b/>
      <sz val="12"/>
      <name val="Aptos Narrow"/>
      <scheme val="minor"/>
    </font>
    <font>
      <sz val="12"/>
      <name val="Aptos Narrow"/>
      <scheme val="minor"/>
    </font>
    <font>
      <sz val="14"/>
      <color rgb="FF000000"/>
      <name val="Aptos Narrow"/>
    </font>
    <font>
      <sz val="8"/>
      <name val="Aptos Narrow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1">
    <xf numFmtId="0" fontId="0" fillId="0" borderId="0" xfId="0"/>
    <xf numFmtId="0" fontId="0" fillId="34" borderId="0" xfId="0" applyFill="1"/>
    <xf numFmtId="0" fontId="18" fillId="33" borderId="0" xfId="0" applyFont="1" applyFill="1"/>
    <xf numFmtId="0" fontId="19" fillId="33" borderId="0" xfId="0" applyFont="1" applyFill="1"/>
    <xf numFmtId="0" fontId="19" fillId="34" borderId="0" xfId="0" applyFont="1" applyFill="1"/>
    <xf numFmtId="0" fontId="0" fillId="34" borderId="0" xfId="0" applyFill="1" applyAlignment="1">
      <alignment horizontal="right"/>
    </xf>
    <xf numFmtId="0" fontId="19" fillId="34" borderId="0" xfId="0" applyFont="1" applyFill="1" applyAlignment="1">
      <alignment horizontal="right"/>
    </xf>
    <xf numFmtId="0" fontId="0" fillId="34" borderId="0" xfId="0" applyFill="1" applyAlignment="1">
      <alignment horizontal="left"/>
    </xf>
    <xf numFmtId="0" fontId="19" fillId="33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20" fillId="34" borderId="0" xfId="0" applyFont="1" applyFill="1"/>
    <xf numFmtId="0" fontId="20" fillId="34" borderId="0" xfId="0" applyFont="1" applyFill="1" applyAlignment="1">
      <alignment horizontal="right"/>
    </xf>
    <xf numFmtId="0" fontId="20" fillId="34" borderId="0" xfId="0" applyFont="1" applyFill="1" applyAlignment="1">
      <alignment horizontal="left"/>
    </xf>
    <xf numFmtId="0" fontId="17" fillId="35" borderId="0" xfId="0" applyFont="1" applyFill="1" applyAlignment="1">
      <alignment horizontal="left"/>
    </xf>
    <xf numFmtId="0" fontId="21" fillId="0" borderId="0" xfId="0" applyFont="1"/>
    <xf numFmtId="0" fontId="0" fillId="36" borderId="0" xfId="0" applyFill="1"/>
    <xf numFmtId="14" fontId="0" fillId="0" borderId="0" xfId="0" applyNumberFormat="1"/>
    <xf numFmtId="0" fontId="0" fillId="0" borderId="0" xfId="0" applyAlignment="1">
      <alignment horizontal="right"/>
    </xf>
    <xf numFmtId="0" fontId="20" fillId="0" borderId="0" xfId="0" applyFont="1"/>
    <xf numFmtId="0" fontId="22" fillId="0" borderId="0" xfId="0" applyFont="1" applyAlignment="1">
      <alignment horizontal="left"/>
    </xf>
    <xf numFmtId="14" fontId="22" fillId="0" borderId="0" xfId="0" applyNumberFormat="1" applyFont="1" applyAlignment="1">
      <alignment horizontal="left"/>
    </xf>
    <xf numFmtId="0" fontId="23" fillId="37" borderId="0" xfId="0" applyFont="1" applyFill="1"/>
    <xf numFmtId="0" fontId="24" fillId="37" borderId="0" xfId="0" applyFont="1" applyFill="1"/>
    <xf numFmtId="0" fontId="24" fillId="37" borderId="0" xfId="0" applyFont="1" applyFill="1" applyAlignment="1">
      <alignment horizontal="left"/>
    </xf>
    <xf numFmtId="164" fontId="0" fillId="36" borderId="0" xfId="0" applyNumberFormat="1" applyFill="1"/>
    <xf numFmtId="164" fontId="0" fillId="0" borderId="0" xfId="0" applyNumberFormat="1"/>
    <xf numFmtId="14" fontId="0" fillId="34" borderId="0" xfId="0" applyNumberFormat="1" applyFill="1"/>
    <xf numFmtId="0" fontId="0" fillId="38" borderId="0" xfId="0" applyFill="1"/>
    <xf numFmtId="0" fontId="14" fillId="0" borderId="0" xfId="0" applyFont="1" applyAlignment="1">
      <alignment horizontal="left"/>
    </xf>
    <xf numFmtId="14" fontId="0" fillId="36" borderId="0" xfId="0" applyNumberFormat="1" applyFill="1"/>
    <xf numFmtId="164" fontId="21" fillId="0" borderId="0" xfId="0" applyNumberFormat="1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723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color theme="0" tint="-0.14996795556505021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b val="0"/>
        <i/>
        <color theme="0" tint="-0.24994659260841701"/>
      </font>
      <fill>
        <patternFill>
          <bgColor theme="0" tint="-0.14996795556505021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b val="0"/>
        <i/>
        <color rgb="FF9C0006"/>
      </font>
    </dxf>
    <dxf>
      <font>
        <color rgb="FF002060"/>
      </font>
    </dxf>
    <dxf>
      <font>
        <color theme="5" tint="-0.499984740745262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color theme="0" tint="-0.24994659260841701"/>
      </font>
    </dxf>
    <dxf>
      <font>
        <color theme="8" tint="-0.499984740745262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ont>
        <color theme="8" tint="-0.499984740745262"/>
      </font>
    </dxf>
    <dxf>
      <font>
        <b val="0"/>
        <i val="0"/>
        <color theme="6" tint="0.39994506668294322"/>
      </font>
      <fill>
        <patternFill>
          <bgColor theme="6" tint="0.79998168889431442"/>
        </patternFill>
      </fill>
    </dxf>
    <dxf>
      <font>
        <color theme="5" tint="-0.499984740745262"/>
      </font>
    </dxf>
    <dxf>
      <font>
        <b val="0"/>
        <i/>
        <color theme="0" tint="-0.24994659260841701"/>
      </font>
      <fill>
        <patternFill>
          <bgColor theme="0" tint="-0.14996795556505021"/>
        </patternFill>
      </fill>
    </dxf>
    <dxf>
      <font>
        <color rgb="FF7030A0"/>
      </font>
    </dxf>
    <dxf>
      <font>
        <color rgb="FF002060"/>
      </font>
    </dxf>
    <dxf>
      <font>
        <color rgb="FF00B0F0"/>
      </font>
    </dxf>
    <dxf>
      <font>
        <color theme="0" tint="-0.2499465926084170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ont>
        <color theme="0" tint="-0.14996795556505021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  <dxf>
      <fill>
        <patternFill>
          <bgColor rgb="FFFFC7CE"/>
        </patternFill>
      </fill>
    </dxf>
    <dxf>
      <font>
        <color rgb="FF00B050"/>
      </font>
    </dxf>
    <dxf>
      <font>
        <color rgb="FF0070C0"/>
      </font>
    </dxf>
    <dxf>
      <font>
        <b val="0"/>
        <i/>
        <color theme="0" tint="-0.24994659260841701"/>
      </font>
    </dxf>
    <dxf>
      <font>
        <color rgb="FF7030A0"/>
      </font>
    </dxf>
  </dxfs>
  <tableStyles count="0" defaultTableStyle="TableStyleMedium2" defaultPivotStyle="PivotStyleLight16"/>
  <colors>
    <mruColors>
      <color rgb="FF0020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14</xdr:row>
          <xdr:rowOff>63500</xdr:rowOff>
        </xdr:from>
        <xdr:to>
          <xdr:col>4</xdr:col>
          <xdr:colOff>393700</xdr:colOff>
          <xdr:row>16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Flush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596900</xdr:colOff>
          <xdr:row>14</xdr:row>
          <xdr:rowOff>50800</xdr:rowOff>
        </xdr:from>
        <xdr:to>
          <xdr:col>7</xdr:col>
          <xdr:colOff>101600</xdr:colOff>
          <xdr:row>16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Read 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A953D-5EB7-714B-A961-32CE5CEA684C}">
  <sheetPr codeName="Sheet2"/>
  <dimension ref="A1:BK42"/>
  <sheetViews>
    <sheetView tabSelected="1" zoomScale="112" workbookViewId="0">
      <pane xSplit="2" topLeftCell="D1" activePane="topRight" state="frozen"/>
      <selection pane="topRight" activeCell="K23" sqref="K23"/>
    </sheetView>
  </sheetViews>
  <sheetFormatPr baseColWidth="10" defaultRowHeight="16" x14ac:dyDescent="0.2"/>
  <cols>
    <col min="1" max="1" width="6.6640625" customWidth="1"/>
    <col min="2" max="2" width="13.1640625" customWidth="1"/>
    <col min="3" max="3" width="8.83203125" style="1" customWidth="1"/>
    <col min="4" max="8" width="8.83203125" customWidth="1"/>
    <col min="9" max="10" width="8.83203125" style="1" customWidth="1"/>
    <col min="11" max="15" width="8.83203125" customWidth="1"/>
    <col min="16" max="17" width="8.83203125" style="1" customWidth="1"/>
    <col min="18" max="22" width="8.83203125" customWidth="1"/>
    <col min="23" max="24" width="8.83203125" style="1" customWidth="1"/>
    <col min="25" max="29" width="8.83203125" customWidth="1"/>
    <col min="30" max="31" width="8.83203125" style="1" customWidth="1"/>
    <col min="32" max="36" width="8.83203125" customWidth="1"/>
    <col min="37" max="38" width="8.83203125" style="1" customWidth="1"/>
    <col min="39" max="43" width="8.83203125" customWidth="1"/>
    <col min="44" max="45" width="8.83203125" style="1" customWidth="1"/>
    <col min="46" max="50" width="8.83203125" customWidth="1"/>
    <col min="51" max="52" width="8.83203125" style="1" customWidth="1"/>
    <col min="53" max="57" width="8.83203125" customWidth="1"/>
    <col min="58" max="59" width="8.83203125" style="1" customWidth="1"/>
    <col min="60" max="61" width="8.83203125" customWidth="1"/>
    <col min="62" max="63" width="8.83203125" style="9" customWidth="1"/>
  </cols>
  <sheetData>
    <row r="1" spans="1:63" s="19" customFormat="1" x14ac:dyDescent="0.2">
      <c r="A1" s="28" t="s">
        <v>46</v>
      </c>
      <c r="B1" s="27" t="s">
        <v>0</v>
      </c>
      <c r="C1" s="26">
        <v>46033</v>
      </c>
      <c r="D1" s="16">
        <v>46064</v>
      </c>
      <c r="E1" s="16">
        <v>46092</v>
      </c>
      <c r="F1" s="16">
        <v>46123</v>
      </c>
      <c r="G1" s="16">
        <v>46153</v>
      </c>
      <c r="H1" s="16">
        <v>46184</v>
      </c>
      <c r="I1" s="26">
        <v>46214</v>
      </c>
      <c r="J1" s="26">
        <v>46245</v>
      </c>
      <c r="K1" s="16">
        <v>46276</v>
      </c>
      <c r="L1" s="16">
        <v>46306</v>
      </c>
      <c r="M1" s="16">
        <v>46337</v>
      </c>
      <c r="N1" s="16">
        <v>46367</v>
      </c>
      <c r="O1" t="s">
        <v>23</v>
      </c>
      <c r="P1" s="1" t="s">
        <v>24</v>
      </c>
      <c r="Q1" s="1" t="s">
        <v>25</v>
      </c>
      <c r="R1" t="s">
        <v>26</v>
      </c>
      <c r="S1" t="s">
        <v>27</v>
      </c>
      <c r="T1" t="s">
        <v>28</v>
      </c>
      <c r="U1" t="s">
        <v>29</v>
      </c>
      <c r="V1" t="s">
        <v>30</v>
      </c>
      <c r="W1" s="1" t="s">
        <v>31</v>
      </c>
      <c r="X1" s="1" t="s">
        <v>32</v>
      </c>
      <c r="Y1" t="s">
        <v>33</v>
      </c>
      <c r="Z1" t="s">
        <v>34</v>
      </c>
      <c r="AA1" t="s">
        <v>35</v>
      </c>
      <c r="AB1" t="s">
        <v>36</v>
      </c>
      <c r="AC1" t="s">
        <v>37</v>
      </c>
      <c r="AD1" s="1" t="s">
        <v>38</v>
      </c>
      <c r="AE1" s="1" t="s">
        <v>39</v>
      </c>
      <c r="AF1" t="s">
        <v>40</v>
      </c>
      <c r="AG1" s="20">
        <v>46034</v>
      </c>
      <c r="AH1" s="20">
        <v>46065</v>
      </c>
      <c r="AI1" s="20">
        <v>46093</v>
      </c>
      <c r="AJ1" s="20">
        <v>46124</v>
      </c>
      <c r="AK1" s="20">
        <v>46154</v>
      </c>
      <c r="AL1" s="20">
        <v>46185</v>
      </c>
      <c r="AM1" s="20">
        <v>46215</v>
      </c>
      <c r="AN1" s="20">
        <v>46246</v>
      </c>
      <c r="AO1" s="20">
        <v>46277</v>
      </c>
      <c r="AP1" s="20">
        <v>46307</v>
      </c>
      <c r="AQ1" s="20">
        <v>46338</v>
      </c>
      <c r="AR1" s="20">
        <v>46368</v>
      </c>
      <c r="AS1" s="20" t="s">
        <v>66</v>
      </c>
      <c r="AT1" s="20" t="s">
        <v>67</v>
      </c>
      <c r="AU1" s="20" t="s">
        <v>68</v>
      </c>
      <c r="AV1" s="20" t="s">
        <v>69</v>
      </c>
      <c r="AW1" s="20" t="s">
        <v>70</v>
      </c>
      <c r="AX1" s="20" t="s">
        <v>71</v>
      </c>
      <c r="AY1" s="20" t="s">
        <v>72</v>
      </c>
      <c r="AZ1" s="20" t="s">
        <v>73</v>
      </c>
      <c r="BA1" s="20" t="s">
        <v>74</v>
      </c>
      <c r="BB1" s="20" t="s">
        <v>75</v>
      </c>
      <c r="BC1" s="20" t="s">
        <v>76</v>
      </c>
      <c r="BD1" s="20" t="s">
        <v>77</v>
      </c>
      <c r="BE1" s="20" t="s">
        <v>78</v>
      </c>
      <c r="BF1" s="20" t="s">
        <v>79</v>
      </c>
      <c r="BG1" s="20" t="s">
        <v>80</v>
      </c>
      <c r="BH1" s="20" t="s">
        <v>81</v>
      </c>
      <c r="BI1" s="19" t="s">
        <v>82</v>
      </c>
      <c r="BJ1" s="19" t="s">
        <v>83</v>
      </c>
      <c r="BK1" s="19" t="s">
        <v>84</v>
      </c>
    </row>
    <row r="2" spans="1:63" x14ac:dyDescent="0.2">
      <c r="B2" t="s">
        <v>48</v>
      </c>
      <c r="D2" t="s">
        <v>20</v>
      </c>
      <c r="E2" t="s">
        <v>20</v>
      </c>
      <c r="F2" t="s">
        <v>20</v>
      </c>
      <c r="G2" t="s">
        <v>20</v>
      </c>
      <c r="H2" t="s">
        <v>20</v>
      </c>
      <c r="I2" s="1" t="s">
        <v>44</v>
      </c>
      <c r="K2" t="s">
        <v>9</v>
      </c>
      <c r="L2" t="s">
        <v>9</v>
      </c>
      <c r="M2" t="s">
        <v>9</v>
      </c>
      <c r="N2" t="s">
        <v>9</v>
      </c>
      <c r="O2" t="s">
        <v>9</v>
      </c>
      <c r="P2" s="1" t="s">
        <v>44</v>
      </c>
      <c r="R2" t="s">
        <v>20</v>
      </c>
      <c r="S2" t="s">
        <v>20</v>
      </c>
      <c r="T2" t="s">
        <v>20</v>
      </c>
      <c r="U2" t="s">
        <v>20</v>
      </c>
      <c r="V2" t="s">
        <v>22</v>
      </c>
      <c r="Y2" t="s">
        <v>20</v>
      </c>
      <c r="Z2" t="s">
        <v>20</v>
      </c>
      <c r="AA2" t="s">
        <v>20</v>
      </c>
      <c r="AB2" t="s">
        <v>20</v>
      </c>
      <c r="AC2" t="s">
        <v>22</v>
      </c>
      <c r="AF2" t="s">
        <v>10</v>
      </c>
      <c r="AG2" t="s">
        <v>10</v>
      </c>
      <c r="AH2" t="s">
        <v>10</v>
      </c>
      <c r="AI2" t="s">
        <v>10</v>
      </c>
      <c r="AJ2" t="s">
        <v>10</v>
      </c>
      <c r="AK2" s="1" t="s">
        <v>44</v>
      </c>
      <c r="AM2" t="s">
        <v>20</v>
      </c>
      <c r="AN2" t="s">
        <v>20</v>
      </c>
      <c r="AO2" t="s">
        <v>20</v>
      </c>
      <c r="AP2" t="s">
        <v>20</v>
      </c>
      <c r="AQ2" t="s">
        <v>22</v>
      </c>
      <c r="AT2" t="s">
        <v>8</v>
      </c>
      <c r="AU2" t="s">
        <v>8</v>
      </c>
      <c r="AV2" t="s">
        <v>8</v>
      </c>
      <c r="AW2" t="s">
        <v>16</v>
      </c>
      <c r="AX2" t="s">
        <v>8</v>
      </c>
      <c r="BA2" t="s">
        <v>12</v>
      </c>
      <c r="BB2" t="s">
        <v>12</v>
      </c>
      <c r="BC2" t="s">
        <v>12</v>
      </c>
      <c r="BD2" t="s">
        <v>18</v>
      </c>
      <c r="BE2" t="s">
        <v>12</v>
      </c>
      <c r="BH2" t="s">
        <v>8</v>
      </c>
      <c r="BI2" t="s">
        <v>8</v>
      </c>
      <c r="BJ2" s="13" t="s">
        <v>8</v>
      </c>
      <c r="BK2" s="13" t="s">
        <v>8</v>
      </c>
    </row>
    <row r="3" spans="1:63" x14ac:dyDescent="0.2">
      <c r="B3" t="s">
        <v>56</v>
      </c>
      <c r="D3" t="s">
        <v>7</v>
      </c>
      <c r="E3" t="s">
        <v>7</v>
      </c>
      <c r="F3" t="s">
        <v>7</v>
      </c>
      <c r="G3" t="s">
        <v>7</v>
      </c>
      <c r="H3" t="s">
        <v>7</v>
      </c>
      <c r="I3" s="1" t="s">
        <v>44</v>
      </c>
      <c r="K3" t="s">
        <v>20</v>
      </c>
      <c r="L3" t="s">
        <v>20</v>
      </c>
      <c r="M3" t="s">
        <v>20</v>
      </c>
      <c r="N3" t="s">
        <v>20</v>
      </c>
      <c r="O3" t="s">
        <v>20</v>
      </c>
      <c r="P3" s="1" t="s">
        <v>44</v>
      </c>
      <c r="R3" t="s">
        <v>11</v>
      </c>
      <c r="S3" t="s">
        <v>11</v>
      </c>
      <c r="T3" t="s">
        <v>11</v>
      </c>
      <c r="U3" t="s">
        <v>2</v>
      </c>
      <c r="V3" t="s">
        <v>2</v>
      </c>
      <c r="Y3" t="s">
        <v>2</v>
      </c>
      <c r="Z3" t="s">
        <v>14</v>
      </c>
      <c r="AA3" t="s">
        <v>11</v>
      </c>
      <c r="AB3" t="s">
        <v>8</v>
      </c>
      <c r="AC3" t="s">
        <v>8</v>
      </c>
      <c r="AD3" s="1" t="s">
        <v>44</v>
      </c>
      <c r="AF3" t="s">
        <v>12</v>
      </c>
      <c r="AG3" t="s">
        <v>12</v>
      </c>
      <c r="AH3" t="s">
        <v>12</v>
      </c>
      <c r="AI3" t="s">
        <v>18</v>
      </c>
      <c r="AJ3" t="s">
        <v>12</v>
      </c>
      <c r="AM3" t="s">
        <v>10</v>
      </c>
      <c r="AN3" t="s">
        <v>10</v>
      </c>
      <c r="AO3" t="s">
        <v>10</v>
      </c>
      <c r="AP3" t="s">
        <v>15</v>
      </c>
      <c r="AQ3" t="s">
        <v>10</v>
      </c>
      <c r="AT3" t="s">
        <v>20</v>
      </c>
      <c r="AU3" t="s">
        <v>20</v>
      </c>
      <c r="AV3" t="s">
        <v>20</v>
      </c>
      <c r="AW3" t="s">
        <v>20</v>
      </c>
      <c r="AX3" t="s">
        <v>22</v>
      </c>
      <c r="BA3" t="s">
        <v>9</v>
      </c>
      <c r="BB3" t="s">
        <v>9</v>
      </c>
      <c r="BC3" t="s">
        <v>9</v>
      </c>
      <c r="BD3" t="s">
        <v>9</v>
      </c>
      <c r="BE3" t="s">
        <v>13</v>
      </c>
      <c r="BH3" t="s">
        <v>8</v>
      </c>
      <c r="BI3" t="s">
        <v>8</v>
      </c>
      <c r="BJ3" s="13" t="s">
        <v>8</v>
      </c>
      <c r="BK3" s="13" t="s">
        <v>8</v>
      </c>
    </row>
    <row r="4" spans="1:63" x14ac:dyDescent="0.2">
      <c r="B4" t="s">
        <v>55</v>
      </c>
      <c r="D4" t="s">
        <v>10</v>
      </c>
      <c r="E4" t="s">
        <v>10</v>
      </c>
      <c r="F4" t="s">
        <v>10</v>
      </c>
      <c r="G4" t="s">
        <v>10</v>
      </c>
      <c r="H4" t="s">
        <v>15</v>
      </c>
      <c r="K4" t="s">
        <v>12</v>
      </c>
      <c r="L4" t="s">
        <v>12</v>
      </c>
      <c r="M4" t="s">
        <v>12</v>
      </c>
      <c r="N4" t="s">
        <v>12</v>
      </c>
      <c r="O4" t="s">
        <v>18</v>
      </c>
      <c r="R4" t="s">
        <v>10</v>
      </c>
      <c r="S4" t="s">
        <v>10</v>
      </c>
      <c r="T4" t="s">
        <v>10</v>
      </c>
      <c r="U4" t="s">
        <v>10</v>
      </c>
      <c r="V4" t="s">
        <v>10</v>
      </c>
      <c r="W4" s="1" t="s">
        <v>44</v>
      </c>
      <c r="Y4" t="s">
        <v>7</v>
      </c>
      <c r="Z4" t="s">
        <v>7</v>
      </c>
      <c r="AA4" t="s">
        <v>7</v>
      </c>
      <c r="AB4" t="s">
        <v>7</v>
      </c>
      <c r="AC4" t="s">
        <v>7</v>
      </c>
      <c r="AD4" s="1" t="s">
        <v>44</v>
      </c>
      <c r="AF4" t="s">
        <v>8</v>
      </c>
      <c r="AG4" t="s">
        <v>8</v>
      </c>
      <c r="AH4" t="s">
        <v>8</v>
      </c>
      <c r="AI4" t="s">
        <v>8</v>
      </c>
      <c r="AJ4" t="s">
        <v>8</v>
      </c>
      <c r="AL4" s="1" t="s">
        <v>44</v>
      </c>
      <c r="AM4" t="s">
        <v>11</v>
      </c>
      <c r="AN4" t="s">
        <v>11</v>
      </c>
      <c r="AO4" t="s">
        <v>11</v>
      </c>
      <c r="AP4" t="s">
        <v>11</v>
      </c>
      <c r="AQ4" t="s">
        <v>11</v>
      </c>
      <c r="AT4" t="s">
        <v>13</v>
      </c>
      <c r="AU4" t="s">
        <v>9</v>
      </c>
      <c r="AV4" t="s">
        <v>9</v>
      </c>
      <c r="AW4" t="s">
        <v>9</v>
      </c>
      <c r="AX4" t="s">
        <v>9</v>
      </c>
      <c r="BA4" t="s">
        <v>16</v>
      </c>
      <c r="BB4" t="s">
        <v>8</v>
      </c>
      <c r="BC4" t="s">
        <v>8</v>
      </c>
      <c r="BD4" t="s">
        <v>8</v>
      </c>
      <c r="BE4" t="s">
        <v>8</v>
      </c>
      <c r="BH4" t="s">
        <v>14</v>
      </c>
      <c r="BI4" t="s">
        <v>11</v>
      </c>
      <c r="BJ4" s="13" t="s">
        <v>11</v>
      </c>
      <c r="BK4" s="13" t="s">
        <v>11</v>
      </c>
    </row>
    <row r="5" spans="1:63" x14ac:dyDescent="0.2">
      <c r="B5" t="s">
        <v>49</v>
      </c>
      <c r="D5" t="s">
        <v>11</v>
      </c>
      <c r="E5" t="s">
        <v>14</v>
      </c>
      <c r="F5" t="s">
        <v>11</v>
      </c>
      <c r="G5" t="s">
        <v>11</v>
      </c>
      <c r="H5" t="s">
        <v>11</v>
      </c>
      <c r="K5" t="s">
        <v>7</v>
      </c>
      <c r="L5" t="s">
        <v>7</v>
      </c>
      <c r="M5" t="s">
        <v>7</v>
      </c>
      <c r="N5" t="s">
        <v>17</v>
      </c>
      <c r="O5" t="s">
        <v>7</v>
      </c>
      <c r="R5" t="s">
        <v>8</v>
      </c>
      <c r="S5" t="s">
        <v>8</v>
      </c>
      <c r="T5" t="s">
        <v>8</v>
      </c>
      <c r="U5" t="s">
        <v>8</v>
      </c>
      <c r="V5" t="s">
        <v>16</v>
      </c>
      <c r="Y5" t="s">
        <v>2</v>
      </c>
      <c r="Z5" t="s">
        <v>2</v>
      </c>
      <c r="AA5" t="s">
        <v>2</v>
      </c>
      <c r="AB5" t="s">
        <v>2</v>
      </c>
      <c r="AC5" t="s">
        <v>2</v>
      </c>
      <c r="AF5" t="s">
        <v>10</v>
      </c>
      <c r="AG5" t="s">
        <v>15</v>
      </c>
      <c r="AH5" t="s">
        <v>10</v>
      </c>
      <c r="AI5" t="s">
        <v>10</v>
      </c>
      <c r="AJ5" t="s">
        <v>10</v>
      </c>
      <c r="AM5" t="s">
        <v>9</v>
      </c>
      <c r="AN5" t="s">
        <v>9</v>
      </c>
      <c r="AO5" t="s">
        <v>9</v>
      </c>
      <c r="AP5" t="s">
        <v>9</v>
      </c>
      <c r="AQ5" t="s">
        <v>9</v>
      </c>
      <c r="AR5" s="1" t="s">
        <v>44</v>
      </c>
      <c r="AT5" t="s">
        <v>10</v>
      </c>
      <c r="AU5" t="s">
        <v>10</v>
      </c>
      <c r="AV5" t="s">
        <v>10</v>
      </c>
      <c r="AW5" t="s">
        <v>10</v>
      </c>
      <c r="AX5" t="s">
        <v>10</v>
      </c>
      <c r="AY5" s="1" t="s">
        <v>44</v>
      </c>
      <c r="BA5" t="s">
        <v>8</v>
      </c>
      <c r="BB5" t="s">
        <v>8</v>
      </c>
      <c r="BC5" t="s">
        <v>8</v>
      </c>
      <c r="BD5" t="s">
        <v>8</v>
      </c>
      <c r="BE5" t="s">
        <v>8</v>
      </c>
      <c r="BG5" s="1" t="s">
        <v>44</v>
      </c>
      <c r="BH5" t="s">
        <v>12</v>
      </c>
      <c r="BI5" t="s">
        <v>12</v>
      </c>
      <c r="BJ5" s="13" t="s">
        <v>12</v>
      </c>
      <c r="BK5" s="13" t="s">
        <v>12</v>
      </c>
    </row>
    <row r="6" spans="1:63" x14ac:dyDescent="0.2">
      <c r="B6" t="s">
        <v>51</v>
      </c>
      <c r="D6" t="s">
        <v>9</v>
      </c>
      <c r="E6" t="s">
        <v>9</v>
      </c>
      <c r="F6" t="s">
        <v>9</v>
      </c>
      <c r="G6" t="s">
        <v>9</v>
      </c>
      <c r="H6" t="s">
        <v>13</v>
      </c>
      <c r="K6" t="s">
        <v>10</v>
      </c>
      <c r="L6" t="s">
        <v>10</v>
      </c>
      <c r="M6" t="s">
        <v>10</v>
      </c>
      <c r="N6" t="s">
        <v>10</v>
      </c>
      <c r="O6" t="s">
        <v>15</v>
      </c>
      <c r="R6" t="s">
        <v>2</v>
      </c>
      <c r="S6" t="s">
        <v>2</v>
      </c>
      <c r="T6" t="s">
        <v>2</v>
      </c>
      <c r="U6" t="s">
        <v>2</v>
      </c>
      <c r="V6" t="s">
        <v>2</v>
      </c>
      <c r="Y6" t="s">
        <v>18</v>
      </c>
      <c r="Z6" t="s">
        <v>12</v>
      </c>
      <c r="AA6" t="s">
        <v>12</v>
      </c>
      <c r="AB6" t="s">
        <v>12</v>
      </c>
      <c r="AC6" t="s">
        <v>12</v>
      </c>
      <c r="AE6" s="1" t="s">
        <v>44</v>
      </c>
      <c r="AF6" t="s">
        <v>8</v>
      </c>
      <c r="AG6" t="s">
        <v>8</v>
      </c>
      <c r="AH6" t="s">
        <v>8</v>
      </c>
      <c r="AI6" t="s">
        <v>8</v>
      </c>
      <c r="AJ6" t="s">
        <v>8</v>
      </c>
      <c r="AK6" s="1" t="s">
        <v>44</v>
      </c>
      <c r="AM6" t="s">
        <v>8</v>
      </c>
      <c r="AN6" t="s">
        <v>8</v>
      </c>
      <c r="AO6" t="s">
        <v>16</v>
      </c>
      <c r="AP6" t="s">
        <v>8</v>
      </c>
      <c r="AQ6" t="s">
        <v>8</v>
      </c>
      <c r="AT6" t="s">
        <v>7</v>
      </c>
      <c r="AU6" t="s">
        <v>7</v>
      </c>
      <c r="AV6" t="s">
        <v>7</v>
      </c>
      <c r="AW6" t="s">
        <v>7</v>
      </c>
      <c r="AX6" t="s">
        <v>17</v>
      </c>
      <c r="BA6" t="s">
        <v>11</v>
      </c>
      <c r="BB6" t="s">
        <v>11</v>
      </c>
      <c r="BC6" t="s">
        <v>11</v>
      </c>
      <c r="BD6" t="s">
        <v>11</v>
      </c>
      <c r="BE6" t="s">
        <v>11</v>
      </c>
      <c r="BF6" s="1" t="s">
        <v>44</v>
      </c>
      <c r="BH6" t="s">
        <v>20</v>
      </c>
      <c r="BI6" t="s">
        <v>20</v>
      </c>
      <c r="BJ6" s="13" t="s">
        <v>20</v>
      </c>
      <c r="BK6" s="13" t="s">
        <v>20</v>
      </c>
    </row>
    <row r="7" spans="1:63" x14ac:dyDescent="0.2">
      <c r="B7" t="s">
        <v>53</v>
      </c>
      <c r="D7" t="s">
        <v>10</v>
      </c>
      <c r="E7" t="s">
        <v>10</v>
      </c>
      <c r="F7" t="s">
        <v>10</v>
      </c>
      <c r="G7" t="s">
        <v>15</v>
      </c>
      <c r="H7" t="s">
        <v>10</v>
      </c>
      <c r="K7" t="s">
        <v>8</v>
      </c>
      <c r="L7" t="s">
        <v>2</v>
      </c>
      <c r="M7" t="s">
        <v>2</v>
      </c>
      <c r="N7" t="s">
        <v>8</v>
      </c>
      <c r="O7" t="s">
        <v>8</v>
      </c>
      <c r="P7" s="1" t="s">
        <v>44</v>
      </c>
      <c r="R7" t="s">
        <v>9</v>
      </c>
      <c r="S7" t="s">
        <v>9</v>
      </c>
      <c r="T7" t="s">
        <v>9</v>
      </c>
      <c r="U7" t="s">
        <v>9</v>
      </c>
      <c r="V7" t="s">
        <v>9</v>
      </c>
      <c r="W7" s="1" t="s">
        <v>44</v>
      </c>
      <c r="Y7" t="s">
        <v>8</v>
      </c>
      <c r="Z7" t="s">
        <v>8</v>
      </c>
      <c r="AA7" t="s">
        <v>8</v>
      </c>
      <c r="AB7" t="s">
        <v>2</v>
      </c>
      <c r="AC7" t="s">
        <v>2</v>
      </c>
      <c r="AF7" t="s">
        <v>2</v>
      </c>
      <c r="AG7" t="s">
        <v>8</v>
      </c>
      <c r="AH7" t="s">
        <v>16</v>
      </c>
      <c r="AI7" t="s">
        <v>8</v>
      </c>
      <c r="AJ7" t="s">
        <v>8</v>
      </c>
      <c r="AM7" t="s">
        <v>7</v>
      </c>
      <c r="AN7" t="s">
        <v>7</v>
      </c>
      <c r="AO7" t="s">
        <v>7</v>
      </c>
      <c r="AP7" t="s">
        <v>7</v>
      </c>
      <c r="AQ7" t="s">
        <v>7</v>
      </c>
      <c r="AR7" s="1" t="s">
        <v>44</v>
      </c>
      <c r="AT7" t="s">
        <v>12</v>
      </c>
      <c r="AU7" t="s">
        <v>12</v>
      </c>
      <c r="AV7" t="s">
        <v>12</v>
      </c>
      <c r="AW7" t="s">
        <v>12</v>
      </c>
      <c r="AX7" t="s">
        <v>12</v>
      </c>
      <c r="BA7" t="s">
        <v>11</v>
      </c>
      <c r="BB7" t="s">
        <v>11</v>
      </c>
      <c r="BC7" t="s">
        <v>14</v>
      </c>
      <c r="BD7" t="s">
        <v>11</v>
      </c>
      <c r="BE7" t="s">
        <v>11</v>
      </c>
      <c r="BH7" t="s">
        <v>10</v>
      </c>
      <c r="BI7" t="s">
        <v>10</v>
      </c>
      <c r="BJ7" s="13" t="s">
        <v>10</v>
      </c>
      <c r="BK7" s="13" t="s">
        <v>15</v>
      </c>
    </row>
    <row r="8" spans="1:63" x14ac:dyDescent="0.2">
      <c r="B8" t="s">
        <v>54</v>
      </c>
      <c r="C8" s="1" t="s">
        <v>44</v>
      </c>
      <c r="D8" t="s">
        <v>11</v>
      </c>
      <c r="E8" t="s">
        <v>11</v>
      </c>
      <c r="F8" t="s">
        <v>11</v>
      </c>
      <c r="G8" t="s">
        <v>11</v>
      </c>
      <c r="H8" t="s">
        <v>11</v>
      </c>
      <c r="K8" t="s">
        <v>8</v>
      </c>
      <c r="L8" t="s">
        <v>16</v>
      </c>
      <c r="M8" t="s">
        <v>8</v>
      </c>
      <c r="N8" t="s">
        <v>8</v>
      </c>
      <c r="O8" t="s">
        <v>8</v>
      </c>
      <c r="R8" t="s">
        <v>12</v>
      </c>
      <c r="S8" t="s">
        <v>12</v>
      </c>
      <c r="T8" t="s">
        <v>18</v>
      </c>
      <c r="U8" t="s">
        <v>12</v>
      </c>
      <c r="V8" t="s">
        <v>12</v>
      </c>
      <c r="Y8" t="s">
        <v>11</v>
      </c>
      <c r="Z8" t="s">
        <v>11</v>
      </c>
      <c r="AA8" t="s">
        <v>2</v>
      </c>
      <c r="AB8" t="s">
        <v>11</v>
      </c>
      <c r="AC8" t="s">
        <v>14</v>
      </c>
      <c r="AF8" t="s">
        <v>11</v>
      </c>
      <c r="AG8" t="s">
        <v>11</v>
      </c>
      <c r="AH8" t="s">
        <v>11</v>
      </c>
      <c r="AI8" t="s">
        <v>11</v>
      </c>
      <c r="AJ8" t="s">
        <v>14</v>
      </c>
      <c r="AM8" t="s">
        <v>8</v>
      </c>
      <c r="AN8" t="s">
        <v>8</v>
      </c>
      <c r="AO8" t="s">
        <v>8</v>
      </c>
      <c r="AP8" t="s">
        <v>8</v>
      </c>
      <c r="AQ8" t="s">
        <v>16</v>
      </c>
      <c r="AT8" t="s">
        <v>10</v>
      </c>
      <c r="AU8" t="s">
        <v>10</v>
      </c>
      <c r="AV8" t="s">
        <v>10</v>
      </c>
      <c r="AW8" t="s">
        <v>10</v>
      </c>
      <c r="AX8" t="s">
        <v>10</v>
      </c>
      <c r="AY8" s="1" t="s">
        <v>44</v>
      </c>
      <c r="BA8" t="s">
        <v>7</v>
      </c>
      <c r="BB8" t="s">
        <v>7</v>
      </c>
      <c r="BC8" t="s">
        <v>7</v>
      </c>
      <c r="BD8" t="s">
        <v>7</v>
      </c>
      <c r="BE8" t="s">
        <v>7</v>
      </c>
      <c r="BF8" s="1" t="s">
        <v>44</v>
      </c>
      <c r="BH8" t="s">
        <v>8</v>
      </c>
      <c r="BI8" t="s">
        <v>8</v>
      </c>
      <c r="BJ8" s="13" t="s">
        <v>8</v>
      </c>
      <c r="BK8" s="13" t="s">
        <v>8</v>
      </c>
    </row>
    <row r="9" spans="1:63" x14ac:dyDescent="0.2">
      <c r="B9" t="s">
        <v>57</v>
      </c>
      <c r="D9" t="s">
        <v>8</v>
      </c>
      <c r="E9" t="s">
        <v>8</v>
      </c>
      <c r="F9" t="s">
        <v>16</v>
      </c>
      <c r="G9" t="s">
        <v>8</v>
      </c>
      <c r="H9" t="s">
        <v>8</v>
      </c>
      <c r="K9" t="s">
        <v>10</v>
      </c>
      <c r="L9" t="s">
        <v>10</v>
      </c>
      <c r="M9" t="s">
        <v>15</v>
      </c>
      <c r="N9" t="s">
        <v>10</v>
      </c>
      <c r="O9" t="s">
        <v>10</v>
      </c>
      <c r="R9" t="s">
        <v>11</v>
      </c>
      <c r="S9" t="s">
        <v>11</v>
      </c>
      <c r="T9" t="s">
        <v>11</v>
      </c>
      <c r="U9" t="s">
        <v>14</v>
      </c>
      <c r="V9" t="s">
        <v>11</v>
      </c>
      <c r="Y9" t="s">
        <v>10</v>
      </c>
      <c r="Z9" t="s">
        <v>10</v>
      </c>
      <c r="AA9" t="s">
        <v>10</v>
      </c>
      <c r="AB9" t="s">
        <v>15</v>
      </c>
      <c r="AC9" t="s">
        <v>10</v>
      </c>
      <c r="AF9" t="s">
        <v>7</v>
      </c>
      <c r="AG9" t="s">
        <v>7</v>
      </c>
      <c r="AH9" t="s">
        <v>7</v>
      </c>
      <c r="AI9" t="s">
        <v>7</v>
      </c>
      <c r="AJ9" t="s">
        <v>7</v>
      </c>
      <c r="AK9" s="1" t="s">
        <v>44</v>
      </c>
      <c r="AM9" t="s">
        <v>8</v>
      </c>
      <c r="AN9" t="s">
        <v>8</v>
      </c>
      <c r="AO9" t="s">
        <v>8</v>
      </c>
      <c r="AP9" t="s">
        <v>8</v>
      </c>
      <c r="AQ9" t="s">
        <v>8</v>
      </c>
      <c r="AS9" s="1" t="s">
        <v>44</v>
      </c>
      <c r="AT9" t="s">
        <v>11</v>
      </c>
      <c r="AU9" t="s">
        <v>11</v>
      </c>
      <c r="AV9" t="s">
        <v>11</v>
      </c>
      <c r="AW9" t="s">
        <v>11</v>
      </c>
      <c r="AX9" t="s">
        <v>11</v>
      </c>
      <c r="AZ9" s="1" t="s">
        <v>44</v>
      </c>
      <c r="BA9" t="s">
        <v>8</v>
      </c>
      <c r="BB9" t="s">
        <v>8</v>
      </c>
      <c r="BC9" t="s">
        <v>8</v>
      </c>
      <c r="BD9" t="s">
        <v>8</v>
      </c>
      <c r="BE9" t="s">
        <v>8</v>
      </c>
      <c r="BH9" t="s">
        <v>11</v>
      </c>
      <c r="BI9" t="s">
        <v>14</v>
      </c>
      <c r="BJ9" s="13" t="s">
        <v>11</v>
      </c>
      <c r="BK9" s="13" t="s">
        <v>11</v>
      </c>
    </row>
    <row r="10" spans="1:63" x14ac:dyDescent="0.2">
      <c r="B10" t="s">
        <v>50</v>
      </c>
      <c r="D10" t="s">
        <v>2</v>
      </c>
      <c r="E10" t="s">
        <v>2</v>
      </c>
      <c r="F10" t="s">
        <v>2</v>
      </c>
      <c r="G10" t="s">
        <v>2</v>
      </c>
      <c r="H10" t="s">
        <v>8</v>
      </c>
      <c r="J10" s="1" t="s">
        <v>44</v>
      </c>
      <c r="K10" t="s">
        <v>11</v>
      </c>
      <c r="L10" t="s">
        <v>11</v>
      </c>
      <c r="M10" t="s">
        <v>11</v>
      </c>
      <c r="N10" t="s">
        <v>11</v>
      </c>
      <c r="O10" t="s">
        <v>11</v>
      </c>
      <c r="Q10" s="1" t="s">
        <v>44</v>
      </c>
      <c r="R10" t="s">
        <v>7</v>
      </c>
      <c r="S10" t="s">
        <v>7</v>
      </c>
      <c r="T10" t="s">
        <v>7</v>
      </c>
      <c r="U10" t="s">
        <v>7</v>
      </c>
      <c r="V10" t="s">
        <v>7</v>
      </c>
      <c r="X10" s="1" t="s">
        <v>44</v>
      </c>
      <c r="Y10" t="s">
        <v>10</v>
      </c>
      <c r="Z10" t="s">
        <v>10</v>
      </c>
      <c r="AA10" t="s">
        <v>10</v>
      </c>
      <c r="AB10" t="s">
        <v>10</v>
      </c>
      <c r="AC10" t="s">
        <v>10</v>
      </c>
      <c r="AF10" t="s">
        <v>14</v>
      </c>
      <c r="AG10" t="s">
        <v>11</v>
      </c>
      <c r="AH10" t="s">
        <v>11</v>
      </c>
      <c r="AI10" t="s">
        <v>11</v>
      </c>
      <c r="AJ10" t="s">
        <v>11</v>
      </c>
      <c r="AM10" t="s">
        <v>12</v>
      </c>
      <c r="AN10" t="s">
        <v>18</v>
      </c>
      <c r="AO10" t="s">
        <v>12</v>
      </c>
      <c r="AP10" t="s">
        <v>12</v>
      </c>
      <c r="AQ10" t="s">
        <v>12</v>
      </c>
      <c r="AT10" t="s">
        <v>8</v>
      </c>
      <c r="AU10" t="s">
        <v>16</v>
      </c>
      <c r="AV10" t="s">
        <v>8</v>
      </c>
      <c r="AW10" t="s">
        <v>8</v>
      </c>
      <c r="AX10" t="s">
        <v>8</v>
      </c>
      <c r="BA10" t="s">
        <v>10</v>
      </c>
      <c r="BB10" t="s">
        <v>15</v>
      </c>
      <c r="BC10" t="s">
        <v>10</v>
      </c>
      <c r="BD10" t="s">
        <v>10</v>
      </c>
      <c r="BE10" t="s">
        <v>10</v>
      </c>
      <c r="BH10" t="s">
        <v>9</v>
      </c>
      <c r="BI10" t="s">
        <v>9</v>
      </c>
      <c r="BJ10" s="13" t="s">
        <v>13</v>
      </c>
      <c r="BK10" s="13" t="s">
        <v>9</v>
      </c>
    </row>
    <row r="11" spans="1:63" x14ac:dyDescent="0.2">
      <c r="B11" t="s">
        <v>47</v>
      </c>
      <c r="D11" t="s">
        <v>12</v>
      </c>
      <c r="E11" t="s">
        <v>12</v>
      </c>
      <c r="F11" t="s">
        <v>12</v>
      </c>
      <c r="G11" t="s">
        <v>12</v>
      </c>
      <c r="H11" t="s">
        <v>12</v>
      </c>
      <c r="I11" s="1" t="s">
        <v>44</v>
      </c>
      <c r="K11" t="s">
        <v>8</v>
      </c>
      <c r="L11" t="s">
        <v>8</v>
      </c>
      <c r="M11" t="s">
        <v>2</v>
      </c>
      <c r="N11" t="s">
        <v>2</v>
      </c>
      <c r="O11" t="s">
        <v>2</v>
      </c>
      <c r="R11" t="s">
        <v>16</v>
      </c>
      <c r="S11" t="s">
        <v>8</v>
      </c>
      <c r="T11" t="s">
        <v>8</v>
      </c>
      <c r="U11" t="s">
        <v>8</v>
      </c>
      <c r="V11" t="s">
        <v>8</v>
      </c>
      <c r="W11" s="1" t="s">
        <v>44</v>
      </c>
      <c r="Y11" t="s">
        <v>8</v>
      </c>
      <c r="Z11" t="s">
        <v>8</v>
      </c>
      <c r="AA11" t="s">
        <v>8</v>
      </c>
      <c r="AB11" t="s">
        <v>8</v>
      </c>
      <c r="AC11" t="s">
        <v>8</v>
      </c>
      <c r="AD11" s="1" t="s">
        <v>44</v>
      </c>
      <c r="AF11" t="s">
        <v>9</v>
      </c>
      <c r="AG11" t="s">
        <v>9</v>
      </c>
      <c r="AH11" t="s">
        <v>9</v>
      </c>
      <c r="AI11" t="s">
        <v>9</v>
      </c>
      <c r="AJ11" t="s">
        <v>9</v>
      </c>
      <c r="AM11" t="s">
        <v>15</v>
      </c>
      <c r="AN11" t="s">
        <v>10</v>
      </c>
      <c r="AO11" t="s">
        <v>10</v>
      </c>
      <c r="AP11" t="s">
        <v>10</v>
      </c>
      <c r="AQ11" t="s">
        <v>10</v>
      </c>
      <c r="AT11" t="s">
        <v>11</v>
      </c>
      <c r="AU11" t="s">
        <v>11</v>
      </c>
      <c r="AV11" t="s">
        <v>14</v>
      </c>
      <c r="AW11" t="s">
        <v>11</v>
      </c>
      <c r="AX11" t="s">
        <v>11</v>
      </c>
      <c r="BA11" t="s">
        <v>10</v>
      </c>
      <c r="BB11" t="s">
        <v>10</v>
      </c>
      <c r="BC11" t="s">
        <v>10</v>
      </c>
      <c r="BD11" t="s">
        <v>10</v>
      </c>
      <c r="BE11" t="s">
        <v>15</v>
      </c>
      <c r="BH11" t="s">
        <v>7</v>
      </c>
      <c r="BI11" t="s">
        <v>7</v>
      </c>
      <c r="BJ11" s="13" t="s">
        <v>7</v>
      </c>
      <c r="BK11" s="13" t="s">
        <v>7</v>
      </c>
    </row>
    <row r="12" spans="1:63" x14ac:dyDescent="0.2">
      <c r="B12" t="s">
        <v>52</v>
      </c>
      <c r="D12" t="s">
        <v>16</v>
      </c>
      <c r="E12" t="s">
        <v>8</v>
      </c>
      <c r="F12" t="s">
        <v>8</v>
      </c>
      <c r="G12" t="s">
        <v>8</v>
      </c>
      <c r="H12" t="s">
        <v>2</v>
      </c>
      <c r="K12" t="s">
        <v>14</v>
      </c>
      <c r="L12" t="s">
        <v>11</v>
      </c>
      <c r="M12" t="s">
        <v>8</v>
      </c>
      <c r="N12" t="s">
        <v>11</v>
      </c>
      <c r="O12" t="s">
        <v>11</v>
      </c>
      <c r="R12" t="s">
        <v>10</v>
      </c>
      <c r="S12" t="s">
        <v>15</v>
      </c>
      <c r="T12" t="s">
        <v>10</v>
      </c>
      <c r="U12" t="s">
        <v>10</v>
      </c>
      <c r="V12" t="s">
        <v>10</v>
      </c>
      <c r="Y12" t="s">
        <v>9</v>
      </c>
      <c r="Z12" t="s">
        <v>9</v>
      </c>
      <c r="AA12" t="s">
        <v>13</v>
      </c>
      <c r="AB12" t="s">
        <v>9</v>
      </c>
      <c r="AC12" t="s">
        <v>9</v>
      </c>
      <c r="AF12" t="s">
        <v>20</v>
      </c>
      <c r="AG12" t="s">
        <v>20</v>
      </c>
      <c r="AH12" t="s">
        <v>20</v>
      </c>
      <c r="AI12" t="s">
        <v>20</v>
      </c>
      <c r="AJ12" t="s">
        <v>22</v>
      </c>
      <c r="AM12" t="s">
        <v>11</v>
      </c>
      <c r="AN12" t="s">
        <v>11</v>
      </c>
      <c r="AO12" t="s">
        <v>11</v>
      </c>
      <c r="AP12" t="s">
        <v>11</v>
      </c>
      <c r="AQ12" t="s">
        <v>11</v>
      </c>
      <c r="AR12" s="1" t="s">
        <v>44</v>
      </c>
      <c r="AT12" t="s">
        <v>8</v>
      </c>
      <c r="AU12" t="s">
        <v>8</v>
      </c>
      <c r="AV12" t="s">
        <v>8</v>
      </c>
      <c r="AW12" t="s">
        <v>8</v>
      </c>
      <c r="AX12" t="s">
        <v>8</v>
      </c>
      <c r="AY12" s="1" t="s">
        <v>44</v>
      </c>
      <c r="BA12" t="s">
        <v>20</v>
      </c>
      <c r="BB12" t="s">
        <v>20</v>
      </c>
      <c r="BC12" t="s">
        <v>20</v>
      </c>
      <c r="BD12" t="s">
        <v>20</v>
      </c>
      <c r="BE12" t="s">
        <v>20</v>
      </c>
      <c r="BF12" s="1" t="s">
        <v>44</v>
      </c>
      <c r="BH12" t="s">
        <v>10</v>
      </c>
      <c r="BI12" t="s">
        <v>10</v>
      </c>
      <c r="BJ12" s="13" t="s">
        <v>10</v>
      </c>
      <c r="BK12" s="13" t="s">
        <v>10</v>
      </c>
    </row>
    <row r="13" spans="1:63" x14ac:dyDescent="0.2">
      <c r="BJ13" s="13"/>
      <c r="BK13" s="13"/>
    </row>
    <row r="14" spans="1:63" x14ac:dyDescent="0.2">
      <c r="B14" s="14"/>
      <c r="BJ14" s="13"/>
      <c r="BK14" s="13"/>
    </row>
    <row r="15" spans="1:63" x14ac:dyDescent="0.2">
      <c r="B15" s="14"/>
      <c r="BJ15" s="13"/>
      <c r="BK15" s="13"/>
    </row>
    <row r="16" spans="1:63" x14ac:dyDescent="0.2">
      <c r="B16" s="14"/>
      <c r="BJ16" s="13"/>
      <c r="BK16" s="13"/>
    </row>
    <row r="17" spans="1:63" x14ac:dyDescent="0.2">
      <c r="BJ17" s="13"/>
      <c r="BK17" s="13"/>
    </row>
    <row r="18" spans="1:63" s="22" customFormat="1" x14ac:dyDescent="0.2">
      <c r="A18" s="21" t="s">
        <v>3</v>
      </c>
      <c r="B18" s="21" t="s">
        <v>19</v>
      </c>
      <c r="D18" s="22" t="s">
        <v>45</v>
      </c>
      <c r="K18" s="22" t="s">
        <v>45</v>
      </c>
      <c r="R18" s="22" t="s">
        <v>45</v>
      </c>
      <c r="Y18" s="22" t="s">
        <v>45</v>
      </c>
      <c r="AF18" s="22" t="s">
        <v>45</v>
      </c>
      <c r="AM18" s="22" t="s">
        <v>45</v>
      </c>
      <c r="AT18" s="22" t="s">
        <v>45</v>
      </c>
      <c r="BA18" s="22" t="s">
        <v>45</v>
      </c>
      <c r="BJ18" s="23"/>
      <c r="BK18" s="23"/>
    </row>
    <row r="19" spans="1:63" s="1" customFormat="1" x14ac:dyDescent="0.2">
      <c r="A19" s="17" t="s">
        <v>8</v>
      </c>
      <c r="B19">
        <v>3</v>
      </c>
      <c r="C19" s="5" t="s">
        <v>8</v>
      </c>
      <c r="D19" s="1">
        <f t="shared" ref="D19:H25" si="0">-COUNTIF(D$2:D$12,$A19 &amp; "*") +$B19</f>
        <v>1</v>
      </c>
      <c r="E19" s="1">
        <f t="shared" si="0"/>
        <v>1</v>
      </c>
      <c r="F19" s="1">
        <f t="shared" si="0"/>
        <v>1</v>
      </c>
      <c r="G19" s="1">
        <f t="shared" si="0"/>
        <v>1</v>
      </c>
      <c r="H19" s="1">
        <f t="shared" si="0"/>
        <v>1</v>
      </c>
      <c r="J19" s="5" t="s">
        <v>8</v>
      </c>
      <c r="K19" s="1">
        <f t="shared" ref="K19:O25" si="1">-COUNTIF(K$2:K$12,$A19 &amp; "*") +$B19</f>
        <v>0</v>
      </c>
      <c r="L19" s="1">
        <f t="shared" si="1"/>
        <v>1</v>
      </c>
      <c r="M19" s="1">
        <f t="shared" si="1"/>
        <v>1</v>
      </c>
      <c r="N19" s="1">
        <f t="shared" si="1"/>
        <v>1</v>
      </c>
      <c r="O19" s="1">
        <f t="shared" si="1"/>
        <v>1</v>
      </c>
      <c r="Q19" s="5" t="s">
        <v>8</v>
      </c>
      <c r="R19" s="1">
        <f t="shared" ref="R19:V25" si="2">-COUNTIF(R$2:R$12,$A19 &amp; "*") +$B19</f>
        <v>1</v>
      </c>
      <c r="S19" s="1">
        <f t="shared" si="2"/>
        <v>1</v>
      </c>
      <c r="T19" s="1">
        <f t="shared" si="2"/>
        <v>1</v>
      </c>
      <c r="U19" s="1">
        <f t="shared" si="2"/>
        <v>1</v>
      </c>
      <c r="V19" s="1">
        <f t="shared" si="2"/>
        <v>1</v>
      </c>
      <c r="X19" s="5" t="s">
        <v>8</v>
      </c>
      <c r="Y19" s="1">
        <f t="shared" ref="Y19:AC25" si="3">-COUNTIF(Y$2:Y$12,$A19 &amp; "*") +$B19</f>
        <v>1</v>
      </c>
      <c r="Z19" s="1">
        <f t="shared" si="3"/>
        <v>1</v>
      </c>
      <c r="AA19" s="1">
        <f t="shared" si="3"/>
        <v>1</v>
      </c>
      <c r="AB19" s="1">
        <f t="shared" si="3"/>
        <v>1</v>
      </c>
      <c r="AC19" s="1">
        <f t="shared" si="3"/>
        <v>1</v>
      </c>
      <c r="AE19" s="5" t="s">
        <v>8</v>
      </c>
      <c r="AF19" s="1">
        <f t="shared" ref="AF19:AJ25" si="4">-COUNTIF(AF$2:AF$12,$A19 &amp; "*") +$B19</f>
        <v>1</v>
      </c>
      <c r="AG19" s="1">
        <f t="shared" si="4"/>
        <v>0</v>
      </c>
      <c r="AH19" s="1">
        <f t="shared" si="4"/>
        <v>0</v>
      </c>
      <c r="AI19" s="1">
        <f t="shared" si="4"/>
        <v>0</v>
      </c>
      <c r="AJ19" s="1">
        <f t="shared" si="4"/>
        <v>0</v>
      </c>
      <c r="AL19" s="5" t="s">
        <v>8</v>
      </c>
      <c r="AM19" s="1">
        <f t="shared" ref="AM19:AQ25" si="5">-COUNTIF(AM$2:AM$12,$A19 &amp; "*") +$B19</f>
        <v>0</v>
      </c>
      <c r="AN19" s="1">
        <f t="shared" si="5"/>
        <v>0</v>
      </c>
      <c r="AO19" s="1">
        <f t="shared" si="5"/>
        <v>0</v>
      </c>
      <c r="AP19" s="1">
        <f t="shared" si="5"/>
        <v>0</v>
      </c>
      <c r="AQ19" s="1">
        <f t="shared" si="5"/>
        <v>0</v>
      </c>
      <c r="AS19" s="5" t="s">
        <v>8</v>
      </c>
      <c r="AT19" s="1">
        <f t="shared" ref="AT19:AX25" si="6">-COUNTIF(AT$2:AT$12,$A19 &amp; "*") +$B19</f>
        <v>0</v>
      </c>
      <c r="AU19" s="1">
        <f t="shared" si="6"/>
        <v>0</v>
      </c>
      <c r="AV19" s="1">
        <f t="shared" si="6"/>
        <v>0</v>
      </c>
      <c r="AW19" s="1">
        <f t="shared" si="6"/>
        <v>0</v>
      </c>
      <c r="AX19" s="1">
        <f t="shared" si="6"/>
        <v>0</v>
      </c>
      <c r="AZ19" s="5" t="s">
        <v>8</v>
      </c>
      <c r="BA19" s="1">
        <f t="shared" ref="BA19:BE25" si="7">-COUNTIF(BA$2:BA$12,$A19 &amp; "*") +$B19</f>
        <v>0</v>
      </c>
      <c r="BB19" s="1">
        <f t="shared" si="7"/>
        <v>0</v>
      </c>
      <c r="BC19" s="1">
        <f t="shared" si="7"/>
        <v>0</v>
      </c>
      <c r="BD19" s="1">
        <f t="shared" si="7"/>
        <v>0</v>
      </c>
      <c r="BE19" s="1">
        <f t="shared" si="7"/>
        <v>0</v>
      </c>
      <c r="BG19" s="5" t="s">
        <v>8</v>
      </c>
      <c r="BH19" s="1">
        <f t="shared" ref="BH19:BH25" si="8">-COUNTIF(BH$2:BH$12,$A19 &amp; "*") +$B19</f>
        <v>0</v>
      </c>
      <c r="BJ19" s="7"/>
      <c r="BK19" s="7"/>
    </row>
    <row r="20" spans="1:63" s="1" customFormat="1" x14ac:dyDescent="0.2">
      <c r="A20" s="17" t="s">
        <v>11</v>
      </c>
      <c r="B20">
        <v>2</v>
      </c>
      <c r="C20" s="5" t="s">
        <v>11</v>
      </c>
      <c r="D20" s="1">
        <f t="shared" si="0"/>
        <v>0</v>
      </c>
      <c r="E20" s="1">
        <f t="shared" si="0"/>
        <v>0</v>
      </c>
      <c r="F20" s="1">
        <f t="shared" si="0"/>
        <v>0</v>
      </c>
      <c r="G20" s="1">
        <f t="shared" si="0"/>
        <v>0</v>
      </c>
      <c r="H20" s="1">
        <f t="shared" si="0"/>
        <v>0</v>
      </c>
      <c r="J20" s="5" t="s">
        <v>11</v>
      </c>
      <c r="K20" s="1">
        <f t="shared" si="1"/>
        <v>0</v>
      </c>
      <c r="L20" s="1">
        <f t="shared" si="1"/>
        <v>0</v>
      </c>
      <c r="M20" s="1">
        <f t="shared" si="1"/>
        <v>1</v>
      </c>
      <c r="N20" s="1">
        <f t="shared" si="1"/>
        <v>0</v>
      </c>
      <c r="O20" s="1">
        <f t="shared" si="1"/>
        <v>0</v>
      </c>
      <c r="Q20" s="5" t="s">
        <v>11</v>
      </c>
      <c r="R20" s="1">
        <f t="shared" si="2"/>
        <v>0</v>
      </c>
      <c r="S20" s="1">
        <f t="shared" si="2"/>
        <v>0</v>
      </c>
      <c r="T20" s="1">
        <f t="shared" si="2"/>
        <v>0</v>
      </c>
      <c r="U20" s="1">
        <f t="shared" si="2"/>
        <v>1</v>
      </c>
      <c r="V20" s="1">
        <f t="shared" si="2"/>
        <v>1</v>
      </c>
      <c r="X20" s="5" t="s">
        <v>11</v>
      </c>
      <c r="Y20" s="1">
        <f t="shared" si="3"/>
        <v>1</v>
      </c>
      <c r="Z20" s="1">
        <f t="shared" si="3"/>
        <v>0</v>
      </c>
      <c r="AA20" s="1">
        <f t="shared" si="3"/>
        <v>1</v>
      </c>
      <c r="AB20" s="1">
        <f t="shared" si="3"/>
        <v>1</v>
      </c>
      <c r="AC20" s="1">
        <f t="shared" si="3"/>
        <v>1</v>
      </c>
      <c r="AE20" s="5" t="s">
        <v>11</v>
      </c>
      <c r="AF20" s="1">
        <f t="shared" si="4"/>
        <v>0</v>
      </c>
      <c r="AG20" s="1">
        <f t="shared" si="4"/>
        <v>0</v>
      </c>
      <c r="AH20" s="1">
        <f t="shared" si="4"/>
        <v>0</v>
      </c>
      <c r="AI20" s="1">
        <f t="shared" si="4"/>
        <v>0</v>
      </c>
      <c r="AJ20" s="1">
        <f t="shared" si="4"/>
        <v>0</v>
      </c>
      <c r="AL20" s="5" t="s">
        <v>11</v>
      </c>
      <c r="AM20" s="1">
        <f t="shared" si="5"/>
        <v>0</v>
      </c>
      <c r="AN20" s="1">
        <f t="shared" si="5"/>
        <v>0</v>
      </c>
      <c r="AO20" s="1">
        <f t="shared" si="5"/>
        <v>0</v>
      </c>
      <c r="AP20" s="1">
        <f t="shared" si="5"/>
        <v>0</v>
      </c>
      <c r="AQ20" s="1">
        <f t="shared" si="5"/>
        <v>0</v>
      </c>
      <c r="AS20" s="5" t="s">
        <v>11</v>
      </c>
      <c r="AT20" s="1">
        <f t="shared" si="6"/>
        <v>0</v>
      </c>
      <c r="AU20" s="1">
        <f t="shared" si="6"/>
        <v>0</v>
      </c>
      <c r="AV20" s="1">
        <f t="shared" si="6"/>
        <v>0</v>
      </c>
      <c r="AW20" s="1">
        <f t="shared" si="6"/>
        <v>0</v>
      </c>
      <c r="AX20" s="1">
        <f t="shared" si="6"/>
        <v>0</v>
      </c>
      <c r="AZ20" s="5" t="s">
        <v>11</v>
      </c>
      <c r="BA20" s="1">
        <f t="shared" si="7"/>
        <v>0</v>
      </c>
      <c r="BB20" s="1">
        <f t="shared" si="7"/>
        <v>0</v>
      </c>
      <c r="BC20" s="1">
        <f t="shared" si="7"/>
        <v>0</v>
      </c>
      <c r="BD20" s="1">
        <f t="shared" si="7"/>
        <v>0</v>
      </c>
      <c r="BE20" s="1">
        <f t="shared" si="7"/>
        <v>0</v>
      </c>
      <c r="BG20" s="5" t="s">
        <v>11</v>
      </c>
      <c r="BH20" s="1">
        <f t="shared" si="8"/>
        <v>0</v>
      </c>
      <c r="BJ20" s="7"/>
      <c r="BK20" s="7"/>
    </row>
    <row r="21" spans="1:63" s="1" customFormat="1" x14ac:dyDescent="0.2">
      <c r="A21" s="17" t="s">
        <v>10</v>
      </c>
      <c r="B21">
        <v>2</v>
      </c>
      <c r="C21" s="5" t="s">
        <v>10</v>
      </c>
      <c r="D21" s="1">
        <f t="shared" si="0"/>
        <v>0</v>
      </c>
      <c r="E21" s="1">
        <f t="shared" si="0"/>
        <v>0</v>
      </c>
      <c r="F21" s="1">
        <f t="shared" si="0"/>
        <v>0</v>
      </c>
      <c r="G21" s="1">
        <f t="shared" si="0"/>
        <v>0</v>
      </c>
      <c r="H21" s="1">
        <f t="shared" si="0"/>
        <v>0</v>
      </c>
      <c r="J21" s="5" t="s">
        <v>10</v>
      </c>
      <c r="K21" s="1">
        <f t="shared" si="1"/>
        <v>0</v>
      </c>
      <c r="L21" s="1">
        <f t="shared" si="1"/>
        <v>0</v>
      </c>
      <c r="M21" s="1">
        <f t="shared" si="1"/>
        <v>0</v>
      </c>
      <c r="N21" s="1">
        <f t="shared" si="1"/>
        <v>0</v>
      </c>
      <c r="O21" s="1">
        <f t="shared" si="1"/>
        <v>0</v>
      </c>
      <c r="Q21" s="5" t="s">
        <v>10</v>
      </c>
      <c r="R21" s="1">
        <f t="shared" si="2"/>
        <v>0</v>
      </c>
      <c r="S21" s="1">
        <f t="shared" si="2"/>
        <v>0</v>
      </c>
      <c r="T21" s="1">
        <f t="shared" si="2"/>
        <v>0</v>
      </c>
      <c r="U21" s="1">
        <f t="shared" si="2"/>
        <v>0</v>
      </c>
      <c r="V21" s="1">
        <f t="shared" si="2"/>
        <v>0</v>
      </c>
      <c r="X21" s="5" t="s">
        <v>10</v>
      </c>
      <c r="Y21" s="1">
        <f t="shared" si="3"/>
        <v>0</v>
      </c>
      <c r="Z21" s="1">
        <f t="shared" si="3"/>
        <v>0</v>
      </c>
      <c r="AA21" s="1">
        <f t="shared" si="3"/>
        <v>0</v>
      </c>
      <c r="AB21" s="1">
        <f t="shared" si="3"/>
        <v>0</v>
      </c>
      <c r="AC21" s="1">
        <f t="shared" si="3"/>
        <v>0</v>
      </c>
      <c r="AE21" s="5" t="s">
        <v>10</v>
      </c>
      <c r="AF21" s="1">
        <f t="shared" si="4"/>
        <v>0</v>
      </c>
      <c r="AG21" s="1">
        <f t="shared" si="4"/>
        <v>0</v>
      </c>
      <c r="AH21" s="1">
        <f t="shared" si="4"/>
        <v>0</v>
      </c>
      <c r="AI21" s="1">
        <f t="shared" si="4"/>
        <v>0</v>
      </c>
      <c r="AJ21" s="1">
        <f t="shared" si="4"/>
        <v>0</v>
      </c>
      <c r="AL21" s="5" t="s">
        <v>10</v>
      </c>
      <c r="AM21" s="1">
        <f t="shared" si="5"/>
        <v>0</v>
      </c>
      <c r="AN21" s="1">
        <f t="shared" si="5"/>
        <v>0</v>
      </c>
      <c r="AO21" s="1">
        <f t="shared" si="5"/>
        <v>0</v>
      </c>
      <c r="AP21" s="1">
        <f t="shared" si="5"/>
        <v>0</v>
      </c>
      <c r="AQ21" s="1">
        <f t="shared" si="5"/>
        <v>0</v>
      </c>
      <c r="AS21" s="5" t="s">
        <v>10</v>
      </c>
      <c r="AT21" s="1">
        <f t="shared" si="6"/>
        <v>0</v>
      </c>
      <c r="AU21" s="1">
        <f t="shared" si="6"/>
        <v>0</v>
      </c>
      <c r="AV21" s="1">
        <f t="shared" si="6"/>
        <v>0</v>
      </c>
      <c r="AW21" s="1">
        <f t="shared" si="6"/>
        <v>0</v>
      </c>
      <c r="AX21" s="1">
        <f t="shared" si="6"/>
        <v>0</v>
      </c>
      <c r="AZ21" s="5" t="s">
        <v>10</v>
      </c>
      <c r="BA21" s="1">
        <f t="shared" si="7"/>
        <v>0</v>
      </c>
      <c r="BB21" s="1">
        <f t="shared" si="7"/>
        <v>0</v>
      </c>
      <c r="BC21" s="1">
        <f t="shared" si="7"/>
        <v>0</v>
      </c>
      <c r="BD21" s="1">
        <f t="shared" si="7"/>
        <v>0</v>
      </c>
      <c r="BE21" s="1">
        <f t="shared" si="7"/>
        <v>0</v>
      </c>
      <c r="BG21" s="5" t="s">
        <v>10</v>
      </c>
      <c r="BH21" s="1">
        <f t="shared" si="8"/>
        <v>0</v>
      </c>
      <c r="BJ21" s="7"/>
      <c r="BK21" s="7"/>
    </row>
    <row r="22" spans="1:63" x14ac:dyDescent="0.2">
      <c r="A22" s="17" t="s">
        <v>7</v>
      </c>
      <c r="B22">
        <v>1</v>
      </c>
      <c r="C22" s="5" t="s">
        <v>7</v>
      </c>
      <c r="D22" s="1">
        <f t="shared" si="0"/>
        <v>0</v>
      </c>
      <c r="E22" s="1">
        <f t="shared" si="0"/>
        <v>0</v>
      </c>
      <c r="F22" s="1">
        <f t="shared" si="0"/>
        <v>0</v>
      </c>
      <c r="G22" s="1">
        <f t="shared" si="0"/>
        <v>0</v>
      </c>
      <c r="H22" s="1">
        <f t="shared" si="0"/>
        <v>0</v>
      </c>
      <c r="J22" s="5" t="s">
        <v>7</v>
      </c>
      <c r="K22" s="1">
        <f t="shared" si="1"/>
        <v>0</v>
      </c>
      <c r="L22" s="1">
        <f t="shared" si="1"/>
        <v>0</v>
      </c>
      <c r="M22" s="1">
        <f t="shared" si="1"/>
        <v>0</v>
      </c>
      <c r="N22" s="1">
        <f t="shared" si="1"/>
        <v>0</v>
      </c>
      <c r="O22" s="1">
        <f t="shared" si="1"/>
        <v>0</v>
      </c>
      <c r="Q22" s="5" t="s">
        <v>7</v>
      </c>
      <c r="R22" s="1">
        <f t="shared" si="2"/>
        <v>0</v>
      </c>
      <c r="S22" s="1">
        <f t="shared" si="2"/>
        <v>0</v>
      </c>
      <c r="T22" s="1">
        <f t="shared" si="2"/>
        <v>0</v>
      </c>
      <c r="U22" s="1">
        <f t="shared" si="2"/>
        <v>0</v>
      </c>
      <c r="V22" s="1">
        <f t="shared" si="2"/>
        <v>0</v>
      </c>
      <c r="X22" s="5" t="s">
        <v>7</v>
      </c>
      <c r="Y22" s="1">
        <f t="shared" si="3"/>
        <v>0</v>
      </c>
      <c r="Z22" s="1">
        <f t="shared" si="3"/>
        <v>0</v>
      </c>
      <c r="AA22" s="1">
        <f t="shared" si="3"/>
        <v>0</v>
      </c>
      <c r="AB22" s="1">
        <f t="shared" si="3"/>
        <v>0</v>
      </c>
      <c r="AC22" s="1">
        <f t="shared" si="3"/>
        <v>0</v>
      </c>
      <c r="AE22" s="5" t="s">
        <v>7</v>
      </c>
      <c r="AF22" s="1">
        <f t="shared" si="4"/>
        <v>0</v>
      </c>
      <c r="AG22" s="1">
        <f t="shared" si="4"/>
        <v>0</v>
      </c>
      <c r="AH22" s="1">
        <f t="shared" si="4"/>
        <v>0</v>
      </c>
      <c r="AI22" s="1">
        <f t="shared" si="4"/>
        <v>0</v>
      </c>
      <c r="AJ22" s="1">
        <f t="shared" si="4"/>
        <v>0</v>
      </c>
      <c r="AL22" s="5" t="s">
        <v>7</v>
      </c>
      <c r="AM22" s="1">
        <f t="shared" si="5"/>
        <v>0</v>
      </c>
      <c r="AN22" s="1">
        <f t="shared" si="5"/>
        <v>0</v>
      </c>
      <c r="AO22" s="1">
        <f t="shared" si="5"/>
        <v>0</v>
      </c>
      <c r="AP22" s="1">
        <f t="shared" si="5"/>
        <v>0</v>
      </c>
      <c r="AQ22" s="1">
        <f t="shared" si="5"/>
        <v>0</v>
      </c>
      <c r="AS22" s="5" t="s">
        <v>7</v>
      </c>
      <c r="AT22" s="1">
        <f t="shared" si="6"/>
        <v>0</v>
      </c>
      <c r="AU22" s="1">
        <f t="shared" si="6"/>
        <v>0</v>
      </c>
      <c r="AV22" s="1">
        <f t="shared" si="6"/>
        <v>0</v>
      </c>
      <c r="AW22" s="1">
        <f t="shared" si="6"/>
        <v>0</v>
      </c>
      <c r="AX22" s="1">
        <f t="shared" si="6"/>
        <v>0</v>
      </c>
      <c r="AZ22" s="5" t="s">
        <v>7</v>
      </c>
      <c r="BA22" s="1">
        <f t="shared" si="7"/>
        <v>0</v>
      </c>
      <c r="BB22" s="1">
        <f t="shared" si="7"/>
        <v>0</v>
      </c>
      <c r="BC22" s="1">
        <f t="shared" si="7"/>
        <v>0</v>
      </c>
      <c r="BD22" s="1">
        <f t="shared" si="7"/>
        <v>0</v>
      </c>
      <c r="BE22" s="1">
        <f t="shared" si="7"/>
        <v>0</v>
      </c>
      <c r="BG22" s="5" t="s">
        <v>7</v>
      </c>
      <c r="BH22" s="1">
        <f t="shared" si="8"/>
        <v>0</v>
      </c>
    </row>
    <row r="23" spans="1:63" x14ac:dyDescent="0.2">
      <c r="A23" s="17" t="s">
        <v>12</v>
      </c>
      <c r="B23">
        <v>1</v>
      </c>
      <c r="C23" s="5" t="s">
        <v>12</v>
      </c>
      <c r="D23" s="1">
        <f t="shared" si="0"/>
        <v>0</v>
      </c>
      <c r="E23" s="1">
        <f t="shared" si="0"/>
        <v>0</v>
      </c>
      <c r="F23" s="1">
        <f t="shared" si="0"/>
        <v>0</v>
      </c>
      <c r="G23" s="1">
        <f t="shared" si="0"/>
        <v>0</v>
      </c>
      <c r="H23" s="1">
        <f t="shared" si="0"/>
        <v>0</v>
      </c>
      <c r="J23" s="5" t="s">
        <v>12</v>
      </c>
      <c r="K23" s="1">
        <f t="shared" si="1"/>
        <v>0</v>
      </c>
      <c r="L23" s="1">
        <f t="shared" si="1"/>
        <v>0</v>
      </c>
      <c r="M23" s="1">
        <f t="shared" si="1"/>
        <v>0</v>
      </c>
      <c r="N23" s="1">
        <f t="shared" si="1"/>
        <v>0</v>
      </c>
      <c r="O23" s="1">
        <f t="shared" si="1"/>
        <v>0</v>
      </c>
      <c r="Q23" s="5" t="s">
        <v>12</v>
      </c>
      <c r="R23" s="1">
        <f t="shared" si="2"/>
        <v>0</v>
      </c>
      <c r="S23" s="1">
        <f t="shared" si="2"/>
        <v>0</v>
      </c>
      <c r="T23" s="1">
        <f t="shared" si="2"/>
        <v>0</v>
      </c>
      <c r="U23" s="1">
        <f t="shared" si="2"/>
        <v>0</v>
      </c>
      <c r="V23" s="1">
        <f t="shared" si="2"/>
        <v>0</v>
      </c>
      <c r="X23" s="5" t="s">
        <v>12</v>
      </c>
      <c r="Y23" s="1">
        <f t="shared" si="3"/>
        <v>0</v>
      </c>
      <c r="Z23" s="1">
        <f t="shared" si="3"/>
        <v>0</v>
      </c>
      <c r="AA23" s="1">
        <f t="shared" si="3"/>
        <v>0</v>
      </c>
      <c r="AB23" s="1">
        <f t="shared" si="3"/>
        <v>0</v>
      </c>
      <c r="AC23" s="1">
        <f t="shared" si="3"/>
        <v>0</v>
      </c>
      <c r="AE23" s="5" t="s">
        <v>12</v>
      </c>
      <c r="AF23" s="1">
        <f t="shared" si="4"/>
        <v>0</v>
      </c>
      <c r="AG23" s="1">
        <f t="shared" si="4"/>
        <v>0</v>
      </c>
      <c r="AH23" s="1">
        <f t="shared" si="4"/>
        <v>0</v>
      </c>
      <c r="AI23" s="1">
        <f t="shared" si="4"/>
        <v>0</v>
      </c>
      <c r="AJ23" s="1">
        <f t="shared" si="4"/>
        <v>0</v>
      </c>
      <c r="AL23" s="5" t="s">
        <v>12</v>
      </c>
      <c r="AM23" s="1">
        <f t="shared" si="5"/>
        <v>0</v>
      </c>
      <c r="AN23" s="1">
        <f t="shared" si="5"/>
        <v>0</v>
      </c>
      <c r="AO23" s="1">
        <f t="shared" si="5"/>
        <v>0</v>
      </c>
      <c r="AP23" s="1">
        <f t="shared" si="5"/>
        <v>0</v>
      </c>
      <c r="AQ23" s="1">
        <f t="shared" si="5"/>
        <v>0</v>
      </c>
      <c r="AS23" s="5" t="s">
        <v>12</v>
      </c>
      <c r="AT23" s="1">
        <f t="shared" si="6"/>
        <v>0</v>
      </c>
      <c r="AU23" s="1">
        <f t="shared" si="6"/>
        <v>0</v>
      </c>
      <c r="AV23" s="1">
        <f t="shared" si="6"/>
        <v>0</v>
      </c>
      <c r="AW23" s="1">
        <f t="shared" si="6"/>
        <v>0</v>
      </c>
      <c r="AX23" s="1">
        <f t="shared" si="6"/>
        <v>0</v>
      </c>
      <c r="AZ23" s="5" t="s">
        <v>12</v>
      </c>
      <c r="BA23" s="1">
        <f t="shared" si="7"/>
        <v>0</v>
      </c>
      <c r="BB23" s="1">
        <f t="shared" si="7"/>
        <v>0</v>
      </c>
      <c r="BC23" s="1">
        <f t="shared" si="7"/>
        <v>0</v>
      </c>
      <c r="BD23" s="1">
        <f t="shared" si="7"/>
        <v>0</v>
      </c>
      <c r="BE23" s="1">
        <f t="shared" si="7"/>
        <v>0</v>
      </c>
      <c r="BG23" s="5" t="s">
        <v>12</v>
      </c>
      <c r="BH23" s="1">
        <f t="shared" si="8"/>
        <v>0</v>
      </c>
    </row>
    <row r="24" spans="1:63" x14ac:dyDescent="0.2">
      <c r="A24" s="17" t="s">
        <v>9</v>
      </c>
      <c r="B24">
        <v>1</v>
      </c>
      <c r="C24" s="5" t="s">
        <v>9</v>
      </c>
      <c r="D24" s="1">
        <f>-COUNTIF(D$2:D$12,$A24 &amp; "*") +$B24</f>
        <v>0</v>
      </c>
      <c r="E24" s="1">
        <f t="shared" si="0"/>
        <v>0</v>
      </c>
      <c r="F24" s="1">
        <f t="shared" si="0"/>
        <v>0</v>
      </c>
      <c r="G24" s="1">
        <f t="shared" si="0"/>
        <v>0</v>
      </c>
      <c r="H24" s="1">
        <f t="shared" si="0"/>
        <v>0</v>
      </c>
      <c r="J24" s="5" t="s">
        <v>9</v>
      </c>
      <c r="K24" s="1">
        <f t="shared" si="1"/>
        <v>0</v>
      </c>
      <c r="L24" s="1">
        <f t="shared" si="1"/>
        <v>0</v>
      </c>
      <c r="M24" s="1">
        <f t="shared" si="1"/>
        <v>0</v>
      </c>
      <c r="N24" s="1">
        <f t="shared" si="1"/>
        <v>0</v>
      </c>
      <c r="O24" s="1">
        <f t="shared" si="1"/>
        <v>0</v>
      </c>
      <c r="Q24" s="5" t="s">
        <v>9</v>
      </c>
      <c r="R24" s="1">
        <f t="shared" si="2"/>
        <v>0</v>
      </c>
      <c r="S24" s="1">
        <f t="shared" si="2"/>
        <v>0</v>
      </c>
      <c r="T24" s="1">
        <f t="shared" si="2"/>
        <v>0</v>
      </c>
      <c r="U24" s="1">
        <f t="shared" si="2"/>
        <v>0</v>
      </c>
      <c r="V24" s="1">
        <f t="shared" si="2"/>
        <v>0</v>
      </c>
      <c r="X24" s="5" t="s">
        <v>9</v>
      </c>
      <c r="Y24" s="1">
        <f t="shared" si="3"/>
        <v>0</v>
      </c>
      <c r="Z24" s="1">
        <f t="shared" si="3"/>
        <v>0</v>
      </c>
      <c r="AA24" s="1">
        <f t="shared" si="3"/>
        <v>0</v>
      </c>
      <c r="AB24" s="1">
        <f t="shared" si="3"/>
        <v>0</v>
      </c>
      <c r="AC24" s="1">
        <f t="shared" si="3"/>
        <v>0</v>
      </c>
      <c r="AE24" s="5" t="s">
        <v>9</v>
      </c>
      <c r="AF24" s="1">
        <f t="shared" si="4"/>
        <v>0</v>
      </c>
      <c r="AG24" s="1">
        <f t="shared" si="4"/>
        <v>0</v>
      </c>
      <c r="AH24" s="1">
        <f t="shared" si="4"/>
        <v>0</v>
      </c>
      <c r="AI24" s="1">
        <f t="shared" si="4"/>
        <v>0</v>
      </c>
      <c r="AJ24" s="1">
        <f t="shared" si="4"/>
        <v>0</v>
      </c>
      <c r="AL24" s="5" t="s">
        <v>9</v>
      </c>
      <c r="AM24" s="1">
        <f t="shared" si="5"/>
        <v>0</v>
      </c>
      <c r="AN24" s="1">
        <f t="shared" si="5"/>
        <v>0</v>
      </c>
      <c r="AO24" s="1">
        <f t="shared" si="5"/>
        <v>0</v>
      </c>
      <c r="AP24" s="1">
        <f t="shared" si="5"/>
        <v>0</v>
      </c>
      <c r="AQ24" s="1">
        <f t="shared" si="5"/>
        <v>0</v>
      </c>
      <c r="AS24" s="5" t="s">
        <v>9</v>
      </c>
      <c r="AT24" s="1">
        <f t="shared" si="6"/>
        <v>0</v>
      </c>
      <c r="AU24" s="1">
        <f t="shared" si="6"/>
        <v>0</v>
      </c>
      <c r="AV24" s="1">
        <f t="shared" si="6"/>
        <v>0</v>
      </c>
      <c r="AW24" s="1">
        <f t="shared" si="6"/>
        <v>0</v>
      </c>
      <c r="AX24" s="1">
        <f t="shared" si="6"/>
        <v>0</v>
      </c>
      <c r="AZ24" s="5" t="s">
        <v>9</v>
      </c>
      <c r="BA24" s="1">
        <f t="shared" si="7"/>
        <v>0</v>
      </c>
      <c r="BB24" s="1">
        <f t="shared" si="7"/>
        <v>0</v>
      </c>
      <c r="BC24" s="1">
        <f t="shared" si="7"/>
        <v>0</v>
      </c>
      <c r="BD24" s="1">
        <f t="shared" si="7"/>
        <v>0</v>
      </c>
      <c r="BE24" s="1">
        <f t="shared" si="7"/>
        <v>0</v>
      </c>
      <c r="BG24" s="5" t="s">
        <v>9</v>
      </c>
      <c r="BH24" s="1">
        <f t="shared" si="8"/>
        <v>0</v>
      </c>
    </row>
    <row r="25" spans="1:63" x14ac:dyDescent="0.2">
      <c r="A25" s="18" t="s">
        <v>20</v>
      </c>
      <c r="B25" s="18">
        <v>1</v>
      </c>
      <c r="C25" s="10" t="s">
        <v>20</v>
      </c>
      <c r="D25" s="1">
        <f t="shared" ref="D25:K25" si="9">-COUNTIF(D$2:D$12,$A25 &amp; "*") +$B25</f>
        <v>0</v>
      </c>
      <c r="E25" s="1">
        <f t="shared" si="0"/>
        <v>0</v>
      </c>
      <c r="F25" s="1">
        <f t="shared" si="0"/>
        <v>0</v>
      </c>
      <c r="G25" s="1">
        <f t="shared" si="0"/>
        <v>0</v>
      </c>
      <c r="H25" s="1">
        <f t="shared" si="0"/>
        <v>0</v>
      </c>
      <c r="J25" s="10" t="s">
        <v>20</v>
      </c>
      <c r="K25" s="1">
        <f t="shared" si="9"/>
        <v>0</v>
      </c>
      <c r="L25" s="1">
        <f t="shared" si="1"/>
        <v>0</v>
      </c>
      <c r="M25" s="1">
        <f t="shared" si="1"/>
        <v>0</v>
      </c>
      <c r="N25" s="1">
        <f t="shared" si="1"/>
        <v>0</v>
      </c>
      <c r="O25" s="1">
        <f t="shared" si="1"/>
        <v>0</v>
      </c>
      <c r="Q25" s="10" t="s">
        <v>20</v>
      </c>
      <c r="R25" s="1">
        <f t="shared" si="2"/>
        <v>0</v>
      </c>
      <c r="S25" s="1">
        <f t="shared" si="2"/>
        <v>0</v>
      </c>
      <c r="T25" s="1">
        <f t="shared" si="2"/>
        <v>0</v>
      </c>
      <c r="U25" s="1">
        <f t="shared" si="2"/>
        <v>0</v>
      </c>
      <c r="V25" s="1">
        <f t="shared" si="2"/>
        <v>0</v>
      </c>
      <c r="X25" s="10" t="s">
        <v>20</v>
      </c>
      <c r="Y25" s="1">
        <f t="shared" si="3"/>
        <v>0</v>
      </c>
      <c r="Z25" s="1">
        <f t="shared" si="3"/>
        <v>0</v>
      </c>
      <c r="AA25" s="1">
        <f t="shared" si="3"/>
        <v>0</v>
      </c>
      <c r="AB25" s="1">
        <f t="shared" si="3"/>
        <v>0</v>
      </c>
      <c r="AC25" s="1">
        <f t="shared" si="3"/>
        <v>0</v>
      </c>
      <c r="AE25" s="10" t="s">
        <v>20</v>
      </c>
      <c r="AF25" s="1">
        <f t="shared" si="4"/>
        <v>0</v>
      </c>
      <c r="AG25" s="1">
        <f t="shared" si="4"/>
        <v>0</v>
      </c>
      <c r="AH25" s="1">
        <f t="shared" si="4"/>
        <v>0</v>
      </c>
      <c r="AI25" s="1">
        <f t="shared" si="4"/>
        <v>0</v>
      </c>
      <c r="AJ25" s="1">
        <f t="shared" si="4"/>
        <v>0</v>
      </c>
      <c r="AL25" s="18" t="s">
        <v>20</v>
      </c>
      <c r="AM25" s="1">
        <f t="shared" si="5"/>
        <v>0</v>
      </c>
      <c r="AN25" s="1">
        <f t="shared" si="5"/>
        <v>0</v>
      </c>
      <c r="AO25" s="1">
        <f t="shared" si="5"/>
        <v>0</v>
      </c>
      <c r="AP25" s="1">
        <f t="shared" si="5"/>
        <v>0</v>
      </c>
      <c r="AQ25" s="1">
        <f t="shared" si="5"/>
        <v>0</v>
      </c>
      <c r="AS25" s="18" t="s">
        <v>20</v>
      </c>
      <c r="AT25" s="1">
        <f t="shared" si="6"/>
        <v>0</v>
      </c>
      <c r="AU25" s="1">
        <f t="shared" si="6"/>
        <v>0</v>
      </c>
      <c r="AV25" s="1">
        <f t="shared" si="6"/>
        <v>0</v>
      </c>
      <c r="AW25" s="1">
        <f t="shared" si="6"/>
        <v>0</v>
      </c>
      <c r="AX25" s="1">
        <f t="shared" si="6"/>
        <v>0</v>
      </c>
      <c r="AZ25" s="18" t="s">
        <v>20</v>
      </c>
      <c r="BA25" s="1">
        <f t="shared" si="7"/>
        <v>0</v>
      </c>
      <c r="BB25" s="1">
        <f t="shared" si="7"/>
        <v>0</v>
      </c>
      <c r="BC25" s="1">
        <f t="shared" si="7"/>
        <v>0</v>
      </c>
      <c r="BD25" s="1">
        <f t="shared" si="7"/>
        <v>0</v>
      </c>
      <c r="BE25" s="1">
        <f t="shared" si="7"/>
        <v>0</v>
      </c>
      <c r="BG25" s="18" t="s">
        <v>20</v>
      </c>
      <c r="BH25" s="1">
        <f t="shared" si="8"/>
        <v>0</v>
      </c>
    </row>
    <row r="26" spans="1:63" s="10" customFormat="1" x14ac:dyDescent="0.2">
      <c r="A26" s="11" t="s">
        <v>2</v>
      </c>
      <c r="C26" s="11" t="s">
        <v>2</v>
      </c>
      <c r="D26" s="1">
        <f>COUNTIF(D$2:D$12,$A26 &amp; "*")</f>
        <v>1</v>
      </c>
      <c r="E26" s="1">
        <f t="shared" ref="E26:H26" si="10">COUNTIF(E$2:E$12,$A26 &amp; "*")</f>
        <v>1</v>
      </c>
      <c r="F26" s="1">
        <f t="shared" si="10"/>
        <v>1</v>
      </c>
      <c r="G26" s="1">
        <f t="shared" si="10"/>
        <v>1</v>
      </c>
      <c r="H26" s="1">
        <f t="shared" si="10"/>
        <v>1</v>
      </c>
      <c r="J26" s="11" t="s">
        <v>2</v>
      </c>
      <c r="K26" s="1">
        <f>COUNTIF(K$2:K$12,$A26 &amp; "*")</f>
        <v>0</v>
      </c>
      <c r="L26" s="1">
        <f t="shared" ref="L26:O26" si="11">COUNTIF(L$2:L$12,$A26 &amp; "*")</f>
        <v>1</v>
      </c>
      <c r="M26" s="1">
        <f t="shared" si="11"/>
        <v>2</v>
      </c>
      <c r="N26" s="1">
        <f t="shared" si="11"/>
        <v>1</v>
      </c>
      <c r="O26" s="1">
        <f t="shared" si="11"/>
        <v>1</v>
      </c>
      <c r="Q26" s="11" t="s">
        <v>2</v>
      </c>
      <c r="R26" s="1">
        <f>COUNTIF(R$2:R$12,$A26 &amp; "*")</f>
        <v>1</v>
      </c>
      <c r="S26" s="1">
        <f t="shared" ref="S26:V26" si="12">COUNTIF(S$2:S$12,$A26 &amp; "*")</f>
        <v>1</v>
      </c>
      <c r="T26" s="1">
        <f t="shared" si="12"/>
        <v>1</v>
      </c>
      <c r="U26" s="1">
        <f t="shared" si="12"/>
        <v>2</v>
      </c>
      <c r="V26" s="1">
        <f t="shared" si="12"/>
        <v>2</v>
      </c>
      <c r="X26" s="11" t="s">
        <v>2</v>
      </c>
      <c r="Y26" s="1">
        <f>COUNTIF(Y$2:Y$12,$A26 &amp; "*")</f>
        <v>2</v>
      </c>
      <c r="Z26" s="1">
        <f t="shared" ref="Z26:AC26" si="13">COUNTIF(Z$2:Z$12,$A26 &amp; "*")</f>
        <v>1</v>
      </c>
      <c r="AA26" s="1">
        <f t="shared" si="13"/>
        <v>2</v>
      </c>
      <c r="AB26" s="1">
        <f t="shared" si="13"/>
        <v>2</v>
      </c>
      <c r="AC26" s="1">
        <f t="shared" si="13"/>
        <v>2</v>
      </c>
      <c r="AE26" s="11" t="s">
        <v>2</v>
      </c>
      <c r="AF26" s="1">
        <f>COUNTIF(AF$2:AF$12,$A26 &amp; "*")</f>
        <v>1</v>
      </c>
      <c r="AG26" s="1">
        <f t="shared" ref="AG26:AJ26" si="14">COUNTIF(AG$2:AG$12,$A26 &amp; "*")</f>
        <v>0</v>
      </c>
      <c r="AH26" s="1">
        <f t="shared" si="14"/>
        <v>0</v>
      </c>
      <c r="AI26" s="1">
        <f t="shared" si="14"/>
        <v>0</v>
      </c>
      <c r="AJ26" s="1">
        <f t="shared" si="14"/>
        <v>0</v>
      </c>
      <c r="AL26" s="11" t="s">
        <v>2</v>
      </c>
      <c r="AM26" s="1">
        <f>COUNTIF(AM$2:AM$12,$A26 &amp; "*")</f>
        <v>0</v>
      </c>
      <c r="AN26" s="1">
        <f t="shared" ref="AN26:AQ26" si="15">COUNTIF(AN$2:AN$12,$A26 &amp; "*")</f>
        <v>0</v>
      </c>
      <c r="AO26" s="1">
        <f t="shared" si="15"/>
        <v>0</v>
      </c>
      <c r="AP26" s="1">
        <f t="shared" si="15"/>
        <v>0</v>
      </c>
      <c r="AQ26" s="1">
        <f t="shared" si="15"/>
        <v>0</v>
      </c>
      <c r="AS26" s="11" t="s">
        <v>2</v>
      </c>
      <c r="AT26" s="1">
        <f>COUNTIF(AT$2:AT$12,$A26 &amp; "*")</f>
        <v>0</v>
      </c>
      <c r="AU26" s="1">
        <f t="shared" ref="AU26:AX26" si="16">COUNTIF(AU$2:AU$12,$A26 &amp; "*")</f>
        <v>0</v>
      </c>
      <c r="AV26" s="1">
        <f t="shared" si="16"/>
        <v>0</v>
      </c>
      <c r="AW26" s="1">
        <f t="shared" si="16"/>
        <v>0</v>
      </c>
      <c r="AX26" s="1">
        <f t="shared" si="16"/>
        <v>0</v>
      </c>
      <c r="AZ26" s="11" t="s">
        <v>2</v>
      </c>
      <c r="BA26" s="1">
        <f>COUNTIF(BA$2:BA$12,$A26 &amp; "*")</f>
        <v>0</v>
      </c>
      <c r="BB26" s="1">
        <f t="shared" ref="BB26:BE26" si="17">COUNTIF(BB$2:BB$12,$A26 &amp; "*")</f>
        <v>0</v>
      </c>
      <c r="BC26" s="1">
        <f t="shared" si="17"/>
        <v>0</v>
      </c>
      <c r="BD26" s="1">
        <f t="shared" si="17"/>
        <v>0</v>
      </c>
      <c r="BE26" s="1">
        <f t="shared" si="17"/>
        <v>0</v>
      </c>
      <c r="BG26" s="11" t="s">
        <v>2</v>
      </c>
      <c r="BH26" s="1">
        <f t="shared" ref="BH26" si="18">COUNTIF(BH$2:BH$12,$A26 &amp; "*")</f>
        <v>0</v>
      </c>
      <c r="BJ26" s="12"/>
      <c r="BK26" s="12"/>
    </row>
    <row r="27" spans="1:63" s="3" customFormat="1" hidden="1" x14ac:dyDescent="0.2">
      <c r="A27" s="2" t="s">
        <v>4</v>
      </c>
      <c r="B27" s="2" t="s">
        <v>6</v>
      </c>
      <c r="C27" s="6"/>
      <c r="D27" s="3" t="s">
        <v>5</v>
      </c>
      <c r="I27" s="4"/>
      <c r="J27" s="6"/>
      <c r="K27" s="3" t="s">
        <v>5</v>
      </c>
      <c r="P27" s="4"/>
      <c r="Q27" s="6"/>
      <c r="R27" s="3" t="s">
        <v>5</v>
      </c>
      <c r="W27" s="4"/>
      <c r="X27" s="6"/>
      <c r="Y27" s="3" t="s">
        <v>5</v>
      </c>
      <c r="AD27" s="4"/>
      <c r="AE27" s="6"/>
      <c r="AF27" s="3" t="s">
        <v>5</v>
      </c>
      <c r="AK27" s="4"/>
      <c r="AL27" s="6"/>
      <c r="AM27" s="3" t="s">
        <v>5</v>
      </c>
      <c r="AR27" s="4"/>
      <c r="AS27" s="6"/>
      <c r="AT27" s="3" t="s">
        <v>5</v>
      </c>
      <c r="AY27" s="4"/>
      <c r="AZ27" s="6"/>
      <c r="BA27" s="3" t="s">
        <v>5</v>
      </c>
      <c r="BF27" s="4"/>
      <c r="BG27" s="6"/>
      <c r="BJ27" s="8"/>
      <c r="BK27" s="8"/>
    </row>
    <row r="28" spans="1:63" s="1" customFormat="1" hidden="1" x14ac:dyDescent="0.2">
      <c r="A28" s="1">
        <v>3</v>
      </c>
      <c r="B28" s="1">
        <v>7</v>
      </c>
      <c r="C28" s="5" t="s">
        <v>8</v>
      </c>
      <c r="D28">
        <f>COUNTIF(D$2:D$12,#REF! &amp; "*") -$A28</f>
        <v>-3</v>
      </c>
      <c r="E28">
        <f>COUNTIF(E$2:E$12,#REF! &amp; "*") -$A28</f>
        <v>-3</v>
      </c>
      <c r="F28">
        <f>COUNTIF(F$2:F$12,#REF! &amp; "*") -$A28</f>
        <v>-3</v>
      </c>
      <c r="G28">
        <f>COUNTIF(G$2:G$12,#REF! &amp; "*") -$A28</f>
        <v>-3</v>
      </c>
      <c r="H28" s="1">
        <f>COUNTIF(H$2:H$12,#REF! &amp; "*") -$A28</f>
        <v>-3</v>
      </c>
      <c r="J28" s="5" t="s">
        <v>8</v>
      </c>
      <c r="K28" s="1">
        <f>COUNTIF(K$2:K$12,#REF! &amp; "*") -$A28</f>
        <v>-3</v>
      </c>
      <c r="L28" s="1">
        <f>COUNTIF(L$2:L$12,#REF! &amp; "*") -$A28</f>
        <v>-3</v>
      </c>
      <c r="M28" s="1">
        <f>COUNTIF(M$2:M$12,#REF! &amp; "*") -$A28</f>
        <v>-3</v>
      </c>
      <c r="N28" s="1">
        <f>COUNTIF(N$2:N$12,#REF! &amp; "*") -$A28</f>
        <v>-3</v>
      </c>
      <c r="O28" s="1">
        <f>COUNTIF(O$2:O$12,#REF! &amp; "*") -$A28</f>
        <v>-3</v>
      </c>
      <c r="Q28" s="5" t="s">
        <v>8</v>
      </c>
      <c r="R28" s="1">
        <f>COUNTIF(R$2:R$12,#REF! &amp; "*") -$A28</f>
        <v>-3</v>
      </c>
      <c r="S28" s="1">
        <f>COUNTIF(S$2:S$12,#REF! &amp; "*") -$A28</f>
        <v>-3</v>
      </c>
      <c r="T28" s="1">
        <f>COUNTIF(T$2:T$12,#REF! &amp; "*") -$A28</f>
        <v>-3</v>
      </c>
      <c r="U28" s="1">
        <f>COUNTIF(U$2:U$12,#REF! &amp; "*") -$A28</f>
        <v>-3</v>
      </c>
      <c r="V28" s="1">
        <f>COUNTIF(V$2:V$12,#REF! &amp; "*") -$A28</f>
        <v>-3</v>
      </c>
      <c r="X28" s="5" t="s">
        <v>8</v>
      </c>
      <c r="Y28" s="1">
        <f>COUNTIF(Y$2:Y$12,#REF! &amp; "*") -$A28</f>
        <v>-3</v>
      </c>
      <c r="Z28" s="1">
        <f>COUNTIF(Z$2:Z$12,#REF! &amp; "*") -$A28</f>
        <v>-3</v>
      </c>
      <c r="AA28" s="1">
        <f>COUNTIF(AA$2:AA$12,#REF! &amp; "*") -$A28</f>
        <v>-3</v>
      </c>
      <c r="AB28" s="1">
        <f>COUNTIF(AB$2:AB$12,#REF! &amp; "*") -$A28</f>
        <v>-3</v>
      </c>
      <c r="AC28" s="1">
        <f>COUNTIF(AC$2:AC$12,#REF! &amp; "*") -$A28</f>
        <v>-3</v>
      </c>
      <c r="AE28" s="5" t="s">
        <v>8</v>
      </c>
      <c r="AF28" s="1">
        <f>COUNTIF(AF$2:AF$12,#REF! &amp; "*") -$A28</f>
        <v>-3</v>
      </c>
      <c r="AG28" s="1">
        <f>COUNTIF(AG$2:AG$12,#REF! &amp; "*") -$A28</f>
        <v>-3</v>
      </c>
      <c r="AH28" s="1">
        <f>COUNTIF(AH$2:AH$12,#REF! &amp; "*") -$A28</f>
        <v>-3</v>
      </c>
      <c r="AI28" s="1">
        <f>COUNTIF(AI$2:AI$12,#REF! &amp; "*") -$A28</f>
        <v>-3</v>
      </c>
      <c r="AJ28" s="1">
        <f>COUNTIF(AJ$2:AJ$12,#REF! &amp; "*") -$A28</f>
        <v>-3</v>
      </c>
      <c r="AL28" s="5" t="s">
        <v>8</v>
      </c>
      <c r="AM28" s="1">
        <f>COUNTIF(AM$2:AM$12,#REF! &amp; "*") -$A28</f>
        <v>-3</v>
      </c>
      <c r="AN28" s="1">
        <f>COUNTIF(AN$2:AN$12,#REF! &amp; "*") -$A28</f>
        <v>-3</v>
      </c>
      <c r="AO28" s="1">
        <f>COUNTIF(AO$2:AO$12,#REF! &amp; "*") -$A28</f>
        <v>-3</v>
      </c>
      <c r="AP28" s="1">
        <f>COUNTIF(AP$2:AP$12,#REF! &amp; "*") -$A28</f>
        <v>-3</v>
      </c>
      <c r="AQ28" s="1">
        <f>COUNTIF(AQ$2:AQ$12,#REF! &amp; "*") -$A28</f>
        <v>-3</v>
      </c>
      <c r="AS28" s="5" t="s">
        <v>8</v>
      </c>
      <c r="AT28" s="1">
        <f>COUNTIF(AT$2:AT$12,#REF! &amp; "*") -$A28</f>
        <v>-3</v>
      </c>
      <c r="AU28" s="1">
        <f>COUNTIF(AU$2:AU$12,#REF! &amp; "*") -$A28</f>
        <v>-3</v>
      </c>
      <c r="AV28" s="1">
        <f>COUNTIF(AV$2:AV$12,#REF! &amp; "*") -$A28</f>
        <v>-3</v>
      </c>
      <c r="AW28" s="1">
        <f>COUNTIF(AW$2:AW$12,#REF! &amp; "*") -$A28</f>
        <v>-3</v>
      </c>
      <c r="AX28" s="1">
        <f>COUNTIF(AX$2:AX$12,#REF! &amp; "*") -$A28</f>
        <v>-3</v>
      </c>
      <c r="AZ28" s="5" t="s">
        <v>8</v>
      </c>
      <c r="BA28" s="1">
        <f>COUNTIF(BA$2:BA$12,#REF! &amp; "*") -$A28</f>
        <v>-3</v>
      </c>
      <c r="BB28" s="1">
        <f>COUNTIF(BB$2:BB$12,#REF! &amp; "*") -$A28</f>
        <v>-3</v>
      </c>
      <c r="BC28" s="1">
        <f>COUNTIF(BC$2:BC$12,#REF! &amp; "*") -$A28</f>
        <v>-3</v>
      </c>
      <c r="BD28" s="1">
        <f>COUNTIF(BD$2:BD$12,#REF! &amp; "*") -$A28</f>
        <v>-3</v>
      </c>
      <c r="BE28" s="1">
        <f>COUNTIF(BE$2:BE$12,#REF! &amp; "*") -$A28</f>
        <v>-3</v>
      </c>
      <c r="BG28" s="5" t="s">
        <v>8</v>
      </c>
      <c r="BH28" s="1">
        <f>COUNTIF(BH$2:BH$12,#REF! &amp; "*") -$A28</f>
        <v>-3</v>
      </c>
      <c r="BJ28" s="7"/>
      <c r="BK28" s="7"/>
    </row>
    <row r="29" spans="1:63" s="1" customFormat="1" hidden="1" x14ac:dyDescent="0.2">
      <c r="A29" s="1">
        <v>2</v>
      </c>
      <c r="B29" s="1">
        <v>6</v>
      </c>
      <c r="C29" s="5" t="s">
        <v>11</v>
      </c>
      <c r="D29" s="1">
        <f>COUNTIF(D$2:D$12,#REF! &amp; "*") -$A29</f>
        <v>-2</v>
      </c>
      <c r="E29" s="1">
        <f>COUNTIF(E$2:E$12,#REF! &amp; "*") -$A29</f>
        <v>-2</v>
      </c>
      <c r="F29" s="1">
        <f>COUNTIF(F$2:F$12,#REF! &amp; "*") -$A29</f>
        <v>-2</v>
      </c>
      <c r="G29" s="1">
        <f>COUNTIF(G$2:G$12,#REF! &amp; "*") -$A29</f>
        <v>-2</v>
      </c>
      <c r="H29" s="1">
        <f>COUNTIF(H$2:H$12,#REF! &amp; "*") -$A29</f>
        <v>-2</v>
      </c>
      <c r="J29" s="5" t="s">
        <v>11</v>
      </c>
      <c r="K29" s="1">
        <f>COUNTIF(K$2:K$12,#REF! &amp; "*") -$A29</f>
        <v>-2</v>
      </c>
      <c r="L29" s="1">
        <f>COUNTIF(L$2:L$12,#REF! &amp; "*") -$A29</f>
        <v>-2</v>
      </c>
      <c r="M29" s="1">
        <f>COUNTIF(M$2:M$12,#REF! &amp; "*") -$A29</f>
        <v>-2</v>
      </c>
      <c r="N29" s="1">
        <f>COUNTIF(N$2:N$12,#REF! &amp; "*") -$A29</f>
        <v>-2</v>
      </c>
      <c r="O29" s="1">
        <f>COUNTIF(O$2:O$12,#REF! &amp; "*") -$A29</f>
        <v>-2</v>
      </c>
      <c r="Q29" s="5" t="s">
        <v>11</v>
      </c>
      <c r="R29" s="1">
        <f>COUNTIF(R$2:R$12,#REF! &amp; "*") -$A29</f>
        <v>-2</v>
      </c>
      <c r="S29" s="1">
        <f>COUNTIF(S$2:S$12,#REF! &amp; "*") -$A29</f>
        <v>-2</v>
      </c>
      <c r="T29" s="1">
        <f>COUNTIF(T$2:T$12,#REF! &amp; "*") -$A29</f>
        <v>-2</v>
      </c>
      <c r="U29" s="1">
        <f>COUNTIF(U$2:U$12,#REF! &amp; "*") -$A29</f>
        <v>-2</v>
      </c>
      <c r="V29" s="1">
        <f>COUNTIF(V$2:V$12,#REF! &amp; "*") -$A29</f>
        <v>-2</v>
      </c>
      <c r="X29" s="5" t="s">
        <v>11</v>
      </c>
      <c r="Y29" s="1">
        <f>COUNTIF(Y$2:Y$12,#REF! &amp; "*") -$A29</f>
        <v>-2</v>
      </c>
      <c r="Z29" s="1">
        <f>COUNTIF(Z$2:Z$12,#REF! &amp; "*") -$A29</f>
        <v>-2</v>
      </c>
      <c r="AA29" s="1">
        <f>COUNTIF(AA$2:AA$12,#REF! &amp; "*") -$A29</f>
        <v>-2</v>
      </c>
      <c r="AB29" s="1">
        <f>COUNTIF(AB$2:AB$12,#REF! &amp; "*") -$A29</f>
        <v>-2</v>
      </c>
      <c r="AC29" s="1">
        <f>COUNTIF(AC$2:AC$12,#REF! &amp; "*") -$A29</f>
        <v>-2</v>
      </c>
      <c r="AE29" s="5" t="s">
        <v>11</v>
      </c>
      <c r="AF29" s="1">
        <f>COUNTIF(AF$2:AF$12,#REF! &amp; "*") -$A29</f>
        <v>-2</v>
      </c>
      <c r="AG29" s="1">
        <f>COUNTIF(AG$2:AG$12,#REF! &amp; "*") -$A29</f>
        <v>-2</v>
      </c>
      <c r="AH29" s="1">
        <f>COUNTIF(AH$2:AH$12,#REF! &amp; "*") -$A29</f>
        <v>-2</v>
      </c>
      <c r="AI29" s="1">
        <f>COUNTIF(AI$2:AI$12,#REF! &amp; "*") -$A29</f>
        <v>-2</v>
      </c>
      <c r="AJ29" s="1">
        <f>COUNTIF(AJ$2:AJ$12,#REF! &amp; "*") -$A29</f>
        <v>-2</v>
      </c>
      <c r="AL29" s="5" t="s">
        <v>11</v>
      </c>
      <c r="AM29" s="1">
        <f>COUNTIF(AM$2:AM$12,#REF! &amp; "*") -$A29</f>
        <v>-2</v>
      </c>
      <c r="AN29" s="1">
        <f>COUNTIF(AN$2:AN$12,#REF! &amp; "*") -$A29</f>
        <v>-2</v>
      </c>
      <c r="AO29" s="1">
        <f>COUNTIF(AO$2:AO$12,#REF! &amp; "*") -$A29</f>
        <v>-2</v>
      </c>
      <c r="AP29" s="1">
        <f>COUNTIF(AP$2:AP$12,#REF! &amp; "*") -$A29</f>
        <v>-2</v>
      </c>
      <c r="AQ29" s="1">
        <f>COUNTIF(AQ$2:AQ$12,#REF! &amp; "*") -$A29</f>
        <v>-2</v>
      </c>
      <c r="AS29" s="5" t="s">
        <v>11</v>
      </c>
      <c r="AT29" s="1">
        <f>COUNTIF(AT$2:AT$12,#REF! &amp; "*") -$A29</f>
        <v>-2</v>
      </c>
      <c r="AU29" s="1">
        <f>COUNTIF(AU$2:AU$12,#REF! &amp; "*") -$A29</f>
        <v>-2</v>
      </c>
      <c r="AV29" s="1">
        <f>COUNTIF(AV$2:AV$12,#REF! &amp; "*") -$A29</f>
        <v>-2</v>
      </c>
      <c r="AW29" s="1">
        <f>COUNTIF(AW$2:AW$12,#REF! &amp; "*") -$A29</f>
        <v>-2</v>
      </c>
      <c r="AX29" s="1">
        <f>COUNTIF(AX$2:AX$12,#REF! &amp; "*") -$A29</f>
        <v>-2</v>
      </c>
      <c r="AZ29" s="5" t="s">
        <v>11</v>
      </c>
      <c r="BA29" s="1">
        <f>COUNTIF(BA$2:BA$12,#REF! &amp; "*") -$A29</f>
        <v>-2</v>
      </c>
      <c r="BB29" s="1">
        <f>COUNTIF(BB$2:BB$12,#REF! &amp; "*") -$A29</f>
        <v>-2</v>
      </c>
      <c r="BC29" s="1">
        <f>COUNTIF(BC$2:BC$12,#REF! &amp; "*") -$A29</f>
        <v>-2</v>
      </c>
      <c r="BD29" s="1">
        <f>COUNTIF(BD$2:BD$12,#REF! &amp; "*") -$A29</f>
        <v>-2</v>
      </c>
      <c r="BE29" s="1">
        <f>COUNTIF(BE$2:BE$12,#REF! &amp; "*") -$A29</f>
        <v>-2</v>
      </c>
      <c r="BG29" s="5" t="s">
        <v>11</v>
      </c>
      <c r="BH29" s="1">
        <f>COUNTIF(BH$2:BH$12,#REF! &amp; "*") -$A29</f>
        <v>-2</v>
      </c>
      <c r="BJ29" s="7"/>
      <c r="BK29" s="7"/>
    </row>
    <row r="30" spans="1:63" s="1" customFormat="1" hidden="1" x14ac:dyDescent="0.2">
      <c r="A30" s="1">
        <v>2</v>
      </c>
      <c r="B30" s="1">
        <v>2</v>
      </c>
      <c r="C30" s="5" t="s">
        <v>10</v>
      </c>
      <c r="D30" s="1">
        <f>COUNTIF(D$2:D$12,#REF! &amp; "*") -$A30</f>
        <v>-2</v>
      </c>
      <c r="E30" s="1">
        <f>COUNTIF(E$2:E$12,#REF! &amp; "*") -$A30</f>
        <v>-2</v>
      </c>
      <c r="F30" s="1">
        <f>COUNTIF(F$2:F$12,#REF! &amp; "*") -$A30</f>
        <v>-2</v>
      </c>
      <c r="G30" s="1">
        <f>COUNTIF(G$2:G$12,#REF! &amp; "*") -$A30</f>
        <v>-2</v>
      </c>
      <c r="H30" s="1">
        <f>COUNTIF(H$2:H$12,#REF! &amp; "*") -$A30</f>
        <v>-2</v>
      </c>
      <c r="J30" s="5" t="s">
        <v>10</v>
      </c>
      <c r="K30" s="1">
        <f>COUNTIF(K$2:K$12,#REF! &amp; "*") -$A30</f>
        <v>-2</v>
      </c>
      <c r="L30" s="1">
        <f>COUNTIF(L$2:L$12,#REF! &amp; "*") -$A30</f>
        <v>-2</v>
      </c>
      <c r="M30" s="1">
        <f>COUNTIF(M$2:M$12,#REF! &amp; "*") -$A30</f>
        <v>-2</v>
      </c>
      <c r="N30" s="1">
        <f>COUNTIF(N$2:N$12,#REF! &amp; "*") -$A30</f>
        <v>-2</v>
      </c>
      <c r="O30" s="1">
        <f>COUNTIF(O$2:O$12,#REF! &amp; "*") -$A30</f>
        <v>-2</v>
      </c>
      <c r="Q30" s="5" t="s">
        <v>10</v>
      </c>
      <c r="R30" s="1">
        <f>COUNTIF(R$2:R$12,#REF! &amp; "*") -$A30</f>
        <v>-2</v>
      </c>
      <c r="S30" s="1">
        <f>COUNTIF(S$2:S$12,#REF! &amp; "*") -$A30</f>
        <v>-2</v>
      </c>
      <c r="T30" s="1">
        <f>COUNTIF(T$2:T$12,#REF! &amp; "*") -$A30</f>
        <v>-2</v>
      </c>
      <c r="U30" s="1">
        <f>COUNTIF(U$2:U$12,#REF! &amp; "*") -$A30</f>
        <v>-2</v>
      </c>
      <c r="V30" s="1">
        <f>COUNTIF(V$2:V$12,#REF! &amp; "*") -$A30</f>
        <v>-2</v>
      </c>
      <c r="X30" s="5" t="s">
        <v>10</v>
      </c>
      <c r="Y30" s="1">
        <f>COUNTIF(Y$2:Y$12,#REF! &amp; "*") -$A30</f>
        <v>-2</v>
      </c>
      <c r="Z30" s="1">
        <f>COUNTIF(Z$2:Z$12,#REF! &amp; "*") -$A30</f>
        <v>-2</v>
      </c>
      <c r="AA30" s="1">
        <f>COUNTIF(AA$2:AA$12,#REF! &amp; "*") -$A30</f>
        <v>-2</v>
      </c>
      <c r="AB30" s="1">
        <f>COUNTIF(AB$2:AB$12,#REF! &amp; "*") -$A30</f>
        <v>-2</v>
      </c>
      <c r="AC30" s="1">
        <f>COUNTIF(AC$2:AC$12,#REF! &amp; "*") -$A30</f>
        <v>-2</v>
      </c>
      <c r="AE30" s="5" t="s">
        <v>10</v>
      </c>
      <c r="AF30" s="1">
        <f>COUNTIF(AF$2:AF$12,#REF! &amp; "*") -$A30</f>
        <v>-2</v>
      </c>
      <c r="AG30" s="1">
        <f>COUNTIF(AG$2:AG$12,#REF! &amp; "*") -$A30</f>
        <v>-2</v>
      </c>
      <c r="AH30" s="1">
        <f>COUNTIF(AH$2:AH$12,#REF! &amp; "*") -$A30</f>
        <v>-2</v>
      </c>
      <c r="AI30" s="1">
        <f>COUNTIF(AI$2:AI$12,#REF! &amp; "*") -$A30</f>
        <v>-2</v>
      </c>
      <c r="AJ30" s="1">
        <f>COUNTIF(AJ$2:AJ$12,#REF! &amp; "*") -$A30</f>
        <v>-2</v>
      </c>
      <c r="AL30" s="5" t="s">
        <v>10</v>
      </c>
      <c r="AM30" s="1">
        <f>COUNTIF(AM$2:AM$12,#REF! &amp; "*") -$A30</f>
        <v>-2</v>
      </c>
      <c r="AN30" s="1">
        <f>COUNTIF(AN$2:AN$12,#REF! &amp; "*") -$A30</f>
        <v>-2</v>
      </c>
      <c r="AO30" s="1">
        <f>COUNTIF(AO$2:AO$12,#REF! &amp; "*") -$A30</f>
        <v>-2</v>
      </c>
      <c r="AP30" s="1">
        <f>COUNTIF(AP$2:AP$12,#REF! &amp; "*") -$A30</f>
        <v>-2</v>
      </c>
      <c r="AQ30" s="1">
        <f>COUNTIF(AQ$2:AQ$12,#REF! &amp; "*") -$A30</f>
        <v>-2</v>
      </c>
      <c r="AS30" s="5" t="s">
        <v>10</v>
      </c>
      <c r="AT30" s="1">
        <f>COUNTIF(AT$2:AT$12,#REF! &amp; "*") -$A30</f>
        <v>-2</v>
      </c>
      <c r="AU30" s="1">
        <f>COUNTIF(AU$2:AU$12,#REF! &amp; "*") -$A30</f>
        <v>-2</v>
      </c>
      <c r="AV30" s="1">
        <f>COUNTIF(AV$2:AV$12,#REF! &amp; "*") -$A30</f>
        <v>-2</v>
      </c>
      <c r="AW30" s="1">
        <f>COUNTIF(AW$2:AW$12,#REF! &amp; "*") -$A30</f>
        <v>-2</v>
      </c>
      <c r="AX30" s="1">
        <f>COUNTIF(AX$2:AX$12,#REF! &amp; "*") -$A30</f>
        <v>-2</v>
      </c>
      <c r="AZ30" s="5" t="s">
        <v>10</v>
      </c>
      <c r="BA30" s="1">
        <f>COUNTIF(BA$2:BA$12,#REF! &amp; "*") -$A30</f>
        <v>-2</v>
      </c>
      <c r="BB30" s="1">
        <f>COUNTIF(BB$2:BB$12,#REF! &amp; "*") -$A30</f>
        <v>-2</v>
      </c>
      <c r="BC30" s="1">
        <f>COUNTIF(BC$2:BC$12,#REF! &amp; "*") -$A30</f>
        <v>-2</v>
      </c>
      <c r="BD30" s="1">
        <f>COUNTIF(BD$2:BD$12,#REF! &amp; "*") -$A30</f>
        <v>-2</v>
      </c>
      <c r="BE30" s="1">
        <f>COUNTIF(BE$2:BE$12,#REF! &amp; "*") -$A30</f>
        <v>-2</v>
      </c>
      <c r="BG30" s="5" t="s">
        <v>10</v>
      </c>
      <c r="BH30" s="1">
        <f>COUNTIF(BH$2:BH$12,#REF! &amp; "*") -$A30</f>
        <v>-2</v>
      </c>
      <c r="BJ30" s="7"/>
      <c r="BK30" s="7"/>
    </row>
    <row r="31" spans="1:63" hidden="1" x14ac:dyDescent="0.2">
      <c r="A31">
        <v>1</v>
      </c>
      <c r="B31">
        <v>0</v>
      </c>
      <c r="C31" s="5" t="s">
        <v>7</v>
      </c>
      <c r="D31">
        <f>COUNTIF(D$2:D$12,#REF! &amp; "*") -$A31</f>
        <v>-1</v>
      </c>
      <c r="E31">
        <f>COUNTIF(E$2:E$12,#REF! &amp; "*") -$A31</f>
        <v>-1</v>
      </c>
      <c r="F31">
        <f>COUNTIF(F$2:F$12,#REF! &amp; "*") -$A31</f>
        <v>-1</v>
      </c>
      <c r="G31">
        <f>COUNTIF(G$2:G$12,#REF! &amp; "*") -$A31</f>
        <v>-1</v>
      </c>
      <c r="H31">
        <f>COUNTIF(H$2:H$12,#REF! &amp; "*") -$A31</f>
        <v>-1</v>
      </c>
      <c r="J31" s="5" t="s">
        <v>7</v>
      </c>
      <c r="K31">
        <f>COUNTIF(K$2:K$12,#REF! &amp; "*") -$A31</f>
        <v>-1</v>
      </c>
      <c r="L31">
        <f>COUNTIF(L$2:L$12,#REF! &amp; "*") -$A31</f>
        <v>-1</v>
      </c>
      <c r="M31">
        <f>COUNTIF(M$2:M$12,#REF! &amp; "*") -$A31</f>
        <v>-1</v>
      </c>
      <c r="N31">
        <f>COUNTIF(N$2:N$12,#REF! &amp; "*") -$A31</f>
        <v>-1</v>
      </c>
      <c r="O31">
        <f>COUNTIF(O$2:O$12,#REF! &amp; "*") -$A31</f>
        <v>-1</v>
      </c>
      <c r="Q31" s="5" t="s">
        <v>7</v>
      </c>
      <c r="R31">
        <f>COUNTIF(R$2:R$12,#REF! &amp; "*") -$A31</f>
        <v>-1</v>
      </c>
      <c r="S31">
        <f>COUNTIF(S$2:S$12,#REF! &amp; "*") -$A31</f>
        <v>-1</v>
      </c>
      <c r="T31">
        <f>COUNTIF(T$2:T$12,#REF! &amp; "*") -$A31</f>
        <v>-1</v>
      </c>
      <c r="U31">
        <f>COUNTIF(U$2:U$12,#REF! &amp; "*") -$A31</f>
        <v>-1</v>
      </c>
      <c r="V31">
        <f>COUNTIF(V$2:V$12,#REF! &amp; "*") -$A31</f>
        <v>-1</v>
      </c>
      <c r="X31" s="5" t="s">
        <v>7</v>
      </c>
      <c r="Y31">
        <f>COUNTIF(Y$2:Y$12,#REF! &amp; "*") -$A31</f>
        <v>-1</v>
      </c>
      <c r="Z31">
        <f>COUNTIF(Z$2:Z$12,#REF! &amp; "*") -$A31</f>
        <v>-1</v>
      </c>
      <c r="AA31">
        <f>COUNTIF(AA$2:AA$12,#REF! &amp; "*") -$A31</f>
        <v>-1</v>
      </c>
      <c r="AB31">
        <f>COUNTIF(AB$2:AB$12,#REF! &amp; "*") -$A31</f>
        <v>-1</v>
      </c>
      <c r="AC31">
        <f>COUNTIF(AC$2:AC$12,#REF! &amp; "*") -$A31</f>
        <v>-1</v>
      </c>
      <c r="AE31" s="5" t="s">
        <v>7</v>
      </c>
      <c r="AF31">
        <f>COUNTIF(AF$2:AF$12,#REF! &amp; "*") -$A31</f>
        <v>-1</v>
      </c>
      <c r="AG31">
        <f>COUNTIF(AG$2:AG$12,#REF! &amp; "*") -$A31</f>
        <v>-1</v>
      </c>
      <c r="AH31">
        <f>COUNTIF(AH$2:AH$12,#REF! &amp; "*") -$A31</f>
        <v>-1</v>
      </c>
      <c r="AI31">
        <f>COUNTIF(AI$2:AI$12,#REF! &amp; "*") -$A31</f>
        <v>-1</v>
      </c>
      <c r="AJ31">
        <f>COUNTIF(AJ$2:AJ$12,#REF! &amp; "*") -$A31</f>
        <v>-1</v>
      </c>
      <c r="AL31" s="5" t="s">
        <v>7</v>
      </c>
      <c r="AM31">
        <f>COUNTIF(AM$2:AM$12,#REF! &amp; "*") -$A31</f>
        <v>-1</v>
      </c>
      <c r="AN31">
        <f>COUNTIF(AN$2:AN$12,#REF! &amp; "*") -$A31</f>
        <v>-1</v>
      </c>
      <c r="AO31">
        <f>COUNTIF(AO$2:AO$12,#REF! &amp; "*") -$A31</f>
        <v>-1</v>
      </c>
      <c r="AP31">
        <f>COUNTIF(AP$2:AP$12,#REF! &amp; "*") -$A31</f>
        <v>-1</v>
      </c>
      <c r="AQ31">
        <f>COUNTIF(AQ$2:AQ$12,#REF! &amp; "*") -$A31</f>
        <v>-1</v>
      </c>
      <c r="AS31" s="5" t="s">
        <v>7</v>
      </c>
      <c r="AT31">
        <f>COUNTIF(AT$2:AT$12,#REF! &amp; "*") -$A31</f>
        <v>-1</v>
      </c>
      <c r="AU31">
        <f>COUNTIF(AU$2:AU$12,#REF! &amp; "*") -$A31</f>
        <v>-1</v>
      </c>
      <c r="AV31">
        <f>COUNTIF(AV$2:AV$12,#REF! &amp; "*") -$A31</f>
        <v>-1</v>
      </c>
      <c r="AW31">
        <f>COUNTIF(AW$2:AW$12,#REF! &amp; "*") -$A31</f>
        <v>-1</v>
      </c>
      <c r="AX31">
        <f>COUNTIF(AX$2:AX$12,#REF! &amp; "*") -$A31</f>
        <v>-1</v>
      </c>
      <c r="AZ31" s="5" t="s">
        <v>7</v>
      </c>
      <c r="BA31">
        <f>COUNTIF(BA$2:BA$12,#REF! &amp; "*") -$A31</f>
        <v>-1</v>
      </c>
      <c r="BB31">
        <f>COUNTIF(BB$2:BB$12,#REF! &amp; "*") -$A31</f>
        <v>-1</v>
      </c>
      <c r="BC31">
        <f>COUNTIF(BC$2:BC$12,#REF! &amp; "*") -$A31</f>
        <v>-1</v>
      </c>
      <c r="BD31">
        <f>COUNTIF(BD$2:BD$12,#REF! &amp; "*") -$A31</f>
        <v>-1</v>
      </c>
      <c r="BE31">
        <f>COUNTIF(BE$2:BE$12,#REF! &amp; "*") -$A31</f>
        <v>-1</v>
      </c>
      <c r="BG31" s="5" t="s">
        <v>7</v>
      </c>
      <c r="BH31">
        <f>COUNTIF(BH$2:BH$12,#REF! &amp; "*") -$A31</f>
        <v>-1</v>
      </c>
    </row>
    <row r="32" spans="1:63" hidden="1" x14ac:dyDescent="0.2">
      <c r="A32">
        <v>1</v>
      </c>
      <c r="B32">
        <v>0</v>
      </c>
      <c r="C32" s="5" t="s">
        <v>12</v>
      </c>
      <c r="D32">
        <f>COUNTIF(D$2:D$12,#REF! &amp; "*") -$A32</f>
        <v>-1</v>
      </c>
      <c r="E32">
        <f>COUNTIF(E$2:E$12,#REF! &amp; "*") -$A32</f>
        <v>-1</v>
      </c>
      <c r="F32">
        <f>COUNTIF(F$2:F$12,#REF! &amp; "*") -$A32</f>
        <v>-1</v>
      </c>
      <c r="G32">
        <f>COUNTIF(G$2:G$12,#REF! &amp; "*") -$A32</f>
        <v>-1</v>
      </c>
      <c r="H32">
        <f>COUNTIF(H$2:H$12,#REF! &amp; "*") -$A32</f>
        <v>-1</v>
      </c>
      <c r="J32" s="5" t="s">
        <v>12</v>
      </c>
      <c r="K32">
        <f>COUNTIF(K$2:K$12,#REF! &amp; "*") -$A32</f>
        <v>-1</v>
      </c>
      <c r="L32">
        <f>COUNTIF(L$2:L$12,#REF! &amp; "*") -$A32</f>
        <v>-1</v>
      </c>
      <c r="M32">
        <f>COUNTIF(M$2:M$12,#REF! &amp; "*") -$A32</f>
        <v>-1</v>
      </c>
      <c r="N32">
        <f>COUNTIF(N$2:N$12,#REF! &amp; "*") -$A32</f>
        <v>-1</v>
      </c>
      <c r="O32">
        <f>COUNTIF(O$2:O$12,#REF! &amp; "*") -$A32</f>
        <v>-1</v>
      </c>
      <c r="Q32" s="5" t="s">
        <v>12</v>
      </c>
      <c r="R32">
        <f>COUNTIF(R$2:R$12,#REF! &amp; "*") -$A32</f>
        <v>-1</v>
      </c>
      <c r="S32">
        <f>COUNTIF(S$2:S$12,#REF! &amp; "*") -$A32</f>
        <v>-1</v>
      </c>
      <c r="T32">
        <f>COUNTIF(T$2:T$12,#REF! &amp; "*") -$A32</f>
        <v>-1</v>
      </c>
      <c r="U32">
        <f>COUNTIF(U$2:U$12,#REF! &amp; "*") -$A32</f>
        <v>-1</v>
      </c>
      <c r="V32">
        <f>COUNTIF(V$2:V$12,#REF! &amp; "*") -$A32</f>
        <v>-1</v>
      </c>
      <c r="X32" s="5" t="s">
        <v>12</v>
      </c>
      <c r="Y32">
        <f>COUNTIF(Y$2:Y$12,#REF! &amp; "*") -$A32</f>
        <v>-1</v>
      </c>
      <c r="Z32">
        <f>COUNTIF(Z$2:Z$12,#REF! &amp; "*") -$A32</f>
        <v>-1</v>
      </c>
      <c r="AA32">
        <f>COUNTIF(AA$2:AA$12,#REF! &amp; "*") -$A32</f>
        <v>-1</v>
      </c>
      <c r="AB32">
        <f>COUNTIF(AB$2:AB$12,#REF! &amp; "*") -$A32</f>
        <v>-1</v>
      </c>
      <c r="AC32">
        <f>COUNTIF(AC$2:AC$12,#REF! &amp; "*") -$A32</f>
        <v>-1</v>
      </c>
      <c r="AE32" s="5" t="s">
        <v>12</v>
      </c>
      <c r="AF32">
        <f>COUNTIF(AF$2:AF$12,#REF! &amp; "*") -$A32</f>
        <v>-1</v>
      </c>
      <c r="AG32">
        <f>COUNTIF(AG$2:AG$12,#REF! &amp; "*") -$A32</f>
        <v>-1</v>
      </c>
      <c r="AH32">
        <f>COUNTIF(AH$2:AH$12,#REF! &amp; "*") -$A32</f>
        <v>-1</v>
      </c>
      <c r="AI32">
        <f>COUNTIF(AI$2:AI$12,#REF! &amp; "*") -$A32</f>
        <v>-1</v>
      </c>
      <c r="AJ32">
        <f>COUNTIF(AJ$2:AJ$12,#REF! &amp; "*") -$A32</f>
        <v>-1</v>
      </c>
      <c r="AL32" s="5" t="s">
        <v>12</v>
      </c>
      <c r="AM32">
        <f>COUNTIF(AM$2:AM$12,#REF! &amp; "*") -$A32</f>
        <v>-1</v>
      </c>
      <c r="AN32">
        <f>COUNTIF(AN$2:AN$12,#REF! &amp; "*") -$A32</f>
        <v>-1</v>
      </c>
      <c r="AO32">
        <f>COUNTIF(AO$2:AO$12,#REF! &amp; "*") -$A32</f>
        <v>-1</v>
      </c>
      <c r="AP32">
        <f>COUNTIF(AP$2:AP$12,#REF! &amp; "*") -$A32</f>
        <v>-1</v>
      </c>
      <c r="AQ32">
        <f>COUNTIF(AQ$2:AQ$12,#REF! &amp; "*") -$A32</f>
        <v>-1</v>
      </c>
      <c r="AS32" s="5" t="s">
        <v>12</v>
      </c>
      <c r="AT32">
        <f>COUNTIF(AT$2:AT$12,#REF! &amp; "*") -$A32</f>
        <v>-1</v>
      </c>
      <c r="AU32">
        <f>COUNTIF(AU$2:AU$12,#REF! &amp; "*") -$A32</f>
        <v>-1</v>
      </c>
      <c r="AV32">
        <f>COUNTIF(AV$2:AV$12,#REF! &amp; "*") -$A32</f>
        <v>-1</v>
      </c>
      <c r="AW32">
        <f>COUNTIF(AW$2:AW$12,#REF! &amp; "*") -$A32</f>
        <v>-1</v>
      </c>
      <c r="AX32">
        <f>COUNTIF(AX$2:AX$12,#REF! &amp; "*") -$A32</f>
        <v>-1</v>
      </c>
      <c r="AZ32" s="5" t="s">
        <v>12</v>
      </c>
      <c r="BA32">
        <f>COUNTIF(BA$2:BA$12,#REF! &amp; "*") -$A32</f>
        <v>-1</v>
      </c>
      <c r="BB32">
        <f>COUNTIF(BB$2:BB$12,#REF! &amp; "*") -$A32</f>
        <v>-1</v>
      </c>
      <c r="BC32">
        <f>COUNTIF(BC$2:BC$12,#REF! &amp; "*") -$A32</f>
        <v>-1</v>
      </c>
      <c r="BD32">
        <f>COUNTIF(BD$2:BD$12,#REF! &amp; "*") -$A32</f>
        <v>-1</v>
      </c>
      <c r="BE32">
        <f>COUNTIF(BE$2:BE$12,#REF! &amp; "*") -$A32</f>
        <v>-1</v>
      </c>
      <c r="BG32" s="5" t="s">
        <v>12</v>
      </c>
      <c r="BH32">
        <f>COUNTIF(BH$2:BH$12,#REF! &amp; "*") -$A32</f>
        <v>-1</v>
      </c>
    </row>
    <row r="33" spans="1:63" hidden="1" x14ac:dyDescent="0.2">
      <c r="A33">
        <v>1</v>
      </c>
      <c r="B33">
        <v>0</v>
      </c>
      <c r="C33" s="5" t="s">
        <v>9</v>
      </c>
      <c r="D33">
        <f>COUNTIF(D$2:D$12,#REF! &amp; "*") -$A33</f>
        <v>-1</v>
      </c>
      <c r="E33">
        <f>COUNTIF(E$2:E$12,#REF! &amp; "*") -$A33</f>
        <v>-1</v>
      </c>
      <c r="F33">
        <f>COUNTIF(F$2:F$12,#REF! &amp; "*") -$A33</f>
        <v>-1</v>
      </c>
      <c r="G33">
        <f>COUNTIF(G$2:G$12,#REF! &amp; "*") -$A33</f>
        <v>-1</v>
      </c>
      <c r="H33">
        <f>COUNTIF(H$2:H$12,#REF! &amp; "*") -$A33</f>
        <v>-1</v>
      </c>
      <c r="J33" s="5" t="s">
        <v>9</v>
      </c>
      <c r="K33">
        <f>COUNTIF(K$2:K$12,#REF! &amp; "*") -$A33</f>
        <v>-1</v>
      </c>
      <c r="L33">
        <f>COUNTIF(L$2:L$12,#REF! &amp; "*") -$A33</f>
        <v>-1</v>
      </c>
      <c r="M33">
        <f>COUNTIF(M$2:M$12,#REF! &amp; "*") -$A33</f>
        <v>-1</v>
      </c>
      <c r="N33">
        <f>COUNTIF(N$2:N$12,#REF! &amp; "*") -$A33</f>
        <v>-1</v>
      </c>
      <c r="O33">
        <f>COUNTIF(O$2:O$12,#REF! &amp; "*") -$A33</f>
        <v>-1</v>
      </c>
      <c r="Q33" s="5" t="s">
        <v>9</v>
      </c>
      <c r="R33">
        <f>COUNTIF(R$2:R$12,#REF! &amp; "*") -$A33</f>
        <v>-1</v>
      </c>
      <c r="S33">
        <f>COUNTIF(S$2:S$12,#REF! &amp; "*") -$A33</f>
        <v>-1</v>
      </c>
      <c r="T33">
        <f>COUNTIF(T$2:T$12,#REF! &amp; "*") -$A33</f>
        <v>-1</v>
      </c>
      <c r="U33">
        <f>COUNTIF(U$2:U$12,#REF! &amp; "*") -$A33</f>
        <v>-1</v>
      </c>
      <c r="V33">
        <f>COUNTIF(V$2:V$12,#REF! &amp; "*") -$A33</f>
        <v>-1</v>
      </c>
      <c r="X33" s="5" t="s">
        <v>9</v>
      </c>
      <c r="Y33">
        <f>COUNTIF(Y$2:Y$12,#REF! &amp; "*") -$A33</f>
        <v>-1</v>
      </c>
      <c r="Z33">
        <f>COUNTIF(Z$2:Z$12,#REF! &amp; "*") -$A33</f>
        <v>-1</v>
      </c>
      <c r="AA33">
        <f>COUNTIF(AA$2:AA$12,#REF! &amp; "*") -$A33</f>
        <v>-1</v>
      </c>
      <c r="AB33">
        <f>COUNTIF(AB$2:AB$12,#REF! &amp; "*") -$A33</f>
        <v>-1</v>
      </c>
      <c r="AC33">
        <f>COUNTIF(AC$2:AC$12,#REF! &amp; "*") -$A33</f>
        <v>-1</v>
      </c>
      <c r="AE33" s="5" t="s">
        <v>9</v>
      </c>
      <c r="AF33">
        <f>COUNTIF(AF$2:AF$12,#REF! &amp; "*") -$A33</f>
        <v>-1</v>
      </c>
      <c r="AG33">
        <f>COUNTIF(AG$2:AG$12,#REF! &amp; "*") -$A33</f>
        <v>-1</v>
      </c>
      <c r="AH33">
        <f>COUNTIF(AH$2:AH$12,#REF! &amp; "*") -$A33</f>
        <v>-1</v>
      </c>
      <c r="AI33">
        <f>COUNTIF(AI$2:AI$12,#REF! &amp; "*") -$A33</f>
        <v>-1</v>
      </c>
      <c r="AJ33">
        <f>COUNTIF(AJ$2:AJ$12,#REF! &amp; "*") -$A33</f>
        <v>-1</v>
      </c>
      <c r="AL33" s="5" t="s">
        <v>9</v>
      </c>
      <c r="AM33">
        <f>COUNTIF(AM$2:AM$12,#REF! &amp; "*") -$A33</f>
        <v>-1</v>
      </c>
      <c r="AN33">
        <f>COUNTIF(AN$2:AN$12,#REF! &amp; "*") -$A33</f>
        <v>-1</v>
      </c>
      <c r="AO33">
        <f>COUNTIF(AO$2:AO$12,#REF! &amp; "*") -$A33</f>
        <v>-1</v>
      </c>
      <c r="AP33">
        <f>COUNTIF(AP$2:AP$12,#REF! &amp; "*") -$A33</f>
        <v>-1</v>
      </c>
      <c r="AQ33">
        <f>COUNTIF(AQ$2:AQ$12,#REF! &amp; "*") -$A33</f>
        <v>-1</v>
      </c>
      <c r="AS33" s="5" t="s">
        <v>9</v>
      </c>
      <c r="AT33">
        <f>COUNTIF(AT$2:AT$12,#REF! &amp; "*") -$A33</f>
        <v>-1</v>
      </c>
      <c r="AU33">
        <f>COUNTIF(AU$2:AU$12,#REF! &amp; "*") -$A33</f>
        <v>-1</v>
      </c>
      <c r="AV33">
        <f>COUNTIF(AV$2:AV$12,#REF! &amp; "*") -$A33</f>
        <v>-1</v>
      </c>
      <c r="AW33">
        <f>COUNTIF(AW$2:AW$12,#REF! &amp; "*") -$A33</f>
        <v>-1</v>
      </c>
      <c r="AX33">
        <f>COUNTIF(AX$2:AX$12,#REF! &amp; "*") -$A33</f>
        <v>-1</v>
      </c>
      <c r="AZ33" s="5" t="s">
        <v>9</v>
      </c>
      <c r="BA33">
        <f>COUNTIF(BA$2:BA$12,#REF! &amp; "*") -$A33</f>
        <v>-1</v>
      </c>
      <c r="BB33">
        <f>COUNTIF(BB$2:BB$12,#REF! &amp; "*") -$A33</f>
        <v>-1</v>
      </c>
      <c r="BC33">
        <f>COUNTIF(BC$2:BC$12,#REF! &amp; "*") -$A33</f>
        <v>-1</v>
      </c>
      <c r="BD33">
        <f>COUNTIF(BD$2:BD$12,#REF! &amp; "*") -$A33</f>
        <v>-1</v>
      </c>
      <c r="BE33">
        <f>COUNTIF(BE$2:BE$12,#REF! &amp; "*") -$A33</f>
        <v>-1</v>
      </c>
      <c r="BG33" s="5" t="s">
        <v>9</v>
      </c>
      <c r="BH33">
        <f>COUNTIF(BH$2:BH$12,#REF! &amp; "*") -$A33</f>
        <v>-1</v>
      </c>
    </row>
    <row r="34" spans="1:63" s="1" customFormat="1" hidden="1" x14ac:dyDescent="0.2">
      <c r="B34" s="1">
        <v>0</v>
      </c>
      <c r="C34" s="5" t="s">
        <v>2</v>
      </c>
      <c r="D34" s="1">
        <f>COUNTIF(D$2:D$12,#REF! &amp; "*") -$A34</f>
        <v>0</v>
      </c>
      <c r="E34" s="1">
        <f>COUNTIF(E$2:E$12,#REF! &amp; "*") -$A34</f>
        <v>0</v>
      </c>
      <c r="F34" s="1">
        <f>COUNTIF(F$2:F$12,#REF! &amp; "*") -$A34</f>
        <v>0</v>
      </c>
      <c r="G34" s="1">
        <f>COUNTIF(G$2:G$12,#REF! &amp; "*") -$A34</f>
        <v>0</v>
      </c>
      <c r="H34" s="1">
        <f>COUNTIF(H$2:H$12,#REF! &amp; "*") -$A34</f>
        <v>0</v>
      </c>
      <c r="J34" s="5" t="s">
        <v>2</v>
      </c>
      <c r="K34" s="1">
        <f>COUNTIF(K$2:K$12,#REF! &amp; "*") -$A34</f>
        <v>0</v>
      </c>
      <c r="L34" s="1">
        <f>COUNTIF(L$2:L$12,#REF! &amp; "*") -$A34</f>
        <v>0</v>
      </c>
      <c r="M34" s="1">
        <f>COUNTIF(M$2:M$12,#REF! &amp; "*") -$A34</f>
        <v>0</v>
      </c>
      <c r="N34" s="1">
        <f>COUNTIF(N$2:N$12,#REF! &amp; "*") -$A34</f>
        <v>0</v>
      </c>
      <c r="O34" s="1">
        <f>COUNTIF(O$2:O$12,#REF! &amp; "*") -$A34</f>
        <v>0</v>
      </c>
      <c r="Q34" s="5" t="s">
        <v>2</v>
      </c>
      <c r="R34" s="1">
        <f>COUNTIF(R$2:R$12,#REF! &amp; "*") -$A34</f>
        <v>0</v>
      </c>
      <c r="S34" s="1">
        <f>COUNTIF(S$2:S$12,#REF! &amp; "*") -$A34</f>
        <v>0</v>
      </c>
      <c r="T34" s="1">
        <f>COUNTIF(T$2:T$12,#REF! &amp; "*") -$A34</f>
        <v>0</v>
      </c>
      <c r="U34" s="1">
        <f>COUNTIF(U$2:U$12,#REF! &amp; "*") -$A34</f>
        <v>0</v>
      </c>
      <c r="V34" s="1">
        <f>COUNTIF(V$2:V$12,#REF! &amp; "*") -$A34</f>
        <v>0</v>
      </c>
      <c r="X34" s="5" t="s">
        <v>2</v>
      </c>
      <c r="Y34" s="1">
        <f>COUNTIF(Y$2:Y$12,#REF! &amp; "*") -$A34</f>
        <v>0</v>
      </c>
      <c r="Z34" s="1">
        <f>COUNTIF(Z$2:Z$12,#REF! &amp; "*") -$A34</f>
        <v>0</v>
      </c>
      <c r="AA34" s="1">
        <f>COUNTIF(AA$2:AA$12,#REF! &amp; "*") -$A34</f>
        <v>0</v>
      </c>
      <c r="AB34" s="1">
        <f>COUNTIF(AB$2:AB$12,#REF! &amp; "*") -$A34</f>
        <v>0</v>
      </c>
      <c r="AC34" s="1">
        <f>COUNTIF(AC$2:AC$12,#REF! &amp; "*") -$A34</f>
        <v>0</v>
      </c>
      <c r="AE34" s="5" t="s">
        <v>2</v>
      </c>
      <c r="AF34" s="1">
        <f>COUNTIF(AF$2:AF$12,#REF! &amp; "*") -$A34</f>
        <v>0</v>
      </c>
      <c r="AG34" s="1">
        <f>COUNTIF(AG$2:AG$12,#REF! &amp; "*") -$A34</f>
        <v>0</v>
      </c>
      <c r="AH34" s="1">
        <f>COUNTIF(AH$2:AH$12,#REF! &amp; "*") -$A34</f>
        <v>0</v>
      </c>
      <c r="AI34" s="1">
        <f>COUNTIF(AI$2:AI$12,#REF! &amp; "*") -$A34</f>
        <v>0</v>
      </c>
      <c r="AJ34" s="1">
        <f>COUNTIF(AJ$2:AJ$12,#REF! &amp; "*") -$A34</f>
        <v>0</v>
      </c>
      <c r="AL34" s="5" t="s">
        <v>2</v>
      </c>
      <c r="AM34" s="1">
        <f>COUNTIF(AM$2:AM$12,#REF! &amp; "*") -$A34</f>
        <v>0</v>
      </c>
      <c r="AN34" s="1">
        <f>COUNTIF(AN$2:AN$12,#REF! &amp; "*") -$A34</f>
        <v>0</v>
      </c>
      <c r="AO34" s="1">
        <f>COUNTIF(AO$2:AO$12,#REF! &amp; "*") -$A34</f>
        <v>0</v>
      </c>
      <c r="AP34" s="1">
        <f>COUNTIF(AP$2:AP$12,#REF! &amp; "*") -$A34</f>
        <v>0</v>
      </c>
      <c r="AQ34" s="1">
        <f>COUNTIF(AQ$2:AQ$12,#REF! &amp; "*") -$A34</f>
        <v>0</v>
      </c>
      <c r="AS34" s="5" t="s">
        <v>2</v>
      </c>
      <c r="AT34" s="1">
        <f>COUNTIF(AT$2:AT$12,#REF! &amp; "*") -$A34</f>
        <v>0</v>
      </c>
      <c r="AU34" s="1">
        <f>COUNTIF(AU$2:AU$12,#REF! &amp; "*") -$A34</f>
        <v>0</v>
      </c>
      <c r="AV34" s="1">
        <f>COUNTIF(AV$2:AV$12,#REF! &amp; "*") -$A34</f>
        <v>0</v>
      </c>
      <c r="AW34" s="1">
        <f>COUNTIF(AW$2:AW$12,#REF! &amp; "*") -$A34</f>
        <v>0</v>
      </c>
      <c r="AX34" s="1">
        <f>COUNTIF(AX$2:AX$12,#REF! &amp; "*") -$A34</f>
        <v>0</v>
      </c>
      <c r="AZ34" s="5" t="s">
        <v>2</v>
      </c>
      <c r="BA34" s="1">
        <f>COUNTIF(BA$2:BA$12,#REF! &amp; "*") -$A34</f>
        <v>0</v>
      </c>
      <c r="BB34" s="1">
        <f>COUNTIF(BB$2:BB$12,#REF! &amp; "*") -$A34</f>
        <v>0</v>
      </c>
      <c r="BC34" s="1">
        <f>COUNTIF(BC$2:BC$12,#REF! &amp; "*") -$A34</f>
        <v>0</v>
      </c>
      <c r="BD34" s="1">
        <f>COUNTIF(BD$2:BD$12,#REF! &amp; "*") -$A34</f>
        <v>0</v>
      </c>
      <c r="BE34" s="1">
        <f>COUNTIF(BE$2:BE$12,#REF! &amp; "*") -$A34</f>
        <v>0</v>
      </c>
      <c r="BG34" s="5" t="s">
        <v>2</v>
      </c>
      <c r="BH34" s="1">
        <f>COUNTIF(BH$2:BH$12,#REF! &amp; "*") -$A34</f>
        <v>0</v>
      </c>
      <c r="BJ34" s="7"/>
      <c r="BK34" s="7"/>
    </row>
    <row r="35" spans="1:63" hidden="1" x14ac:dyDescent="0.2">
      <c r="A35">
        <v>1</v>
      </c>
      <c r="B35">
        <v>0</v>
      </c>
      <c r="C35" s="5" t="s">
        <v>1</v>
      </c>
      <c r="D35">
        <f>COUNTIF(D$2:D$12,#REF! &amp; "*") -$A35</f>
        <v>-1</v>
      </c>
      <c r="E35">
        <f>COUNTIF(E$2:E$12,#REF! &amp; "*") -$A35</f>
        <v>-1</v>
      </c>
      <c r="F35">
        <f>COUNTIF(F$2:F$12,#REF! &amp; "*") -$A35</f>
        <v>-1</v>
      </c>
      <c r="G35">
        <f>COUNTIF(G$2:G$12,#REF! &amp; "*") -$A35</f>
        <v>-1</v>
      </c>
      <c r="H35">
        <f>COUNTIF(H$2:H$12,#REF! &amp; "*") -$A35</f>
        <v>-1</v>
      </c>
      <c r="J35" s="5" t="s">
        <v>1</v>
      </c>
      <c r="K35">
        <f>COUNTIF(K$2:K$12,#REF! &amp; "*") -$A35</f>
        <v>-1</v>
      </c>
      <c r="L35">
        <f>COUNTIF(L$2:L$12,#REF! &amp; "*") -$A35</f>
        <v>-1</v>
      </c>
      <c r="M35">
        <f>COUNTIF(M$2:M$12,#REF! &amp; "*") -$A35</f>
        <v>-1</v>
      </c>
      <c r="N35">
        <f>COUNTIF(N$2:N$12,#REF! &amp; "*") -$A35</f>
        <v>-1</v>
      </c>
      <c r="O35">
        <f>COUNTIF(O$2:O$12,#REF! &amp; "*") -$A35</f>
        <v>-1</v>
      </c>
      <c r="Q35" s="5" t="s">
        <v>1</v>
      </c>
      <c r="R35">
        <f>COUNTIF(R$2:R$12,#REF! &amp; "*") -$A35</f>
        <v>-1</v>
      </c>
      <c r="S35">
        <f>COUNTIF(S$2:S$12,#REF! &amp; "*") -$A35</f>
        <v>-1</v>
      </c>
      <c r="T35">
        <f>COUNTIF(T$2:T$12,#REF! &amp; "*") -$A35</f>
        <v>-1</v>
      </c>
      <c r="U35">
        <f>COUNTIF(U$2:U$12,#REF! &amp; "*") -$A35</f>
        <v>-1</v>
      </c>
      <c r="V35">
        <f>COUNTIF(V$2:V$12,#REF! &amp; "*") -$A35</f>
        <v>-1</v>
      </c>
      <c r="X35" s="5" t="s">
        <v>1</v>
      </c>
      <c r="Y35">
        <f>COUNTIF(Y$2:Y$12,#REF! &amp; "*") -$A35</f>
        <v>-1</v>
      </c>
      <c r="Z35">
        <f>COUNTIF(Z$2:Z$12,#REF! &amp; "*") -$A35</f>
        <v>-1</v>
      </c>
      <c r="AA35">
        <f>COUNTIF(AA$2:AA$12,#REF! &amp; "*") -$A35</f>
        <v>-1</v>
      </c>
      <c r="AB35">
        <f>COUNTIF(AB$2:AB$12,#REF! &amp; "*") -$A35</f>
        <v>-1</v>
      </c>
      <c r="AC35">
        <f>COUNTIF(AC$2:AC$12,#REF! &amp; "*") -$A35</f>
        <v>-1</v>
      </c>
      <c r="AE35" s="5" t="s">
        <v>1</v>
      </c>
      <c r="AF35">
        <f>COUNTIF(AF$2:AF$12,#REF! &amp; "*") -$A35</f>
        <v>-1</v>
      </c>
      <c r="AG35">
        <f>COUNTIF(AG$2:AG$12,#REF! &amp; "*") -$A35</f>
        <v>-1</v>
      </c>
      <c r="AH35">
        <f>COUNTIF(AH$2:AH$12,#REF! &amp; "*") -$A35</f>
        <v>-1</v>
      </c>
      <c r="AI35">
        <f>COUNTIF(AI$2:AI$12,#REF! &amp; "*") -$A35</f>
        <v>-1</v>
      </c>
      <c r="AJ35">
        <f>COUNTIF(AJ$2:AJ$12,#REF! &amp; "*") -$A35</f>
        <v>-1</v>
      </c>
      <c r="AL35" s="5" t="s">
        <v>1</v>
      </c>
      <c r="AM35">
        <f>COUNTIF(AM$2:AM$12,#REF! &amp; "*") -$A35</f>
        <v>-1</v>
      </c>
      <c r="AN35">
        <f>COUNTIF(AN$2:AN$12,#REF! &amp; "*") -$A35</f>
        <v>-1</v>
      </c>
      <c r="AO35">
        <f>COUNTIF(AO$2:AO$12,#REF! &amp; "*") -$A35</f>
        <v>-1</v>
      </c>
      <c r="AP35">
        <f>COUNTIF(AP$2:AP$12,#REF! &amp; "*") -$A35</f>
        <v>-1</v>
      </c>
      <c r="AQ35">
        <f>COUNTIF(AQ$2:AQ$12,#REF! &amp; "*") -$A35</f>
        <v>-1</v>
      </c>
      <c r="AS35" s="5" t="s">
        <v>1</v>
      </c>
      <c r="AT35">
        <f>COUNTIF(AT$2:AT$12,#REF! &amp; "*") -$A35</f>
        <v>-1</v>
      </c>
      <c r="AU35">
        <f>COUNTIF(AU$2:AU$12,#REF! &amp; "*") -$A35</f>
        <v>-1</v>
      </c>
      <c r="AV35">
        <f>COUNTIF(AV$2:AV$12,#REF! &amp; "*") -$A35</f>
        <v>-1</v>
      </c>
      <c r="AW35">
        <f>COUNTIF(AW$2:AW$12,#REF! &amp; "*") -$A35</f>
        <v>-1</v>
      </c>
      <c r="AX35">
        <f>COUNTIF(AX$2:AX$12,#REF! &amp; "*") -$A35</f>
        <v>-1</v>
      </c>
      <c r="AZ35" s="5" t="s">
        <v>1</v>
      </c>
      <c r="BA35">
        <f>COUNTIF(BA$2:BA$12,#REF! &amp; "*") -$A35</f>
        <v>-1</v>
      </c>
      <c r="BB35">
        <f>COUNTIF(BB$2:BB$12,#REF! &amp; "*") -$A35</f>
        <v>-1</v>
      </c>
      <c r="BC35">
        <f>COUNTIF(BC$2:BC$12,#REF! &amp; "*") -$A35</f>
        <v>-1</v>
      </c>
      <c r="BD35">
        <f>COUNTIF(BD$2:BD$12,#REF! &amp; "*") -$A35</f>
        <v>-1</v>
      </c>
      <c r="BE35">
        <f>COUNTIF(BE$2:BE$12,#REF! &amp; "*") -$A35</f>
        <v>-1</v>
      </c>
      <c r="BG35" s="5" t="s">
        <v>1</v>
      </c>
      <c r="BH35">
        <f>COUNTIF(BH$2:BH$12,#REF! &amp; "*") -$A35</f>
        <v>-1</v>
      </c>
    </row>
    <row r="36" spans="1:63" s="22" customFormat="1" x14ac:dyDescent="0.2">
      <c r="A36" s="21" t="s">
        <v>3</v>
      </c>
      <c r="D36" s="22" t="s">
        <v>21</v>
      </c>
      <c r="K36" s="22" t="s">
        <v>21</v>
      </c>
      <c r="R36" s="22" t="s">
        <v>21</v>
      </c>
      <c r="Y36" s="22" t="s">
        <v>21</v>
      </c>
      <c r="AF36" s="22" t="s">
        <v>21</v>
      </c>
      <c r="AM36" s="22" t="s">
        <v>21</v>
      </c>
      <c r="AT36" s="22" t="s">
        <v>21</v>
      </c>
      <c r="BA36" s="22" t="s">
        <v>21</v>
      </c>
    </row>
    <row r="37" spans="1:63" x14ac:dyDescent="0.2">
      <c r="A37" s="17" t="s">
        <v>8</v>
      </c>
      <c r="C37" s="5" t="s">
        <v>8</v>
      </c>
      <c r="D37" s="1">
        <f t="shared" ref="D37:H42" si="19">COUNTIF(D$2:D$12,$A37 &amp; " (call)")</f>
        <v>1</v>
      </c>
      <c r="E37" s="1">
        <f t="shared" si="19"/>
        <v>0</v>
      </c>
      <c r="F37" s="1">
        <f t="shared" si="19"/>
        <v>1</v>
      </c>
      <c r="G37" s="1">
        <f t="shared" si="19"/>
        <v>0</v>
      </c>
      <c r="H37" s="1">
        <f t="shared" si="19"/>
        <v>0</v>
      </c>
      <c r="J37" s="5" t="s">
        <v>8</v>
      </c>
      <c r="K37" s="1">
        <f t="shared" ref="K37:O42" si="20">COUNTIF(K$2:K$12,$A37 &amp; " (call)")</f>
        <v>0</v>
      </c>
      <c r="L37" s="1">
        <f t="shared" si="20"/>
        <v>1</v>
      </c>
      <c r="M37" s="1">
        <f t="shared" si="20"/>
        <v>0</v>
      </c>
      <c r="N37" s="1">
        <f t="shared" si="20"/>
        <v>0</v>
      </c>
      <c r="O37" s="1">
        <f t="shared" si="20"/>
        <v>0</v>
      </c>
      <c r="Q37" s="5" t="s">
        <v>8</v>
      </c>
      <c r="R37" s="1">
        <f t="shared" ref="R37:V42" si="21">COUNTIF(R$2:R$12,$A37 &amp; " (call)")</f>
        <v>1</v>
      </c>
      <c r="S37" s="1">
        <f t="shared" si="21"/>
        <v>0</v>
      </c>
      <c r="T37" s="1">
        <f t="shared" si="21"/>
        <v>0</v>
      </c>
      <c r="U37" s="1">
        <f t="shared" si="21"/>
        <v>0</v>
      </c>
      <c r="V37" s="1">
        <f t="shared" si="21"/>
        <v>1</v>
      </c>
      <c r="X37" s="5" t="s">
        <v>8</v>
      </c>
      <c r="Y37" s="1">
        <f t="shared" ref="Y37:AC42" si="22">COUNTIF(Y$2:Y$12,$A37 &amp; " (call)")</f>
        <v>0</v>
      </c>
      <c r="Z37" s="1">
        <f t="shared" si="22"/>
        <v>0</v>
      </c>
      <c r="AA37" s="1">
        <f t="shared" si="22"/>
        <v>0</v>
      </c>
      <c r="AB37" s="1">
        <f t="shared" si="22"/>
        <v>0</v>
      </c>
      <c r="AC37" s="1">
        <f t="shared" si="22"/>
        <v>0</v>
      </c>
      <c r="AE37" s="5" t="s">
        <v>8</v>
      </c>
      <c r="AF37" s="1">
        <f t="shared" ref="AF37:AJ42" si="23">COUNTIF(AF$2:AF$12,$A37 &amp; " (call)")</f>
        <v>0</v>
      </c>
      <c r="AG37" s="1">
        <f t="shared" si="23"/>
        <v>0</v>
      </c>
      <c r="AH37" s="1">
        <f t="shared" si="23"/>
        <v>1</v>
      </c>
      <c r="AI37" s="1">
        <f t="shared" si="23"/>
        <v>0</v>
      </c>
      <c r="AJ37" s="1">
        <f t="shared" si="23"/>
        <v>0</v>
      </c>
      <c r="AL37" s="5" t="s">
        <v>8</v>
      </c>
      <c r="AM37" s="1">
        <f t="shared" ref="AM37:AQ42" si="24">COUNTIF(AM$2:AM$12,$A37 &amp; " (call)")</f>
        <v>0</v>
      </c>
      <c r="AN37" s="1">
        <f t="shared" si="24"/>
        <v>0</v>
      </c>
      <c r="AO37" s="1">
        <f t="shared" si="24"/>
        <v>1</v>
      </c>
      <c r="AP37" s="1">
        <f t="shared" si="24"/>
        <v>0</v>
      </c>
      <c r="AQ37" s="1">
        <f t="shared" si="24"/>
        <v>1</v>
      </c>
      <c r="AS37" s="5" t="s">
        <v>8</v>
      </c>
      <c r="AT37" s="1">
        <f t="shared" ref="AT37:AX42" si="25">COUNTIF(AT$2:AT$12,$A37 &amp; " (call)")</f>
        <v>0</v>
      </c>
      <c r="AU37" s="1">
        <f t="shared" si="25"/>
        <v>1</v>
      </c>
      <c r="AV37" s="1">
        <f t="shared" si="25"/>
        <v>0</v>
      </c>
      <c r="AW37" s="1">
        <f t="shared" si="25"/>
        <v>1</v>
      </c>
      <c r="AX37" s="1">
        <f t="shared" si="25"/>
        <v>0</v>
      </c>
      <c r="AZ37" s="5" t="s">
        <v>8</v>
      </c>
      <c r="BA37" s="1">
        <f t="shared" ref="BA37:BE42" si="26">COUNTIF(BA$2:BA$12,$A37 &amp; " (call)")</f>
        <v>1</v>
      </c>
      <c r="BB37" s="1">
        <f t="shared" si="26"/>
        <v>0</v>
      </c>
      <c r="BC37" s="1">
        <f t="shared" si="26"/>
        <v>0</v>
      </c>
      <c r="BD37" s="1">
        <f t="shared" si="26"/>
        <v>0</v>
      </c>
      <c r="BE37" s="1">
        <f t="shared" si="26"/>
        <v>0</v>
      </c>
      <c r="BG37" s="5" t="s">
        <v>8</v>
      </c>
      <c r="BH37" s="1">
        <f t="shared" ref="BH37:BH42" si="27">COUNTIF(BH$2:BH$12,$A37 &amp; " (call)")</f>
        <v>0</v>
      </c>
      <c r="BJ37"/>
      <c r="BK37"/>
    </row>
    <row r="38" spans="1:63" x14ac:dyDescent="0.2">
      <c r="A38" s="17" t="s">
        <v>11</v>
      </c>
      <c r="C38" s="5" t="s">
        <v>11</v>
      </c>
      <c r="D38" s="1">
        <f t="shared" si="19"/>
        <v>0</v>
      </c>
      <c r="E38" s="1">
        <f t="shared" si="19"/>
        <v>1</v>
      </c>
      <c r="F38" s="1">
        <f t="shared" si="19"/>
        <v>0</v>
      </c>
      <c r="G38" s="1">
        <f t="shared" si="19"/>
        <v>0</v>
      </c>
      <c r="H38" s="1">
        <f t="shared" si="19"/>
        <v>0</v>
      </c>
      <c r="J38" s="5" t="s">
        <v>11</v>
      </c>
      <c r="K38" s="1">
        <f t="shared" si="20"/>
        <v>1</v>
      </c>
      <c r="L38" s="1">
        <f t="shared" si="20"/>
        <v>0</v>
      </c>
      <c r="M38" s="1">
        <f t="shared" si="20"/>
        <v>0</v>
      </c>
      <c r="N38" s="1">
        <f t="shared" si="20"/>
        <v>0</v>
      </c>
      <c r="O38" s="1">
        <f t="shared" si="20"/>
        <v>0</v>
      </c>
      <c r="Q38" s="5" t="s">
        <v>11</v>
      </c>
      <c r="R38" s="1">
        <f t="shared" si="21"/>
        <v>0</v>
      </c>
      <c r="S38" s="1">
        <f t="shared" si="21"/>
        <v>0</v>
      </c>
      <c r="T38" s="1">
        <f t="shared" si="21"/>
        <v>0</v>
      </c>
      <c r="U38" s="1">
        <f t="shared" si="21"/>
        <v>1</v>
      </c>
      <c r="V38" s="1">
        <f t="shared" si="21"/>
        <v>0</v>
      </c>
      <c r="X38" s="5" t="s">
        <v>11</v>
      </c>
      <c r="Y38" s="1">
        <f t="shared" si="22"/>
        <v>0</v>
      </c>
      <c r="Z38" s="1">
        <f t="shared" si="22"/>
        <v>1</v>
      </c>
      <c r="AA38" s="1">
        <f t="shared" si="22"/>
        <v>0</v>
      </c>
      <c r="AB38" s="1">
        <f t="shared" si="22"/>
        <v>0</v>
      </c>
      <c r="AC38" s="1">
        <f t="shared" si="22"/>
        <v>1</v>
      </c>
      <c r="AE38" s="5" t="s">
        <v>11</v>
      </c>
      <c r="AF38" s="1">
        <f t="shared" si="23"/>
        <v>1</v>
      </c>
      <c r="AG38" s="1">
        <f t="shared" si="23"/>
        <v>0</v>
      </c>
      <c r="AH38" s="1">
        <f t="shared" si="23"/>
        <v>0</v>
      </c>
      <c r="AI38" s="1">
        <f t="shared" si="23"/>
        <v>0</v>
      </c>
      <c r="AJ38" s="1">
        <f t="shared" si="23"/>
        <v>1</v>
      </c>
      <c r="AL38" s="5" t="s">
        <v>11</v>
      </c>
      <c r="AM38" s="1">
        <f t="shared" si="24"/>
        <v>0</v>
      </c>
      <c r="AN38" s="1">
        <f t="shared" si="24"/>
        <v>0</v>
      </c>
      <c r="AO38" s="1">
        <f t="shared" si="24"/>
        <v>0</v>
      </c>
      <c r="AP38" s="1">
        <f t="shared" si="24"/>
        <v>0</v>
      </c>
      <c r="AQ38" s="1">
        <f t="shared" si="24"/>
        <v>0</v>
      </c>
      <c r="AS38" s="5" t="s">
        <v>11</v>
      </c>
      <c r="AT38" s="1">
        <f t="shared" si="25"/>
        <v>0</v>
      </c>
      <c r="AU38" s="1">
        <f t="shared" si="25"/>
        <v>0</v>
      </c>
      <c r="AV38" s="1">
        <f t="shared" si="25"/>
        <v>1</v>
      </c>
      <c r="AW38" s="1">
        <f t="shared" si="25"/>
        <v>0</v>
      </c>
      <c r="AX38" s="1">
        <f t="shared" si="25"/>
        <v>0</v>
      </c>
      <c r="AZ38" s="5" t="s">
        <v>11</v>
      </c>
      <c r="BA38" s="1">
        <f t="shared" si="26"/>
        <v>0</v>
      </c>
      <c r="BB38" s="1">
        <f t="shared" si="26"/>
        <v>0</v>
      </c>
      <c r="BC38" s="1">
        <f t="shared" si="26"/>
        <v>1</v>
      </c>
      <c r="BD38" s="1">
        <f t="shared" si="26"/>
        <v>0</v>
      </c>
      <c r="BE38" s="1">
        <f t="shared" si="26"/>
        <v>0</v>
      </c>
      <c r="BG38" s="5" t="s">
        <v>11</v>
      </c>
      <c r="BH38" s="1">
        <f t="shared" si="27"/>
        <v>1</v>
      </c>
      <c r="BJ38"/>
      <c r="BK38"/>
    </row>
    <row r="39" spans="1:63" x14ac:dyDescent="0.2">
      <c r="A39" s="17" t="s">
        <v>10</v>
      </c>
      <c r="C39" s="5" t="s">
        <v>10</v>
      </c>
      <c r="D39" s="1">
        <f t="shared" si="19"/>
        <v>0</v>
      </c>
      <c r="E39" s="1">
        <f t="shared" si="19"/>
        <v>0</v>
      </c>
      <c r="F39" s="1">
        <f t="shared" si="19"/>
        <v>0</v>
      </c>
      <c r="G39" s="1">
        <f t="shared" si="19"/>
        <v>1</v>
      </c>
      <c r="H39" s="1">
        <f t="shared" si="19"/>
        <v>1</v>
      </c>
      <c r="J39" s="5" t="s">
        <v>10</v>
      </c>
      <c r="K39" s="1">
        <f t="shared" si="20"/>
        <v>0</v>
      </c>
      <c r="L39" s="1">
        <f t="shared" si="20"/>
        <v>0</v>
      </c>
      <c r="M39" s="1">
        <f t="shared" si="20"/>
        <v>1</v>
      </c>
      <c r="N39" s="1">
        <f t="shared" si="20"/>
        <v>0</v>
      </c>
      <c r="O39" s="1">
        <f t="shared" si="20"/>
        <v>1</v>
      </c>
      <c r="Q39" s="5" t="s">
        <v>10</v>
      </c>
      <c r="R39" s="1">
        <f t="shared" si="21"/>
        <v>0</v>
      </c>
      <c r="S39" s="1">
        <f t="shared" si="21"/>
        <v>1</v>
      </c>
      <c r="T39" s="1">
        <f t="shared" si="21"/>
        <v>0</v>
      </c>
      <c r="U39" s="1">
        <f t="shared" si="21"/>
        <v>0</v>
      </c>
      <c r="V39" s="1">
        <f t="shared" si="21"/>
        <v>0</v>
      </c>
      <c r="X39" s="5" t="s">
        <v>10</v>
      </c>
      <c r="Y39" s="1">
        <f t="shared" si="22"/>
        <v>0</v>
      </c>
      <c r="Z39" s="1">
        <f t="shared" si="22"/>
        <v>0</v>
      </c>
      <c r="AA39" s="1">
        <f t="shared" si="22"/>
        <v>0</v>
      </c>
      <c r="AB39" s="1">
        <f t="shared" si="22"/>
        <v>1</v>
      </c>
      <c r="AC39" s="1">
        <f t="shared" si="22"/>
        <v>0</v>
      </c>
      <c r="AE39" s="5" t="s">
        <v>10</v>
      </c>
      <c r="AF39" s="1">
        <f t="shared" si="23"/>
        <v>0</v>
      </c>
      <c r="AG39" s="1">
        <f t="shared" si="23"/>
        <v>1</v>
      </c>
      <c r="AH39" s="1">
        <f t="shared" si="23"/>
        <v>0</v>
      </c>
      <c r="AI39" s="1">
        <f t="shared" si="23"/>
        <v>0</v>
      </c>
      <c r="AJ39" s="1">
        <f t="shared" si="23"/>
        <v>0</v>
      </c>
      <c r="AL39" s="5" t="s">
        <v>10</v>
      </c>
      <c r="AM39" s="1">
        <f t="shared" si="24"/>
        <v>1</v>
      </c>
      <c r="AN39" s="1">
        <f t="shared" si="24"/>
        <v>0</v>
      </c>
      <c r="AO39" s="1">
        <f t="shared" si="24"/>
        <v>0</v>
      </c>
      <c r="AP39" s="1">
        <f t="shared" si="24"/>
        <v>1</v>
      </c>
      <c r="AQ39" s="1">
        <f t="shared" si="24"/>
        <v>0</v>
      </c>
      <c r="AS39" s="5" t="s">
        <v>10</v>
      </c>
      <c r="AT39" s="1">
        <f t="shared" si="25"/>
        <v>0</v>
      </c>
      <c r="AU39" s="1">
        <f t="shared" si="25"/>
        <v>0</v>
      </c>
      <c r="AV39" s="1">
        <f t="shared" si="25"/>
        <v>0</v>
      </c>
      <c r="AW39" s="1">
        <f t="shared" si="25"/>
        <v>0</v>
      </c>
      <c r="AX39" s="1">
        <f t="shared" si="25"/>
        <v>0</v>
      </c>
      <c r="AZ39" s="5" t="s">
        <v>10</v>
      </c>
      <c r="BA39" s="1">
        <f t="shared" si="26"/>
        <v>0</v>
      </c>
      <c r="BB39" s="1">
        <f t="shared" si="26"/>
        <v>1</v>
      </c>
      <c r="BC39" s="1">
        <f t="shared" si="26"/>
        <v>0</v>
      </c>
      <c r="BD39" s="1">
        <f t="shared" si="26"/>
        <v>0</v>
      </c>
      <c r="BE39" s="1">
        <f t="shared" si="26"/>
        <v>1</v>
      </c>
      <c r="BG39" s="5" t="s">
        <v>10</v>
      </c>
      <c r="BH39" s="1">
        <f t="shared" si="27"/>
        <v>0</v>
      </c>
      <c r="BJ39"/>
      <c r="BK39"/>
    </row>
    <row r="40" spans="1:63" x14ac:dyDescent="0.2">
      <c r="A40" s="17" t="s">
        <v>7</v>
      </c>
      <c r="C40" s="5" t="s">
        <v>7</v>
      </c>
      <c r="D40" s="1">
        <f t="shared" si="19"/>
        <v>0</v>
      </c>
      <c r="E40" s="1">
        <f t="shared" si="19"/>
        <v>0</v>
      </c>
      <c r="F40" s="1">
        <f t="shared" si="19"/>
        <v>0</v>
      </c>
      <c r="G40" s="1">
        <f t="shared" si="19"/>
        <v>0</v>
      </c>
      <c r="H40" s="1">
        <f t="shared" si="19"/>
        <v>0</v>
      </c>
      <c r="J40" s="5" t="s">
        <v>7</v>
      </c>
      <c r="K40" s="1">
        <f t="shared" si="20"/>
        <v>0</v>
      </c>
      <c r="L40" s="1">
        <f t="shared" si="20"/>
        <v>0</v>
      </c>
      <c r="M40" s="1">
        <f t="shared" si="20"/>
        <v>0</v>
      </c>
      <c r="N40" s="1">
        <f t="shared" si="20"/>
        <v>1</v>
      </c>
      <c r="O40" s="1">
        <f t="shared" si="20"/>
        <v>0</v>
      </c>
      <c r="Q40" s="5" t="s">
        <v>7</v>
      </c>
      <c r="R40" s="1">
        <f t="shared" si="21"/>
        <v>0</v>
      </c>
      <c r="S40" s="1">
        <f t="shared" si="21"/>
        <v>0</v>
      </c>
      <c r="T40" s="1">
        <f t="shared" si="21"/>
        <v>0</v>
      </c>
      <c r="U40" s="1">
        <f t="shared" si="21"/>
        <v>0</v>
      </c>
      <c r="V40" s="1">
        <f t="shared" si="21"/>
        <v>0</v>
      </c>
      <c r="X40" s="5" t="s">
        <v>7</v>
      </c>
      <c r="Y40" s="1">
        <f t="shared" si="22"/>
        <v>0</v>
      </c>
      <c r="Z40" s="1">
        <f t="shared" si="22"/>
        <v>0</v>
      </c>
      <c r="AA40" s="1">
        <f t="shared" si="22"/>
        <v>0</v>
      </c>
      <c r="AB40" s="1">
        <f t="shared" si="22"/>
        <v>0</v>
      </c>
      <c r="AC40" s="1">
        <f t="shared" si="22"/>
        <v>0</v>
      </c>
      <c r="AE40" s="5" t="s">
        <v>7</v>
      </c>
      <c r="AF40" s="1">
        <f t="shared" si="23"/>
        <v>0</v>
      </c>
      <c r="AG40" s="1">
        <f t="shared" si="23"/>
        <v>0</v>
      </c>
      <c r="AH40" s="1">
        <f t="shared" si="23"/>
        <v>0</v>
      </c>
      <c r="AI40" s="1">
        <f t="shared" si="23"/>
        <v>0</v>
      </c>
      <c r="AJ40" s="1">
        <f t="shared" si="23"/>
        <v>0</v>
      </c>
      <c r="AL40" s="5" t="s">
        <v>7</v>
      </c>
      <c r="AM40" s="1">
        <f t="shared" si="24"/>
        <v>0</v>
      </c>
      <c r="AN40" s="1">
        <f t="shared" si="24"/>
        <v>0</v>
      </c>
      <c r="AO40" s="1">
        <f t="shared" si="24"/>
        <v>0</v>
      </c>
      <c r="AP40" s="1">
        <f t="shared" si="24"/>
        <v>0</v>
      </c>
      <c r="AQ40" s="1">
        <f t="shared" si="24"/>
        <v>0</v>
      </c>
      <c r="AS40" s="5" t="s">
        <v>7</v>
      </c>
      <c r="AT40" s="1">
        <f t="shared" si="25"/>
        <v>0</v>
      </c>
      <c r="AU40" s="1">
        <f t="shared" si="25"/>
        <v>0</v>
      </c>
      <c r="AV40" s="1">
        <f t="shared" si="25"/>
        <v>0</v>
      </c>
      <c r="AW40" s="1">
        <f t="shared" si="25"/>
        <v>0</v>
      </c>
      <c r="AX40" s="1">
        <f t="shared" si="25"/>
        <v>1</v>
      </c>
      <c r="AZ40" s="5" t="s">
        <v>7</v>
      </c>
      <c r="BA40" s="1">
        <f t="shared" si="26"/>
        <v>0</v>
      </c>
      <c r="BB40" s="1">
        <f t="shared" si="26"/>
        <v>0</v>
      </c>
      <c r="BC40" s="1">
        <f t="shared" si="26"/>
        <v>0</v>
      </c>
      <c r="BD40" s="1">
        <f t="shared" si="26"/>
        <v>0</v>
      </c>
      <c r="BE40" s="1">
        <f t="shared" si="26"/>
        <v>0</v>
      </c>
      <c r="BG40" s="5" t="s">
        <v>7</v>
      </c>
      <c r="BH40" s="1">
        <f t="shared" si="27"/>
        <v>0</v>
      </c>
      <c r="BJ40"/>
      <c r="BK40"/>
    </row>
    <row r="41" spans="1:63" x14ac:dyDescent="0.2">
      <c r="A41" s="17" t="s">
        <v>12</v>
      </c>
      <c r="C41" s="5" t="s">
        <v>12</v>
      </c>
      <c r="D41" s="1">
        <f t="shared" si="19"/>
        <v>0</v>
      </c>
      <c r="E41" s="1">
        <f t="shared" si="19"/>
        <v>0</v>
      </c>
      <c r="F41" s="1">
        <f t="shared" si="19"/>
        <v>0</v>
      </c>
      <c r="G41" s="1">
        <f t="shared" si="19"/>
        <v>0</v>
      </c>
      <c r="H41" s="1">
        <f t="shared" si="19"/>
        <v>0</v>
      </c>
      <c r="J41" s="5" t="s">
        <v>12</v>
      </c>
      <c r="K41" s="1">
        <f t="shared" si="20"/>
        <v>0</v>
      </c>
      <c r="L41" s="1">
        <f t="shared" si="20"/>
        <v>0</v>
      </c>
      <c r="M41" s="1">
        <f t="shared" si="20"/>
        <v>0</v>
      </c>
      <c r="N41" s="1">
        <f t="shared" si="20"/>
        <v>0</v>
      </c>
      <c r="O41" s="1">
        <f t="shared" si="20"/>
        <v>1</v>
      </c>
      <c r="Q41" s="5" t="s">
        <v>12</v>
      </c>
      <c r="R41" s="1">
        <f t="shared" si="21"/>
        <v>0</v>
      </c>
      <c r="S41" s="1">
        <f t="shared" si="21"/>
        <v>0</v>
      </c>
      <c r="T41" s="1">
        <f t="shared" si="21"/>
        <v>1</v>
      </c>
      <c r="U41" s="1">
        <f t="shared" si="21"/>
        <v>0</v>
      </c>
      <c r="V41" s="1">
        <f t="shared" si="21"/>
        <v>0</v>
      </c>
      <c r="X41" s="5" t="s">
        <v>12</v>
      </c>
      <c r="Y41" s="1">
        <f t="shared" si="22"/>
        <v>1</v>
      </c>
      <c r="Z41" s="1">
        <f t="shared" si="22"/>
        <v>0</v>
      </c>
      <c r="AA41" s="1">
        <f t="shared" si="22"/>
        <v>0</v>
      </c>
      <c r="AB41" s="1">
        <f t="shared" si="22"/>
        <v>0</v>
      </c>
      <c r="AC41" s="1">
        <f t="shared" si="22"/>
        <v>0</v>
      </c>
      <c r="AE41" s="5" t="s">
        <v>12</v>
      </c>
      <c r="AF41" s="1">
        <f t="shared" si="23"/>
        <v>0</v>
      </c>
      <c r="AG41" s="1">
        <f t="shared" si="23"/>
        <v>0</v>
      </c>
      <c r="AH41" s="1">
        <f t="shared" si="23"/>
        <v>0</v>
      </c>
      <c r="AI41" s="1">
        <f t="shared" si="23"/>
        <v>1</v>
      </c>
      <c r="AJ41" s="1">
        <f t="shared" si="23"/>
        <v>0</v>
      </c>
      <c r="AL41" s="5" t="s">
        <v>12</v>
      </c>
      <c r="AM41" s="1">
        <f t="shared" si="24"/>
        <v>0</v>
      </c>
      <c r="AN41" s="1">
        <f t="shared" si="24"/>
        <v>1</v>
      </c>
      <c r="AO41" s="1">
        <f t="shared" si="24"/>
        <v>0</v>
      </c>
      <c r="AP41" s="1">
        <f t="shared" si="24"/>
        <v>0</v>
      </c>
      <c r="AQ41" s="1">
        <f t="shared" si="24"/>
        <v>0</v>
      </c>
      <c r="AS41" s="5" t="s">
        <v>12</v>
      </c>
      <c r="AT41" s="1">
        <f t="shared" si="25"/>
        <v>0</v>
      </c>
      <c r="AU41" s="1">
        <f t="shared" si="25"/>
        <v>0</v>
      </c>
      <c r="AV41" s="1">
        <f t="shared" si="25"/>
        <v>0</v>
      </c>
      <c r="AW41" s="1">
        <f t="shared" si="25"/>
        <v>0</v>
      </c>
      <c r="AX41" s="1">
        <f t="shared" si="25"/>
        <v>0</v>
      </c>
      <c r="AZ41" s="5" t="s">
        <v>12</v>
      </c>
      <c r="BA41" s="1">
        <f t="shared" si="26"/>
        <v>0</v>
      </c>
      <c r="BB41" s="1">
        <f t="shared" si="26"/>
        <v>0</v>
      </c>
      <c r="BC41" s="1">
        <f t="shared" si="26"/>
        <v>0</v>
      </c>
      <c r="BD41" s="1">
        <f t="shared" si="26"/>
        <v>1</v>
      </c>
      <c r="BE41" s="1">
        <f t="shared" si="26"/>
        <v>0</v>
      </c>
      <c r="BG41" s="5" t="s">
        <v>12</v>
      </c>
      <c r="BH41" s="1">
        <f t="shared" si="27"/>
        <v>0</v>
      </c>
      <c r="BJ41"/>
      <c r="BK41"/>
    </row>
    <row r="42" spans="1:63" x14ac:dyDescent="0.2">
      <c r="A42" s="17" t="s">
        <v>9</v>
      </c>
      <c r="C42" s="5" t="s">
        <v>9</v>
      </c>
      <c r="D42" s="1">
        <f t="shared" si="19"/>
        <v>0</v>
      </c>
      <c r="E42" s="1">
        <f t="shared" si="19"/>
        <v>0</v>
      </c>
      <c r="F42" s="1">
        <f t="shared" si="19"/>
        <v>0</v>
      </c>
      <c r="G42" s="1">
        <f t="shared" si="19"/>
        <v>0</v>
      </c>
      <c r="H42" s="1">
        <f t="shared" si="19"/>
        <v>1</v>
      </c>
      <c r="J42" s="5" t="s">
        <v>9</v>
      </c>
      <c r="K42" s="1">
        <f t="shared" si="20"/>
        <v>0</v>
      </c>
      <c r="L42" s="1">
        <f t="shared" si="20"/>
        <v>0</v>
      </c>
      <c r="M42" s="1">
        <f t="shared" si="20"/>
        <v>0</v>
      </c>
      <c r="N42" s="1">
        <f t="shared" si="20"/>
        <v>0</v>
      </c>
      <c r="O42" s="1">
        <f t="shared" si="20"/>
        <v>0</v>
      </c>
      <c r="Q42" s="5" t="s">
        <v>9</v>
      </c>
      <c r="R42" s="1">
        <f t="shared" si="21"/>
        <v>0</v>
      </c>
      <c r="S42" s="1">
        <f t="shared" si="21"/>
        <v>0</v>
      </c>
      <c r="T42" s="1">
        <f t="shared" si="21"/>
        <v>0</v>
      </c>
      <c r="U42" s="1">
        <f t="shared" si="21"/>
        <v>0</v>
      </c>
      <c r="V42" s="1">
        <f t="shared" si="21"/>
        <v>0</v>
      </c>
      <c r="X42" s="5" t="s">
        <v>9</v>
      </c>
      <c r="Y42" s="1">
        <f t="shared" si="22"/>
        <v>0</v>
      </c>
      <c r="Z42" s="1">
        <f t="shared" si="22"/>
        <v>0</v>
      </c>
      <c r="AA42" s="1">
        <f t="shared" si="22"/>
        <v>1</v>
      </c>
      <c r="AB42" s="1">
        <f t="shared" si="22"/>
        <v>0</v>
      </c>
      <c r="AC42" s="1">
        <f t="shared" si="22"/>
        <v>0</v>
      </c>
      <c r="AE42" s="5" t="s">
        <v>9</v>
      </c>
      <c r="AF42" s="1">
        <f t="shared" si="23"/>
        <v>0</v>
      </c>
      <c r="AG42" s="1">
        <f t="shared" si="23"/>
        <v>0</v>
      </c>
      <c r="AH42" s="1">
        <f t="shared" si="23"/>
        <v>0</v>
      </c>
      <c r="AI42" s="1">
        <f t="shared" si="23"/>
        <v>0</v>
      </c>
      <c r="AJ42" s="1">
        <f t="shared" si="23"/>
        <v>0</v>
      </c>
      <c r="AL42" s="5" t="s">
        <v>9</v>
      </c>
      <c r="AM42" s="1">
        <f t="shared" si="24"/>
        <v>0</v>
      </c>
      <c r="AN42" s="1">
        <f t="shared" si="24"/>
        <v>0</v>
      </c>
      <c r="AO42" s="1">
        <f t="shared" si="24"/>
        <v>0</v>
      </c>
      <c r="AP42" s="1">
        <f t="shared" si="24"/>
        <v>0</v>
      </c>
      <c r="AQ42" s="1">
        <f t="shared" si="24"/>
        <v>0</v>
      </c>
      <c r="AS42" s="5" t="s">
        <v>9</v>
      </c>
      <c r="AT42" s="1">
        <f t="shared" si="25"/>
        <v>1</v>
      </c>
      <c r="AU42" s="1">
        <f t="shared" si="25"/>
        <v>0</v>
      </c>
      <c r="AV42" s="1">
        <f t="shared" si="25"/>
        <v>0</v>
      </c>
      <c r="AW42" s="1">
        <f t="shared" si="25"/>
        <v>0</v>
      </c>
      <c r="AX42" s="1">
        <f t="shared" si="25"/>
        <v>0</v>
      </c>
      <c r="AZ42" s="5" t="s">
        <v>9</v>
      </c>
      <c r="BA42" s="1">
        <f t="shared" si="26"/>
        <v>0</v>
      </c>
      <c r="BB42" s="1">
        <f t="shared" si="26"/>
        <v>0</v>
      </c>
      <c r="BC42" s="1">
        <f t="shared" si="26"/>
        <v>0</v>
      </c>
      <c r="BD42" s="1">
        <f t="shared" si="26"/>
        <v>0</v>
      </c>
      <c r="BE42" s="1">
        <f t="shared" si="26"/>
        <v>1</v>
      </c>
      <c r="BG42" s="5" t="s">
        <v>9</v>
      </c>
      <c r="BH42" s="1">
        <f t="shared" si="27"/>
        <v>0</v>
      </c>
      <c r="BJ42"/>
      <c r="BK42"/>
    </row>
  </sheetData>
  <conditionalFormatting sqref="A19:A25">
    <cfRule type="containsText" dxfId="1722" priority="1359" operator="containsText" text="9ab">
      <formula>NOT(ISERROR(SEARCH("9ab",A19)))</formula>
    </cfRule>
    <cfRule type="cellIs" dxfId="1721" priority="1360" stopIfTrue="1" operator="equal">
      <formula>"leave"</formula>
    </cfRule>
    <cfRule type="containsText" dxfId="1720" priority="1361" operator="containsText" text="ds">
      <formula>NOT(ISERROR(SEARCH("ds",A19)))</formula>
    </cfRule>
    <cfRule type="containsText" dxfId="1719" priority="1362" operator="containsText" text="subobs">
      <formula>NOT(ISERROR(SEARCH("subobs",A19)))</formula>
    </cfRule>
    <cfRule type="containsText" dxfId="1718" priority="1363" operator="containsText" text="Call">
      <formula>NOT(ISERROR(SEARCH("Call",A19)))</formula>
    </cfRule>
    <cfRule type="containsText" dxfId="1717" priority="1365" operator="containsText" text="9ab">
      <formula>NOT(ISERROR(SEARCH("9ab",A19)))</formula>
    </cfRule>
    <cfRule type="cellIs" dxfId="1716" priority="1366" stopIfTrue="1" operator="equal">
      <formula>"leave"</formula>
    </cfRule>
    <cfRule type="containsText" dxfId="1715" priority="1367" operator="containsText" text="ds">
      <formula>NOT(ISERROR(SEARCH("ds",A19)))</formula>
    </cfRule>
    <cfRule type="containsText" dxfId="1714" priority="1368" operator="containsText" text="subobs">
      <formula>NOT(ISERROR(SEARCH("subobs",A19)))</formula>
    </cfRule>
    <cfRule type="containsText" dxfId="1713" priority="1369" stopIfTrue="1" operator="containsText" text="(Call)">
      <formula>NOT(ISERROR(SEARCH("(Call)",A19)))</formula>
    </cfRule>
    <cfRule type="containsText" dxfId="1712" priority="1371" operator="containsText" text="9ab">
      <formula>NOT(ISERROR(SEARCH("9ab",A19)))</formula>
    </cfRule>
    <cfRule type="cellIs" dxfId="1711" priority="1372" stopIfTrue="1" operator="equal">
      <formula>"leave"</formula>
    </cfRule>
    <cfRule type="containsText" dxfId="1710" priority="1373" operator="containsText" text="ds">
      <formula>NOT(ISERROR(SEARCH("ds",A19)))</formula>
    </cfRule>
    <cfRule type="containsText" dxfId="1709" priority="1374" operator="containsText" text="subobs">
      <formula>NOT(ISERROR(SEARCH("subobs",A19)))</formula>
    </cfRule>
    <cfRule type="containsText" dxfId="1708" priority="1375" operator="containsText" text="Call">
      <formula>NOT(ISERROR(SEARCH("Call",A19)))</formula>
    </cfRule>
    <cfRule type="cellIs" dxfId="1707" priority="1377" operator="equal">
      <formula>0</formula>
    </cfRule>
    <cfRule type="containsText" dxfId="1706" priority="1378" operator="containsText" text="9ab">
      <formula>NOT(ISERROR(SEARCH("9ab",A19)))</formula>
    </cfRule>
    <cfRule type="cellIs" dxfId="1705" priority="1379" stopIfTrue="1" operator="equal">
      <formula>"leave"</formula>
    </cfRule>
    <cfRule type="containsText" dxfId="1704" priority="1380" operator="containsText" text="ds">
      <formula>NOT(ISERROR(SEARCH("ds",A19)))</formula>
    </cfRule>
    <cfRule type="containsText" dxfId="1703" priority="1381" operator="containsText" text="subobs">
      <formula>NOT(ISERROR(SEARCH("subobs",A19)))</formula>
    </cfRule>
    <cfRule type="containsText" dxfId="1702" priority="1382" operator="containsText" text="Call">
      <formula>NOT(ISERROR(SEARCH("Call",A19)))</formula>
    </cfRule>
  </conditionalFormatting>
  <conditionalFormatting sqref="A19:A25">
    <cfRule type="containsText" dxfId="1701" priority="1929" operator="containsText" text="9ab">
      <formula>NOT(ISERROR(SEARCH("9ab",A19)))</formula>
    </cfRule>
    <cfRule type="cellIs" dxfId="1700" priority="1930" stopIfTrue="1" operator="equal">
      <formula>"leave"</formula>
    </cfRule>
    <cfRule type="containsText" dxfId="1699" priority="1931" operator="containsText" text="ds">
      <formula>NOT(ISERROR(SEARCH("ds",A19)))</formula>
    </cfRule>
    <cfRule type="containsText" dxfId="1698" priority="1932" operator="containsText" text="subobs">
      <formula>NOT(ISERROR(SEARCH("subobs",A19)))</formula>
    </cfRule>
    <cfRule type="containsText" dxfId="1697" priority="1933" operator="containsText" text="Call">
      <formula>NOT(ISERROR(SEARCH("Call",A19)))</formula>
    </cfRule>
  </conditionalFormatting>
  <conditionalFormatting sqref="BJ2:BK17 C1:BJ16 A1:A16 C26:BL26 A27:BJ27 A28:BL35 A19:BL25 A17:BJ18">
    <cfRule type="containsText" dxfId="1696" priority="1358" operator="containsText" text="(Call)">
      <formula>NOT(ISERROR(SEARCH("(Call)",A1)))</formula>
    </cfRule>
    <cfRule type="cellIs" dxfId="1695" priority="1902" operator="equal">
      <formula>0</formula>
    </cfRule>
    <cfRule type="containsText" dxfId="1694" priority="1954" stopIfTrue="1" operator="containsText" text="9ab">
      <formula>NOT(ISERROR(SEARCH("9ab",A1)))</formula>
    </cfRule>
    <cfRule type="containsText" dxfId="1693" priority="1956" stopIfTrue="1" operator="containsText" text="ds">
      <formula>NOT(ISERROR(SEARCH("ds",A1)))</formula>
    </cfRule>
    <cfRule type="containsText" dxfId="1692" priority="1957" stopIfTrue="1" operator="containsText" text="subobs">
      <formula>NOT(ISERROR(SEARCH("subobs",A1)))</formula>
    </cfRule>
  </conditionalFormatting>
  <conditionalFormatting sqref="BL19:BL26 BL28:BL35 C1:BK16 A1:A16 C26:BK26 A36:BL42 A43:BK146 A27:BK35 A17:BK25">
    <cfRule type="cellIs" dxfId="1691" priority="1955" stopIfTrue="1" operator="equal">
      <formula>"leave"</formula>
    </cfRule>
  </conditionalFormatting>
  <conditionalFormatting sqref="BJ2:BK17 C1:BJ16 A1:A16 C26:BL26 A27:BJ27 A28:BL35 A19:BL25 A17:BJ18">
    <cfRule type="containsText" dxfId="1690" priority="1921" stopIfTrue="1" operator="containsText" text="go">
      <formula>NOT(ISERROR(SEARCH("go",A1)))</formula>
    </cfRule>
    <cfRule type="cellIs" dxfId="1689" priority="1953" operator="equal">
      <formula>"ps_cover"</formula>
    </cfRule>
  </conditionalFormatting>
  <conditionalFormatting sqref="BJ2:BK17 C1:BJ16 A1:A16 C26:BL26 A28:BL35 A27:BJ27 A19:BL25 A17:BJ18">
    <cfRule type="containsText" dxfId="1688" priority="1901" operator="containsText" text="b1">
      <formula>NOT(ISERROR(SEARCH("b1",A1)))</formula>
    </cfRule>
  </conditionalFormatting>
  <conditionalFormatting sqref="C28:AC35">
    <cfRule type="cellIs" dxfId="1687" priority="1665" operator="equal">
      <formula>0</formula>
    </cfRule>
  </conditionalFormatting>
  <conditionalFormatting sqref="C28:C33">
    <cfRule type="containsText" dxfId="1686" priority="1635" operator="containsText" text="9ab">
      <formula>NOT(ISERROR(SEARCH("9ab",C28)))</formula>
    </cfRule>
    <cfRule type="cellIs" dxfId="1685" priority="1636" stopIfTrue="1" operator="equal">
      <formula>"leave"</formula>
    </cfRule>
    <cfRule type="containsText" dxfId="1684" priority="1637" operator="containsText" text="ds">
      <formula>NOT(ISERROR(SEARCH("ds",C28)))</formula>
    </cfRule>
    <cfRule type="containsText" dxfId="1683" priority="1638" operator="containsText" text="subobs">
      <formula>NOT(ISERROR(SEARCH("subobs",C28)))</formula>
    </cfRule>
    <cfRule type="containsText" dxfId="1682" priority="1639" operator="containsText" text="Call">
      <formula>NOT(ISERROR(SEARCH("Call",C28)))</formula>
    </cfRule>
    <cfRule type="containsText" dxfId="1681" priority="1653" operator="containsText" text="9ab">
      <formula>NOT(ISERROR(SEARCH("9ab",C28)))</formula>
    </cfRule>
    <cfRule type="cellIs" dxfId="1680" priority="1654" stopIfTrue="1" operator="equal">
      <formula>"leave"</formula>
    </cfRule>
    <cfRule type="containsText" dxfId="1679" priority="1655" operator="containsText" text="ds">
      <formula>NOT(ISERROR(SEARCH("ds",C28)))</formula>
    </cfRule>
    <cfRule type="containsText" dxfId="1678" priority="1656" operator="containsText" text="subobs">
      <formula>NOT(ISERROR(SEARCH("subobs",C28)))</formula>
    </cfRule>
    <cfRule type="containsText" dxfId="1677" priority="1657" operator="containsText" text="Call">
      <formula>NOT(ISERROR(SEARCH("Call",C28)))</formula>
    </cfRule>
  </conditionalFormatting>
  <conditionalFormatting sqref="C28:C35">
    <cfRule type="containsText" dxfId="1676" priority="1641" operator="containsText" text="9ab">
      <formula>NOT(ISERROR(SEARCH("9ab",C28)))</formula>
    </cfRule>
    <cfRule type="cellIs" dxfId="1675" priority="1642" stopIfTrue="1" operator="equal">
      <formula>"leave"</formula>
    </cfRule>
    <cfRule type="containsText" dxfId="1674" priority="1643" operator="containsText" text="ds">
      <formula>NOT(ISERROR(SEARCH("ds",C28)))</formula>
    </cfRule>
    <cfRule type="containsText" dxfId="1673" priority="1644" operator="containsText" text="subobs">
      <formula>NOT(ISERROR(SEARCH("subobs",C28)))</formula>
    </cfRule>
    <cfRule type="containsText" dxfId="1672" priority="1645" stopIfTrue="1" operator="containsText" text="(Call)">
      <formula>NOT(ISERROR(SEARCH("(Call)",C28)))</formula>
    </cfRule>
  </conditionalFormatting>
  <conditionalFormatting sqref="C37:C42">
    <cfRule type="containsText" dxfId="1671" priority="1242" operator="containsText" text="9ab">
      <formula>NOT(ISERROR(SEARCH("9ab",C37)))</formula>
    </cfRule>
    <cfRule type="cellIs" dxfId="1670" priority="1243" stopIfTrue="1" operator="equal">
      <formula>"leave"</formula>
    </cfRule>
    <cfRule type="containsText" dxfId="1669" priority="1244" operator="containsText" text="ds">
      <formula>NOT(ISERROR(SEARCH("ds",C37)))</formula>
    </cfRule>
    <cfRule type="containsText" dxfId="1668" priority="1245" operator="containsText" text="subobs">
      <formula>NOT(ISERROR(SEARCH("subobs",C37)))</formula>
    </cfRule>
    <cfRule type="containsText" dxfId="1667" priority="1246" operator="containsText" text="Call">
      <formula>NOT(ISERROR(SEARCH("Call",C37)))</formula>
    </cfRule>
    <cfRule type="containsText" dxfId="1666" priority="1248" operator="containsText" text="9ab">
      <formula>NOT(ISERROR(SEARCH("9ab",C37)))</formula>
    </cfRule>
    <cfRule type="cellIs" dxfId="1665" priority="1249" stopIfTrue="1" operator="equal">
      <formula>"leave"</formula>
    </cfRule>
    <cfRule type="containsText" dxfId="1664" priority="1250" operator="containsText" text="ds">
      <formula>NOT(ISERROR(SEARCH("ds",C37)))</formula>
    </cfRule>
    <cfRule type="containsText" dxfId="1663" priority="1251" operator="containsText" text="subobs">
      <formula>NOT(ISERROR(SEARCH("subobs",C37)))</formula>
    </cfRule>
    <cfRule type="containsText" dxfId="1662" priority="1252" stopIfTrue="1" operator="containsText" text="(Call)">
      <formula>NOT(ISERROR(SEARCH("(Call)",C37)))</formula>
    </cfRule>
    <cfRule type="containsText" dxfId="1661" priority="1254" operator="containsText" text="9ab">
      <formula>NOT(ISERROR(SEARCH("9ab",C37)))</formula>
    </cfRule>
    <cfRule type="cellIs" dxfId="1660" priority="1255" stopIfTrue="1" operator="equal">
      <formula>"leave"</formula>
    </cfRule>
    <cfRule type="containsText" dxfId="1659" priority="1256" operator="containsText" text="ds">
      <formula>NOT(ISERROR(SEARCH("ds",C37)))</formula>
    </cfRule>
    <cfRule type="containsText" dxfId="1658" priority="1257" operator="containsText" text="subobs">
      <formula>NOT(ISERROR(SEARCH("subobs",C37)))</formula>
    </cfRule>
    <cfRule type="containsText" dxfId="1657" priority="1258" operator="containsText" text="Call">
      <formula>NOT(ISERROR(SEARCH("Call",C37)))</formula>
    </cfRule>
    <cfRule type="containsText" dxfId="1656" priority="1260" operator="containsText" text="9ab">
      <formula>NOT(ISERROR(SEARCH("9ab",C37)))</formula>
    </cfRule>
    <cfRule type="cellIs" dxfId="1655" priority="1261" stopIfTrue="1" operator="equal">
      <formula>"leave"</formula>
    </cfRule>
    <cfRule type="containsText" dxfId="1654" priority="1262" operator="containsText" text="ds">
      <formula>NOT(ISERROR(SEARCH("ds",C37)))</formula>
    </cfRule>
    <cfRule type="containsText" dxfId="1653" priority="1263" operator="containsText" text="subobs">
      <formula>NOT(ISERROR(SEARCH("subobs",C37)))</formula>
    </cfRule>
    <cfRule type="containsText" dxfId="1652" priority="1264" operator="containsText" text="Call">
      <formula>NOT(ISERROR(SEARCH("Call",C37)))</formula>
    </cfRule>
    <cfRule type="containsText" dxfId="1651" priority="1266" operator="containsText" text="9ab">
      <formula>NOT(ISERROR(SEARCH("9ab",C37)))</formula>
    </cfRule>
    <cfRule type="cellIs" dxfId="1650" priority="1267" stopIfTrue="1" operator="equal">
      <formula>"leave"</formula>
    </cfRule>
    <cfRule type="containsText" dxfId="1649" priority="1268" operator="containsText" text="ds">
      <formula>NOT(ISERROR(SEARCH("ds",C37)))</formula>
    </cfRule>
    <cfRule type="containsText" dxfId="1648" priority="1269" operator="containsText" text="subobs">
      <formula>NOT(ISERROR(SEARCH("subobs",C37)))</formula>
    </cfRule>
    <cfRule type="containsText" dxfId="1647" priority="1270" operator="containsText" text="Call">
      <formula>NOT(ISERROR(SEARCH("Call",C37)))</formula>
    </cfRule>
    <cfRule type="containsText" dxfId="1646" priority="1274" operator="containsText" text="9ab">
      <formula>NOT(ISERROR(SEARCH("9ab",C37)))</formula>
    </cfRule>
    <cfRule type="cellIs" dxfId="1645" priority="1275" stopIfTrue="1" operator="equal">
      <formula>"leave"</formula>
    </cfRule>
    <cfRule type="containsText" dxfId="1644" priority="1276" operator="containsText" text="ds">
      <formula>NOT(ISERROR(SEARCH("ds",C37)))</formula>
    </cfRule>
    <cfRule type="containsText" dxfId="1643" priority="1277" operator="containsText" text="subobs">
      <formula>NOT(ISERROR(SEARCH("subobs",C37)))</formula>
    </cfRule>
    <cfRule type="containsText" dxfId="1642" priority="1278" operator="containsText" text="Call">
      <formula>NOT(ISERROR(SEARCH("Call",C37)))</formula>
    </cfRule>
    <cfRule type="containsText" dxfId="1641" priority="1281" operator="containsText" text="9ab">
      <formula>NOT(ISERROR(SEARCH("9ab",C37)))</formula>
    </cfRule>
    <cfRule type="cellIs" dxfId="1640" priority="1282" stopIfTrue="1" operator="equal">
      <formula>"leave"</formula>
    </cfRule>
    <cfRule type="containsText" dxfId="1639" priority="1283" operator="containsText" text="ds">
      <formula>NOT(ISERROR(SEARCH("ds",C37)))</formula>
    </cfRule>
    <cfRule type="containsText" dxfId="1638" priority="1284" operator="containsText" text="subobs">
      <formula>NOT(ISERROR(SEARCH("subobs",C37)))</formula>
    </cfRule>
    <cfRule type="containsText" dxfId="1637" priority="1285" stopIfTrue="1" operator="containsText" text="(Call)">
      <formula>NOT(ISERROR(SEARCH("(Call)",C37)))</formula>
    </cfRule>
  </conditionalFormatting>
  <conditionalFormatting sqref="C36:D42 D37:H42">
    <cfRule type="containsText" dxfId="1636" priority="1272" operator="containsText" text="b1">
      <formula>NOT(ISERROR(SEARCH("b1",C36)))</formula>
    </cfRule>
    <cfRule type="cellIs" dxfId="1635" priority="1273" operator="equal">
      <formula>0</formula>
    </cfRule>
    <cfRule type="containsText" dxfId="1634" priority="1280" stopIfTrue="1" operator="containsText" text="go">
      <formula>NOT(ISERROR(SEARCH("go",C36)))</formula>
    </cfRule>
    <cfRule type="cellIs" dxfId="1633" priority="1287" operator="equal">
      <formula>"ps_cover"</formula>
    </cfRule>
    <cfRule type="containsText" dxfId="1632" priority="1288" stopIfTrue="1" operator="containsText" text="9ab">
      <formula>NOT(ISERROR(SEARCH("9ab",C36)))</formula>
    </cfRule>
    <cfRule type="containsText" dxfId="1631" priority="1289" stopIfTrue="1" operator="containsText" text="ds">
      <formula>NOT(ISERROR(SEARCH("ds",C36)))</formula>
    </cfRule>
    <cfRule type="containsText" dxfId="1630" priority="1290" stopIfTrue="1" operator="containsText" text="subobs">
      <formula>NOT(ISERROR(SEARCH("subobs",C36)))</formula>
    </cfRule>
  </conditionalFormatting>
  <conditionalFormatting sqref="C36:H42">
    <cfRule type="containsText" dxfId="1629" priority="1225" operator="containsText" text="(Call)">
      <formula>NOT(ISERROR(SEARCH("(Call)",C36)))</formula>
    </cfRule>
  </conditionalFormatting>
  <conditionalFormatting sqref="E36:H42">
    <cfRule type="containsText" dxfId="1628" priority="1226" operator="containsText" text="b1">
      <formula>NOT(ISERROR(SEARCH("b1",E36)))</formula>
    </cfRule>
    <cfRule type="cellIs" dxfId="1627" priority="1227" operator="equal">
      <formula>0</formula>
    </cfRule>
    <cfRule type="containsText" dxfId="1626" priority="1228" stopIfTrue="1" operator="containsText" text="go">
      <formula>NOT(ISERROR(SEARCH("go",E36)))</formula>
    </cfRule>
    <cfRule type="cellIs" dxfId="1625" priority="1229" operator="equal">
      <formula>"ps_cover"</formula>
    </cfRule>
    <cfRule type="containsText" dxfId="1624" priority="1230" stopIfTrue="1" operator="containsText" text="9ab">
      <formula>NOT(ISERROR(SEARCH("9ab",E36)))</formula>
    </cfRule>
    <cfRule type="containsText" dxfId="1623" priority="1231" stopIfTrue="1" operator="containsText" text="ds">
      <formula>NOT(ISERROR(SEARCH("ds",E36)))</formula>
    </cfRule>
    <cfRule type="containsText" dxfId="1622" priority="1232" stopIfTrue="1" operator="containsText" text="subobs">
      <formula>NOT(ISERROR(SEARCH("subobs",E36)))</formula>
    </cfRule>
  </conditionalFormatting>
  <conditionalFormatting sqref="J19:J25">
    <cfRule type="containsText" dxfId="1621" priority="1877" operator="containsText" text="9ab">
      <formula>NOT(ISERROR(SEARCH("9ab",J19)))</formula>
    </cfRule>
    <cfRule type="cellIs" dxfId="1620" priority="1878" stopIfTrue="1" operator="equal">
      <formula>"leave"</formula>
    </cfRule>
    <cfRule type="containsText" dxfId="1619" priority="1879" operator="containsText" text="ds">
      <formula>NOT(ISERROR(SEARCH("ds",J19)))</formula>
    </cfRule>
    <cfRule type="containsText" dxfId="1618" priority="1880" operator="containsText" text="subobs">
      <formula>NOT(ISERROR(SEARCH("subobs",J19)))</formula>
    </cfRule>
    <cfRule type="containsText" dxfId="1617" priority="1881" operator="containsText" text="Call">
      <formula>NOT(ISERROR(SEARCH("Call",J19)))</formula>
    </cfRule>
    <cfRule type="containsText" dxfId="1616" priority="1903" operator="containsText" text="9ab">
      <formula>NOT(ISERROR(SEARCH("9ab",J19)))</formula>
    </cfRule>
    <cfRule type="cellIs" dxfId="1615" priority="1904" stopIfTrue="1" operator="equal">
      <formula>"leave"</formula>
    </cfRule>
    <cfRule type="containsText" dxfId="1614" priority="1905" operator="containsText" text="ds">
      <formula>NOT(ISERROR(SEARCH("ds",J19)))</formula>
    </cfRule>
    <cfRule type="containsText" dxfId="1613" priority="1906" operator="containsText" text="subobs">
      <formula>NOT(ISERROR(SEARCH("subobs",J19)))</formula>
    </cfRule>
    <cfRule type="containsText" dxfId="1612" priority="1907" operator="containsText" text="Call">
      <formula>NOT(ISERROR(SEARCH("Call",J19)))</formula>
    </cfRule>
  </conditionalFormatting>
  <conditionalFormatting sqref="J19:J26">
    <cfRule type="containsText" dxfId="1611" priority="1883" operator="containsText" text="9ab">
      <formula>NOT(ISERROR(SEARCH("9ab",J19)))</formula>
    </cfRule>
    <cfRule type="cellIs" dxfId="1610" priority="1884" stopIfTrue="1" operator="equal">
      <formula>"leave"</formula>
    </cfRule>
    <cfRule type="containsText" dxfId="1609" priority="1885" operator="containsText" text="ds">
      <formula>NOT(ISERROR(SEARCH("ds",J19)))</formula>
    </cfRule>
    <cfRule type="containsText" dxfId="1608" priority="1886" operator="containsText" text="subobs">
      <formula>NOT(ISERROR(SEARCH("subobs",J19)))</formula>
    </cfRule>
    <cfRule type="containsText" dxfId="1607" priority="1887" stopIfTrue="1" operator="containsText" text="(Call)">
      <formula>NOT(ISERROR(SEARCH("(Call)",J19)))</formula>
    </cfRule>
    <cfRule type="containsText" dxfId="1606" priority="1947" operator="containsText" text="9ab">
      <formula>NOT(ISERROR(SEARCH("9ab",J19)))</formula>
    </cfRule>
    <cfRule type="cellIs" dxfId="1605" priority="1948" stopIfTrue="1" operator="equal">
      <formula>"leave"</formula>
    </cfRule>
    <cfRule type="containsText" dxfId="1604" priority="1949" operator="containsText" text="ds">
      <formula>NOT(ISERROR(SEARCH("ds",J19)))</formula>
    </cfRule>
    <cfRule type="containsText" dxfId="1603" priority="1950" operator="containsText" text="subobs">
      <formula>NOT(ISERROR(SEARCH("subobs",J19)))</formula>
    </cfRule>
    <cfRule type="containsText" dxfId="1602" priority="1951" operator="containsText" text="Call">
      <formula>NOT(ISERROR(SEARCH("Call",J19)))</formula>
    </cfRule>
  </conditionalFormatting>
  <conditionalFormatting sqref="J28:J33">
    <cfRule type="containsText" dxfId="1601" priority="1623" operator="containsText" text="9ab">
      <formula>NOT(ISERROR(SEARCH("9ab",J28)))</formula>
    </cfRule>
    <cfRule type="cellIs" dxfId="1600" priority="1624" stopIfTrue="1" operator="equal">
      <formula>"leave"</formula>
    </cfRule>
    <cfRule type="containsText" dxfId="1599" priority="1625" operator="containsText" text="ds">
      <formula>NOT(ISERROR(SEARCH("ds",J28)))</formula>
    </cfRule>
    <cfRule type="containsText" dxfId="1598" priority="1626" operator="containsText" text="subobs">
      <formula>NOT(ISERROR(SEARCH("subobs",J28)))</formula>
    </cfRule>
    <cfRule type="containsText" dxfId="1597" priority="1627" operator="containsText" text="Call">
      <formula>NOT(ISERROR(SEARCH("Call",J28)))</formula>
    </cfRule>
    <cfRule type="containsText" dxfId="1596" priority="1647" operator="containsText" text="9ab">
      <formula>NOT(ISERROR(SEARCH("9ab",J28)))</formula>
    </cfRule>
    <cfRule type="cellIs" dxfId="1595" priority="1648" stopIfTrue="1" operator="equal">
      <formula>"leave"</formula>
    </cfRule>
    <cfRule type="containsText" dxfId="1594" priority="1649" operator="containsText" text="ds">
      <formula>NOT(ISERROR(SEARCH("ds",J28)))</formula>
    </cfRule>
    <cfRule type="containsText" dxfId="1593" priority="1650" operator="containsText" text="subobs">
      <formula>NOT(ISERROR(SEARCH("subobs",J28)))</formula>
    </cfRule>
    <cfRule type="containsText" dxfId="1592" priority="1651" operator="containsText" text="Call">
      <formula>NOT(ISERROR(SEARCH("Call",J28)))</formula>
    </cfRule>
  </conditionalFormatting>
  <conditionalFormatting sqref="J28:J35">
    <cfRule type="containsText" dxfId="1591" priority="1629" operator="containsText" text="9ab">
      <formula>NOT(ISERROR(SEARCH("9ab",J28)))</formula>
    </cfRule>
    <cfRule type="cellIs" dxfId="1590" priority="1630" stopIfTrue="1" operator="equal">
      <formula>"leave"</formula>
    </cfRule>
    <cfRule type="containsText" dxfId="1589" priority="1631" operator="containsText" text="ds">
      <formula>NOT(ISERROR(SEARCH("ds",J28)))</formula>
    </cfRule>
    <cfRule type="containsText" dxfId="1588" priority="1632" operator="containsText" text="subobs">
      <formula>NOT(ISERROR(SEARCH("subobs",J28)))</formula>
    </cfRule>
    <cfRule type="containsText" dxfId="1587" priority="1633" stopIfTrue="1" operator="containsText" text="(Call)">
      <formula>NOT(ISERROR(SEARCH("(Call)",J28)))</formula>
    </cfRule>
    <cfRule type="containsText" dxfId="1586" priority="1690" operator="containsText" text="9ab">
      <formula>NOT(ISERROR(SEARCH("9ab",J28)))</formula>
    </cfRule>
    <cfRule type="cellIs" dxfId="1585" priority="1691" stopIfTrue="1" operator="equal">
      <formula>"leave"</formula>
    </cfRule>
    <cfRule type="containsText" dxfId="1584" priority="1692" operator="containsText" text="ds">
      <formula>NOT(ISERROR(SEARCH("ds",J28)))</formula>
    </cfRule>
    <cfRule type="containsText" dxfId="1583" priority="1693" operator="containsText" text="subobs">
      <formula>NOT(ISERROR(SEARCH("subobs",J28)))</formula>
    </cfRule>
    <cfRule type="containsText" dxfId="1582" priority="1694" operator="containsText" text="Call">
      <formula>NOT(ISERROR(SEARCH("Call",J28)))</formula>
    </cfRule>
  </conditionalFormatting>
  <conditionalFormatting sqref="J37:J42">
    <cfRule type="containsText" dxfId="1581" priority="1176" operator="containsText" text="9ab">
      <formula>NOT(ISERROR(SEARCH("9ab",J37)))</formula>
    </cfRule>
    <cfRule type="cellIs" dxfId="1580" priority="1177" stopIfTrue="1" operator="equal">
      <formula>"leave"</formula>
    </cfRule>
    <cfRule type="containsText" dxfId="1579" priority="1178" operator="containsText" text="ds">
      <formula>NOT(ISERROR(SEARCH("ds",J37)))</formula>
    </cfRule>
    <cfRule type="containsText" dxfId="1578" priority="1179" operator="containsText" text="subobs">
      <formula>NOT(ISERROR(SEARCH("subobs",J37)))</formula>
    </cfRule>
    <cfRule type="containsText" dxfId="1577" priority="1180" operator="containsText" text="Call">
      <formula>NOT(ISERROR(SEARCH("Call",J37)))</formula>
    </cfRule>
    <cfRule type="containsText" dxfId="1576" priority="1182" operator="containsText" text="9ab">
      <formula>NOT(ISERROR(SEARCH("9ab",J37)))</formula>
    </cfRule>
    <cfRule type="cellIs" dxfId="1575" priority="1183" stopIfTrue="1" operator="equal">
      <formula>"leave"</formula>
    </cfRule>
    <cfRule type="containsText" dxfId="1574" priority="1184" operator="containsText" text="ds">
      <formula>NOT(ISERROR(SEARCH("ds",J37)))</formula>
    </cfRule>
    <cfRule type="containsText" dxfId="1573" priority="1185" operator="containsText" text="subobs">
      <formula>NOT(ISERROR(SEARCH("subobs",J37)))</formula>
    </cfRule>
    <cfRule type="containsText" dxfId="1572" priority="1186" stopIfTrue="1" operator="containsText" text="(Call)">
      <formula>NOT(ISERROR(SEARCH("(Call)",J37)))</formula>
    </cfRule>
    <cfRule type="containsText" dxfId="1571" priority="1188" operator="containsText" text="9ab">
      <formula>NOT(ISERROR(SEARCH("9ab",J37)))</formula>
    </cfRule>
    <cfRule type="cellIs" dxfId="1570" priority="1189" stopIfTrue="1" operator="equal">
      <formula>"leave"</formula>
    </cfRule>
    <cfRule type="containsText" dxfId="1569" priority="1190" operator="containsText" text="ds">
      <formula>NOT(ISERROR(SEARCH("ds",J37)))</formula>
    </cfRule>
    <cfRule type="containsText" dxfId="1568" priority="1191" operator="containsText" text="subobs">
      <formula>NOT(ISERROR(SEARCH("subobs",J37)))</formula>
    </cfRule>
    <cfRule type="containsText" dxfId="1567" priority="1192" operator="containsText" text="Call">
      <formula>NOT(ISERROR(SEARCH("Call",J37)))</formula>
    </cfRule>
    <cfRule type="containsText" dxfId="1566" priority="1194" operator="containsText" text="9ab">
      <formula>NOT(ISERROR(SEARCH("9ab",J37)))</formula>
    </cfRule>
    <cfRule type="cellIs" dxfId="1565" priority="1195" stopIfTrue="1" operator="equal">
      <formula>"leave"</formula>
    </cfRule>
    <cfRule type="containsText" dxfId="1564" priority="1196" operator="containsText" text="ds">
      <formula>NOT(ISERROR(SEARCH("ds",J37)))</formula>
    </cfRule>
    <cfRule type="containsText" dxfId="1563" priority="1197" operator="containsText" text="subobs">
      <formula>NOT(ISERROR(SEARCH("subobs",J37)))</formula>
    </cfRule>
    <cfRule type="containsText" dxfId="1562" priority="1198" operator="containsText" text="Call">
      <formula>NOT(ISERROR(SEARCH("Call",J37)))</formula>
    </cfRule>
    <cfRule type="containsText" dxfId="1561" priority="1200" operator="containsText" text="9ab">
      <formula>NOT(ISERROR(SEARCH("9ab",J37)))</formula>
    </cfRule>
    <cfRule type="cellIs" dxfId="1560" priority="1201" stopIfTrue="1" operator="equal">
      <formula>"leave"</formula>
    </cfRule>
    <cfRule type="containsText" dxfId="1559" priority="1202" operator="containsText" text="ds">
      <formula>NOT(ISERROR(SEARCH("ds",J37)))</formula>
    </cfRule>
    <cfRule type="containsText" dxfId="1558" priority="1203" operator="containsText" text="subobs">
      <formula>NOT(ISERROR(SEARCH("subobs",J37)))</formula>
    </cfRule>
    <cfRule type="containsText" dxfId="1557" priority="1204" operator="containsText" text="Call">
      <formula>NOT(ISERROR(SEARCH("Call",J37)))</formula>
    </cfRule>
    <cfRule type="containsText" dxfId="1556" priority="1208" operator="containsText" text="9ab">
      <formula>NOT(ISERROR(SEARCH("9ab",J37)))</formula>
    </cfRule>
    <cfRule type="cellIs" dxfId="1555" priority="1209" stopIfTrue="1" operator="equal">
      <formula>"leave"</formula>
    </cfRule>
    <cfRule type="containsText" dxfId="1554" priority="1210" operator="containsText" text="ds">
      <formula>NOT(ISERROR(SEARCH("ds",J37)))</formula>
    </cfRule>
    <cfRule type="containsText" dxfId="1553" priority="1211" operator="containsText" text="subobs">
      <formula>NOT(ISERROR(SEARCH("subobs",J37)))</formula>
    </cfRule>
    <cfRule type="containsText" dxfId="1552" priority="1212" operator="containsText" text="Call">
      <formula>NOT(ISERROR(SEARCH("Call",J37)))</formula>
    </cfRule>
    <cfRule type="containsText" dxfId="1551" priority="1215" operator="containsText" text="9ab">
      <formula>NOT(ISERROR(SEARCH("9ab",J37)))</formula>
    </cfRule>
    <cfRule type="cellIs" dxfId="1550" priority="1216" stopIfTrue="1" operator="equal">
      <formula>"leave"</formula>
    </cfRule>
    <cfRule type="containsText" dxfId="1549" priority="1217" operator="containsText" text="ds">
      <formula>NOT(ISERROR(SEARCH("ds",J37)))</formula>
    </cfRule>
    <cfRule type="containsText" dxfId="1548" priority="1218" operator="containsText" text="subobs">
      <formula>NOT(ISERROR(SEARCH("subobs",J37)))</formula>
    </cfRule>
    <cfRule type="containsText" dxfId="1547" priority="1219" stopIfTrue="1" operator="containsText" text="(Call)">
      <formula>NOT(ISERROR(SEARCH("(Call)",J37)))</formula>
    </cfRule>
  </conditionalFormatting>
  <conditionalFormatting sqref="J36:K42">
    <cfRule type="containsText" dxfId="1546" priority="1206" operator="containsText" text="b1">
      <formula>NOT(ISERROR(SEARCH("b1",J36)))</formula>
    </cfRule>
    <cfRule type="cellIs" dxfId="1545" priority="1207" operator="equal">
      <formula>0</formula>
    </cfRule>
    <cfRule type="containsText" dxfId="1544" priority="1214" stopIfTrue="1" operator="containsText" text="go">
      <formula>NOT(ISERROR(SEARCH("go",J36)))</formula>
    </cfRule>
    <cfRule type="cellIs" dxfId="1543" priority="1221" operator="equal">
      <formula>"ps_cover"</formula>
    </cfRule>
    <cfRule type="containsText" dxfId="1542" priority="1222" stopIfTrue="1" operator="containsText" text="9ab">
      <formula>NOT(ISERROR(SEARCH("9ab",J36)))</formula>
    </cfRule>
    <cfRule type="containsText" dxfId="1541" priority="1223" stopIfTrue="1" operator="containsText" text="ds">
      <formula>NOT(ISERROR(SEARCH("ds",J36)))</formula>
    </cfRule>
    <cfRule type="containsText" dxfId="1540" priority="1224" stopIfTrue="1" operator="containsText" text="subobs">
      <formula>NOT(ISERROR(SEARCH("subobs",J36)))</formula>
    </cfRule>
  </conditionalFormatting>
  <conditionalFormatting sqref="J36:O42">
    <cfRule type="containsText" dxfId="1539" priority="1159" operator="containsText" text="(Call)">
      <formula>NOT(ISERROR(SEARCH("(Call)",J36)))</formula>
    </cfRule>
  </conditionalFormatting>
  <conditionalFormatting sqref="L36:O42">
    <cfRule type="containsText" dxfId="1538" priority="1160" operator="containsText" text="b1">
      <formula>NOT(ISERROR(SEARCH("b1",L36)))</formula>
    </cfRule>
    <cfRule type="cellIs" dxfId="1537" priority="1161" operator="equal">
      <formula>0</formula>
    </cfRule>
    <cfRule type="containsText" dxfId="1536" priority="1162" stopIfTrue="1" operator="containsText" text="go">
      <formula>NOT(ISERROR(SEARCH("go",L36)))</formula>
    </cfRule>
    <cfRule type="cellIs" dxfId="1535" priority="1163" operator="equal">
      <formula>"ps_cover"</formula>
    </cfRule>
    <cfRule type="containsText" dxfId="1534" priority="1164" stopIfTrue="1" operator="containsText" text="9ab">
      <formula>NOT(ISERROR(SEARCH("9ab",L36)))</formula>
    </cfRule>
    <cfRule type="containsText" dxfId="1533" priority="1165" stopIfTrue="1" operator="containsText" text="ds">
      <formula>NOT(ISERROR(SEARCH("ds",L36)))</formula>
    </cfRule>
    <cfRule type="containsText" dxfId="1532" priority="1166" stopIfTrue="1" operator="containsText" text="subobs">
      <formula>NOT(ISERROR(SEARCH("subobs",L36)))</formula>
    </cfRule>
  </conditionalFormatting>
  <conditionalFormatting sqref="Q19:Q25">
    <cfRule type="containsText" dxfId="1531" priority="1853" operator="containsText" text="9ab">
      <formula>NOT(ISERROR(SEARCH("9ab",Q19)))</formula>
    </cfRule>
    <cfRule type="cellIs" dxfId="1530" priority="1854" stopIfTrue="1" operator="equal">
      <formula>"leave"</formula>
    </cfRule>
    <cfRule type="containsText" dxfId="1529" priority="1855" operator="containsText" text="ds">
      <formula>NOT(ISERROR(SEARCH("ds",Q19)))</formula>
    </cfRule>
    <cfRule type="containsText" dxfId="1528" priority="1856" operator="containsText" text="subobs">
      <formula>NOT(ISERROR(SEARCH("subobs",Q19)))</formula>
    </cfRule>
    <cfRule type="containsText" dxfId="1527" priority="1857" operator="containsText" text="Call">
      <formula>NOT(ISERROR(SEARCH("Call",Q19)))</formula>
    </cfRule>
    <cfRule type="containsText" dxfId="1526" priority="1865" operator="containsText" text="9ab">
      <formula>NOT(ISERROR(SEARCH("9ab",Q19)))</formula>
    </cfRule>
    <cfRule type="cellIs" dxfId="1525" priority="1866" stopIfTrue="1" operator="equal">
      <formula>"leave"</formula>
    </cfRule>
    <cfRule type="containsText" dxfId="1524" priority="1867" operator="containsText" text="ds">
      <formula>NOT(ISERROR(SEARCH("ds",Q19)))</formula>
    </cfRule>
    <cfRule type="containsText" dxfId="1523" priority="1868" operator="containsText" text="subobs">
      <formula>NOT(ISERROR(SEARCH("subobs",Q19)))</formula>
    </cfRule>
    <cfRule type="containsText" dxfId="1522" priority="1869" operator="containsText" text="Call">
      <formula>NOT(ISERROR(SEARCH("Call",Q19)))</formula>
    </cfRule>
  </conditionalFormatting>
  <conditionalFormatting sqref="Q19:Q26">
    <cfRule type="containsText" dxfId="1521" priority="1859" operator="containsText" text="9ab">
      <formula>NOT(ISERROR(SEARCH("9ab",Q19)))</formula>
    </cfRule>
    <cfRule type="cellIs" dxfId="1520" priority="1860" stopIfTrue="1" operator="equal">
      <formula>"leave"</formula>
    </cfRule>
    <cfRule type="containsText" dxfId="1519" priority="1861" operator="containsText" text="ds">
      <formula>NOT(ISERROR(SEARCH("ds",Q19)))</formula>
    </cfRule>
    <cfRule type="containsText" dxfId="1518" priority="1862" operator="containsText" text="subobs">
      <formula>NOT(ISERROR(SEARCH("subobs",Q19)))</formula>
    </cfRule>
    <cfRule type="containsText" dxfId="1517" priority="1863" stopIfTrue="1" operator="containsText" text="(Call)">
      <formula>NOT(ISERROR(SEARCH("(Call)",Q19)))</formula>
    </cfRule>
    <cfRule type="containsText" dxfId="1516" priority="1871" operator="containsText" text="9ab">
      <formula>NOT(ISERROR(SEARCH("9ab",Q19)))</formula>
    </cfRule>
    <cfRule type="cellIs" dxfId="1515" priority="1872" stopIfTrue="1" operator="equal">
      <formula>"leave"</formula>
    </cfRule>
    <cfRule type="containsText" dxfId="1514" priority="1873" operator="containsText" text="ds">
      <formula>NOT(ISERROR(SEARCH("ds",Q19)))</formula>
    </cfRule>
    <cfRule type="containsText" dxfId="1513" priority="1874" operator="containsText" text="subobs">
      <formula>NOT(ISERROR(SEARCH("subobs",Q19)))</formula>
    </cfRule>
    <cfRule type="containsText" dxfId="1512" priority="1875" operator="containsText" text="Call">
      <formula>NOT(ISERROR(SEARCH("Call",Q19)))</formula>
    </cfRule>
    <cfRule type="containsText" dxfId="1511" priority="1941" operator="containsText" text="9ab">
      <formula>NOT(ISERROR(SEARCH("9ab",Q19)))</formula>
    </cfRule>
    <cfRule type="cellIs" dxfId="1510" priority="1942" stopIfTrue="1" operator="equal">
      <formula>"leave"</formula>
    </cfRule>
    <cfRule type="containsText" dxfId="1509" priority="1943" operator="containsText" text="ds">
      <formula>NOT(ISERROR(SEARCH("ds",Q19)))</formula>
    </cfRule>
    <cfRule type="containsText" dxfId="1508" priority="1944" operator="containsText" text="subobs">
      <formula>NOT(ISERROR(SEARCH("subobs",Q19)))</formula>
    </cfRule>
    <cfRule type="containsText" dxfId="1507" priority="1945" operator="containsText" text="Call">
      <formula>NOT(ISERROR(SEARCH("Call",Q19)))</formula>
    </cfRule>
  </conditionalFormatting>
  <conditionalFormatting sqref="Q28:Q33">
    <cfRule type="containsText" dxfId="1506" priority="1599" operator="containsText" text="9ab">
      <formula>NOT(ISERROR(SEARCH("9ab",Q28)))</formula>
    </cfRule>
    <cfRule type="cellIs" dxfId="1505" priority="1600" stopIfTrue="1" operator="equal">
      <formula>"leave"</formula>
    </cfRule>
    <cfRule type="containsText" dxfId="1504" priority="1601" operator="containsText" text="ds">
      <formula>NOT(ISERROR(SEARCH("ds",Q28)))</formula>
    </cfRule>
    <cfRule type="containsText" dxfId="1503" priority="1602" operator="containsText" text="subobs">
      <formula>NOT(ISERROR(SEARCH("subobs",Q28)))</formula>
    </cfRule>
    <cfRule type="containsText" dxfId="1502" priority="1603" operator="containsText" text="Call">
      <formula>NOT(ISERROR(SEARCH("Call",Q28)))</formula>
    </cfRule>
    <cfRule type="containsText" dxfId="1501" priority="1611" operator="containsText" text="9ab">
      <formula>NOT(ISERROR(SEARCH("9ab",Q28)))</formula>
    </cfRule>
    <cfRule type="cellIs" dxfId="1500" priority="1612" stopIfTrue="1" operator="equal">
      <formula>"leave"</formula>
    </cfRule>
    <cfRule type="containsText" dxfId="1499" priority="1613" operator="containsText" text="ds">
      <formula>NOT(ISERROR(SEARCH("ds",Q28)))</formula>
    </cfRule>
    <cfRule type="containsText" dxfId="1498" priority="1614" operator="containsText" text="subobs">
      <formula>NOT(ISERROR(SEARCH("subobs",Q28)))</formula>
    </cfRule>
    <cfRule type="containsText" dxfId="1497" priority="1615" operator="containsText" text="Call">
      <formula>NOT(ISERROR(SEARCH("Call",Q28)))</formula>
    </cfRule>
  </conditionalFormatting>
  <conditionalFormatting sqref="Q28:Q35">
    <cfRule type="containsText" dxfId="1496" priority="1605" operator="containsText" text="9ab">
      <formula>NOT(ISERROR(SEARCH("9ab",Q28)))</formula>
    </cfRule>
    <cfRule type="cellIs" dxfId="1495" priority="1606" stopIfTrue="1" operator="equal">
      <formula>"leave"</formula>
    </cfRule>
    <cfRule type="containsText" dxfId="1494" priority="1607" operator="containsText" text="ds">
      <formula>NOT(ISERROR(SEARCH("ds",Q28)))</formula>
    </cfRule>
    <cfRule type="containsText" dxfId="1493" priority="1608" operator="containsText" text="subobs">
      <formula>NOT(ISERROR(SEARCH("subobs",Q28)))</formula>
    </cfRule>
    <cfRule type="containsText" dxfId="1492" priority="1609" stopIfTrue="1" operator="containsText" text="(Call)">
      <formula>NOT(ISERROR(SEARCH("(Call)",Q28)))</formula>
    </cfRule>
    <cfRule type="containsText" dxfId="1491" priority="1617" operator="containsText" text="9ab">
      <formula>NOT(ISERROR(SEARCH("9ab",Q28)))</formula>
    </cfRule>
    <cfRule type="cellIs" dxfId="1490" priority="1618" stopIfTrue="1" operator="equal">
      <formula>"leave"</formula>
    </cfRule>
    <cfRule type="containsText" dxfId="1489" priority="1619" operator="containsText" text="ds">
      <formula>NOT(ISERROR(SEARCH("ds",Q28)))</formula>
    </cfRule>
    <cfRule type="containsText" dxfId="1488" priority="1620" operator="containsText" text="subobs">
      <formula>NOT(ISERROR(SEARCH("subobs",Q28)))</formula>
    </cfRule>
    <cfRule type="containsText" dxfId="1487" priority="1621" operator="containsText" text="Call">
      <formula>NOT(ISERROR(SEARCH("Call",Q28)))</formula>
    </cfRule>
    <cfRule type="containsText" dxfId="1486" priority="1684" operator="containsText" text="9ab">
      <formula>NOT(ISERROR(SEARCH("9ab",Q28)))</formula>
    </cfRule>
    <cfRule type="cellIs" dxfId="1485" priority="1685" stopIfTrue="1" operator="equal">
      <formula>"leave"</formula>
    </cfRule>
    <cfRule type="containsText" dxfId="1484" priority="1686" operator="containsText" text="ds">
      <formula>NOT(ISERROR(SEARCH("ds",Q28)))</formula>
    </cfRule>
    <cfRule type="containsText" dxfId="1483" priority="1687" operator="containsText" text="subobs">
      <formula>NOT(ISERROR(SEARCH("subobs",Q28)))</formula>
    </cfRule>
    <cfRule type="containsText" dxfId="1482" priority="1688" operator="containsText" text="Call">
      <formula>NOT(ISERROR(SEARCH("Call",Q28)))</formula>
    </cfRule>
  </conditionalFormatting>
  <conditionalFormatting sqref="Q37:Q42">
    <cfRule type="containsText" dxfId="1481" priority="1110" operator="containsText" text="9ab">
      <formula>NOT(ISERROR(SEARCH("9ab",Q37)))</formula>
    </cfRule>
    <cfRule type="cellIs" dxfId="1480" priority="1111" stopIfTrue="1" operator="equal">
      <formula>"leave"</formula>
    </cfRule>
    <cfRule type="containsText" dxfId="1479" priority="1112" operator="containsText" text="ds">
      <formula>NOT(ISERROR(SEARCH("ds",Q37)))</formula>
    </cfRule>
    <cfRule type="containsText" dxfId="1478" priority="1113" operator="containsText" text="subobs">
      <formula>NOT(ISERROR(SEARCH("subobs",Q37)))</formula>
    </cfRule>
    <cfRule type="containsText" dxfId="1477" priority="1114" operator="containsText" text="Call">
      <formula>NOT(ISERROR(SEARCH("Call",Q37)))</formula>
    </cfRule>
    <cfRule type="containsText" dxfId="1476" priority="1116" operator="containsText" text="9ab">
      <formula>NOT(ISERROR(SEARCH("9ab",Q37)))</formula>
    </cfRule>
    <cfRule type="cellIs" dxfId="1475" priority="1117" stopIfTrue="1" operator="equal">
      <formula>"leave"</formula>
    </cfRule>
    <cfRule type="containsText" dxfId="1474" priority="1118" operator="containsText" text="ds">
      <formula>NOT(ISERROR(SEARCH("ds",Q37)))</formula>
    </cfRule>
    <cfRule type="containsText" dxfId="1473" priority="1119" operator="containsText" text="subobs">
      <formula>NOT(ISERROR(SEARCH("subobs",Q37)))</formula>
    </cfRule>
    <cfRule type="containsText" dxfId="1472" priority="1120" stopIfTrue="1" operator="containsText" text="(Call)">
      <formula>NOT(ISERROR(SEARCH("(Call)",Q37)))</formula>
    </cfRule>
    <cfRule type="containsText" dxfId="1471" priority="1122" operator="containsText" text="9ab">
      <formula>NOT(ISERROR(SEARCH("9ab",Q37)))</formula>
    </cfRule>
    <cfRule type="cellIs" dxfId="1470" priority="1123" stopIfTrue="1" operator="equal">
      <formula>"leave"</formula>
    </cfRule>
    <cfRule type="containsText" dxfId="1469" priority="1124" operator="containsText" text="ds">
      <formula>NOT(ISERROR(SEARCH("ds",Q37)))</formula>
    </cfRule>
    <cfRule type="containsText" dxfId="1468" priority="1125" operator="containsText" text="subobs">
      <formula>NOT(ISERROR(SEARCH("subobs",Q37)))</formula>
    </cfRule>
    <cfRule type="containsText" dxfId="1467" priority="1126" operator="containsText" text="Call">
      <formula>NOT(ISERROR(SEARCH("Call",Q37)))</formula>
    </cfRule>
    <cfRule type="containsText" dxfId="1466" priority="1128" operator="containsText" text="9ab">
      <formula>NOT(ISERROR(SEARCH("9ab",Q37)))</formula>
    </cfRule>
    <cfRule type="cellIs" dxfId="1465" priority="1129" stopIfTrue="1" operator="equal">
      <formula>"leave"</formula>
    </cfRule>
    <cfRule type="containsText" dxfId="1464" priority="1130" operator="containsText" text="ds">
      <formula>NOT(ISERROR(SEARCH("ds",Q37)))</formula>
    </cfRule>
    <cfRule type="containsText" dxfId="1463" priority="1131" operator="containsText" text="subobs">
      <formula>NOT(ISERROR(SEARCH("subobs",Q37)))</formula>
    </cfRule>
    <cfRule type="containsText" dxfId="1462" priority="1132" operator="containsText" text="Call">
      <formula>NOT(ISERROR(SEARCH("Call",Q37)))</formula>
    </cfRule>
    <cfRule type="containsText" dxfId="1461" priority="1134" operator="containsText" text="9ab">
      <formula>NOT(ISERROR(SEARCH("9ab",Q37)))</formula>
    </cfRule>
    <cfRule type="cellIs" dxfId="1460" priority="1135" stopIfTrue="1" operator="equal">
      <formula>"leave"</formula>
    </cfRule>
    <cfRule type="containsText" dxfId="1459" priority="1136" operator="containsText" text="ds">
      <formula>NOT(ISERROR(SEARCH("ds",Q37)))</formula>
    </cfRule>
    <cfRule type="containsText" dxfId="1458" priority="1137" operator="containsText" text="subobs">
      <formula>NOT(ISERROR(SEARCH("subobs",Q37)))</formula>
    </cfRule>
    <cfRule type="containsText" dxfId="1457" priority="1138" operator="containsText" text="Call">
      <formula>NOT(ISERROR(SEARCH("Call",Q37)))</formula>
    </cfRule>
    <cfRule type="containsText" dxfId="1456" priority="1142" operator="containsText" text="9ab">
      <formula>NOT(ISERROR(SEARCH("9ab",Q37)))</formula>
    </cfRule>
    <cfRule type="cellIs" dxfId="1455" priority="1143" stopIfTrue="1" operator="equal">
      <formula>"leave"</formula>
    </cfRule>
    <cfRule type="containsText" dxfId="1454" priority="1144" operator="containsText" text="ds">
      <formula>NOT(ISERROR(SEARCH("ds",Q37)))</formula>
    </cfRule>
    <cfRule type="containsText" dxfId="1453" priority="1145" operator="containsText" text="subobs">
      <formula>NOT(ISERROR(SEARCH("subobs",Q37)))</formula>
    </cfRule>
    <cfRule type="containsText" dxfId="1452" priority="1146" operator="containsText" text="Call">
      <formula>NOT(ISERROR(SEARCH("Call",Q37)))</formula>
    </cfRule>
    <cfRule type="containsText" dxfId="1451" priority="1149" operator="containsText" text="9ab">
      <formula>NOT(ISERROR(SEARCH("9ab",Q37)))</formula>
    </cfRule>
    <cfRule type="cellIs" dxfId="1450" priority="1150" stopIfTrue="1" operator="equal">
      <formula>"leave"</formula>
    </cfRule>
    <cfRule type="containsText" dxfId="1449" priority="1151" operator="containsText" text="ds">
      <formula>NOT(ISERROR(SEARCH("ds",Q37)))</formula>
    </cfRule>
    <cfRule type="containsText" dxfId="1448" priority="1152" operator="containsText" text="subobs">
      <formula>NOT(ISERROR(SEARCH("subobs",Q37)))</formula>
    </cfRule>
    <cfRule type="containsText" dxfId="1447" priority="1153" stopIfTrue="1" operator="containsText" text="(Call)">
      <formula>NOT(ISERROR(SEARCH("(Call)",Q37)))</formula>
    </cfRule>
  </conditionalFormatting>
  <conditionalFormatting sqref="Q36:R42">
    <cfRule type="containsText" dxfId="1446" priority="1140" operator="containsText" text="b1">
      <formula>NOT(ISERROR(SEARCH("b1",Q36)))</formula>
    </cfRule>
    <cfRule type="cellIs" dxfId="1445" priority="1141" operator="equal">
      <formula>0</formula>
    </cfRule>
    <cfRule type="containsText" dxfId="1444" priority="1148" stopIfTrue="1" operator="containsText" text="go">
      <formula>NOT(ISERROR(SEARCH("go",Q36)))</formula>
    </cfRule>
    <cfRule type="cellIs" dxfId="1443" priority="1155" operator="equal">
      <formula>"ps_cover"</formula>
    </cfRule>
    <cfRule type="containsText" dxfId="1442" priority="1156" stopIfTrue="1" operator="containsText" text="9ab">
      <formula>NOT(ISERROR(SEARCH("9ab",Q36)))</formula>
    </cfRule>
    <cfRule type="containsText" dxfId="1441" priority="1157" stopIfTrue="1" operator="containsText" text="ds">
      <formula>NOT(ISERROR(SEARCH("ds",Q36)))</formula>
    </cfRule>
    <cfRule type="containsText" dxfId="1440" priority="1158" stopIfTrue="1" operator="containsText" text="subobs">
      <formula>NOT(ISERROR(SEARCH("subobs",Q36)))</formula>
    </cfRule>
  </conditionalFormatting>
  <conditionalFormatting sqref="Q36:V42">
    <cfRule type="containsText" dxfId="1439" priority="1093" operator="containsText" text="(Call)">
      <formula>NOT(ISERROR(SEARCH("(Call)",Q36)))</formula>
    </cfRule>
  </conditionalFormatting>
  <conditionalFormatting sqref="S36:V42">
    <cfRule type="containsText" dxfId="1438" priority="1094" operator="containsText" text="b1">
      <formula>NOT(ISERROR(SEARCH("b1",S36)))</formula>
    </cfRule>
    <cfRule type="cellIs" dxfId="1437" priority="1095" operator="equal">
      <formula>0</formula>
    </cfRule>
    <cfRule type="containsText" dxfId="1436" priority="1096" stopIfTrue="1" operator="containsText" text="go">
      <formula>NOT(ISERROR(SEARCH("go",S36)))</formula>
    </cfRule>
    <cfRule type="cellIs" dxfId="1435" priority="1097" operator="equal">
      <formula>"ps_cover"</formula>
    </cfRule>
    <cfRule type="containsText" dxfId="1434" priority="1098" stopIfTrue="1" operator="containsText" text="9ab">
      <formula>NOT(ISERROR(SEARCH("9ab",S36)))</formula>
    </cfRule>
    <cfRule type="containsText" dxfId="1433" priority="1099" stopIfTrue="1" operator="containsText" text="ds">
      <formula>NOT(ISERROR(SEARCH("ds",S36)))</formula>
    </cfRule>
    <cfRule type="containsText" dxfId="1432" priority="1100" stopIfTrue="1" operator="containsText" text="subobs">
      <formula>NOT(ISERROR(SEARCH("subobs",S36)))</formula>
    </cfRule>
  </conditionalFormatting>
  <conditionalFormatting sqref="X19:X25">
    <cfRule type="containsText" dxfId="1431" priority="1829" operator="containsText" text="9ab">
      <formula>NOT(ISERROR(SEARCH("9ab",X19)))</formula>
    </cfRule>
    <cfRule type="cellIs" dxfId="1430" priority="1830" stopIfTrue="1" operator="equal">
      <formula>"leave"</formula>
    </cfRule>
    <cfRule type="containsText" dxfId="1429" priority="1831" operator="containsText" text="ds">
      <formula>NOT(ISERROR(SEARCH("ds",X19)))</formula>
    </cfRule>
    <cfRule type="containsText" dxfId="1428" priority="1832" operator="containsText" text="subobs">
      <formula>NOT(ISERROR(SEARCH("subobs",X19)))</formula>
    </cfRule>
    <cfRule type="containsText" dxfId="1427" priority="1833" operator="containsText" text="Call">
      <formula>NOT(ISERROR(SEARCH("Call",X19)))</formula>
    </cfRule>
    <cfRule type="containsText" dxfId="1426" priority="1841" operator="containsText" text="9ab">
      <formula>NOT(ISERROR(SEARCH("9ab",X19)))</formula>
    </cfRule>
    <cfRule type="cellIs" dxfId="1425" priority="1842" stopIfTrue="1" operator="equal">
      <formula>"leave"</formula>
    </cfRule>
    <cfRule type="containsText" dxfId="1424" priority="1843" operator="containsText" text="ds">
      <formula>NOT(ISERROR(SEARCH("ds",X19)))</formula>
    </cfRule>
    <cfRule type="containsText" dxfId="1423" priority="1844" operator="containsText" text="subobs">
      <formula>NOT(ISERROR(SEARCH("subobs",X19)))</formula>
    </cfRule>
    <cfRule type="containsText" dxfId="1422" priority="1845" operator="containsText" text="Call">
      <formula>NOT(ISERROR(SEARCH("Call",X19)))</formula>
    </cfRule>
  </conditionalFormatting>
  <conditionalFormatting sqref="X19:X26">
    <cfRule type="containsText" dxfId="1421" priority="1835" operator="containsText" text="9ab">
      <formula>NOT(ISERROR(SEARCH("9ab",X19)))</formula>
    </cfRule>
    <cfRule type="cellIs" dxfId="1420" priority="1836" stopIfTrue="1" operator="equal">
      <formula>"leave"</formula>
    </cfRule>
    <cfRule type="containsText" dxfId="1419" priority="1837" operator="containsText" text="ds">
      <formula>NOT(ISERROR(SEARCH("ds",X19)))</formula>
    </cfRule>
    <cfRule type="containsText" dxfId="1418" priority="1838" operator="containsText" text="subobs">
      <formula>NOT(ISERROR(SEARCH("subobs",X19)))</formula>
    </cfRule>
    <cfRule type="containsText" dxfId="1417" priority="1839" stopIfTrue="1" operator="containsText" text="(Call)">
      <formula>NOT(ISERROR(SEARCH("(Call)",X19)))</formula>
    </cfRule>
    <cfRule type="containsText" dxfId="1416" priority="1847" operator="containsText" text="9ab">
      <formula>NOT(ISERROR(SEARCH("9ab",X19)))</formula>
    </cfRule>
    <cfRule type="cellIs" dxfId="1415" priority="1848" stopIfTrue="1" operator="equal">
      <formula>"leave"</formula>
    </cfRule>
    <cfRule type="containsText" dxfId="1414" priority="1849" operator="containsText" text="ds">
      <formula>NOT(ISERROR(SEARCH("ds",X19)))</formula>
    </cfRule>
    <cfRule type="containsText" dxfId="1413" priority="1850" operator="containsText" text="subobs">
      <formula>NOT(ISERROR(SEARCH("subobs",X19)))</formula>
    </cfRule>
    <cfRule type="containsText" dxfId="1412" priority="1851" operator="containsText" text="Call">
      <formula>NOT(ISERROR(SEARCH("Call",X19)))</formula>
    </cfRule>
    <cfRule type="containsText" dxfId="1411" priority="1935" operator="containsText" text="9ab">
      <formula>NOT(ISERROR(SEARCH("9ab",X19)))</formula>
    </cfRule>
    <cfRule type="cellIs" dxfId="1410" priority="1936" stopIfTrue="1" operator="equal">
      <formula>"leave"</formula>
    </cfRule>
    <cfRule type="containsText" dxfId="1409" priority="1937" operator="containsText" text="ds">
      <formula>NOT(ISERROR(SEARCH("ds",X19)))</formula>
    </cfRule>
    <cfRule type="containsText" dxfId="1408" priority="1938" operator="containsText" text="subobs">
      <formula>NOT(ISERROR(SEARCH("subobs",X19)))</formula>
    </cfRule>
    <cfRule type="containsText" dxfId="1407" priority="1939" operator="containsText" text="Call">
      <formula>NOT(ISERROR(SEARCH("Call",X19)))</formula>
    </cfRule>
  </conditionalFormatting>
  <conditionalFormatting sqref="X28:X33">
    <cfRule type="containsText" dxfId="1406" priority="1575" operator="containsText" text="9ab">
      <formula>NOT(ISERROR(SEARCH("9ab",X28)))</formula>
    </cfRule>
    <cfRule type="cellIs" dxfId="1405" priority="1576" stopIfTrue="1" operator="equal">
      <formula>"leave"</formula>
    </cfRule>
    <cfRule type="containsText" dxfId="1404" priority="1577" operator="containsText" text="ds">
      <formula>NOT(ISERROR(SEARCH("ds",X28)))</formula>
    </cfRule>
    <cfRule type="containsText" dxfId="1403" priority="1578" operator="containsText" text="subobs">
      <formula>NOT(ISERROR(SEARCH("subobs",X28)))</formula>
    </cfRule>
    <cfRule type="containsText" dxfId="1402" priority="1579" operator="containsText" text="Call">
      <formula>NOT(ISERROR(SEARCH("Call",X28)))</formula>
    </cfRule>
    <cfRule type="containsText" dxfId="1401" priority="1587" operator="containsText" text="9ab">
      <formula>NOT(ISERROR(SEARCH("9ab",X28)))</formula>
    </cfRule>
    <cfRule type="cellIs" dxfId="1400" priority="1588" stopIfTrue="1" operator="equal">
      <formula>"leave"</formula>
    </cfRule>
    <cfRule type="containsText" dxfId="1399" priority="1589" operator="containsText" text="ds">
      <formula>NOT(ISERROR(SEARCH("ds",X28)))</formula>
    </cfRule>
    <cfRule type="containsText" dxfId="1398" priority="1590" operator="containsText" text="subobs">
      <formula>NOT(ISERROR(SEARCH("subobs",X28)))</formula>
    </cfRule>
    <cfRule type="containsText" dxfId="1397" priority="1591" operator="containsText" text="Call">
      <formula>NOT(ISERROR(SEARCH("Call",X28)))</formula>
    </cfRule>
  </conditionalFormatting>
  <conditionalFormatting sqref="X28:X35">
    <cfRule type="containsText" dxfId="1396" priority="1581" operator="containsText" text="9ab">
      <formula>NOT(ISERROR(SEARCH("9ab",X28)))</formula>
    </cfRule>
    <cfRule type="cellIs" dxfId="1395" priority="1582" stopIfTrue="1" operator="equal">
      <formula>"leave"</formula>
    </cfRule>
    <cfRule type="containsText" dxfId="1394" priority="1583" operator="containsText" text="ds">
      <formula>NOT(ISERROR(SEARCH("ds",X28)))</formula>
    </cfRule>
    <cfRule type="containsText" dxfId="1393" priority="1584" operator="containsText" text="subobs">
      <formula>NOT(ISERROR(SEARCH("subobs",X28)))</formula>
    </cfRule>
    <cfRule type="containsText" dxfId="1392" priority="1585" stopIfTrue="1" operator="containsText" text="(Call)">
      <formula>NOT(ISERROR(SEARCH("(Call)",X28)))</formula>
    </cfRule>
    <cfRule type="containsText" dxfId="1391" priority="1593" operator="containsText" text="9ab">
      <formula>NOT(ISERROR(SEARCH("9ab",X28)))</formula>
    </cfRule>
    <cfRule type="cellIs" dxfId="1390" priority="1594" stopIfTrue="1" operator="equal">
      <formula>"leave"</formula>
    </cfRule>
    <cfRule type="containsText" dxfId="1389" priority="1595" operator="containsText" text="ds">
      <formula>NOT(ISERROR(SEARCH("ds",X28)))</formula>
    </cfRule>
    <cfRule type="containsText" dxfId="1388" priority="1596" operator="containsText" text="subobs">
      <formula>NOT(ISERROR(SEARCH("subobs",X28)))</formula>
    </cfRule>
    <cfRule type="containsText" dxfId="1387" priority="1597" operator="containsText" text="Call">
      <formula>NOT(ISERROR(SEARCH("Call",X28)))</formula>
    </cfRule>
    <cfRule type="containsText" dxfId="1386" priority="1678" operator="containsText" text="9ab">
      <formula>NOT(ISERROR(SEARCH("9ab",X28)))</formula>
    </cfRule>
    <cfRule type="cellIs" dxfId="1385" priority="1679" stopIfTrue="1" operator="equal">
      <formula>"leave"</formula>
    </cfRule>
    <cfRule type="containsText" dxfId="1384" priority="1680" operator="containsText" text="ds">
      <formula>NOT(ISERROR(SEARCH("ds",X28)))</formula>
    </cfRule>
    <cfRule type="containsText" dxfId="1383" priority="1681" operator="containsText" text="subobs">
      <formula>NOT(ISERROR(SEARCH("subobs",X28)))</formula>
    </cfRule>
    <cfRule type="containsText" dxfId="1382" priority="1682" operator="containsText" text="Call">
      <formula>NOT(ISERROR(SEARCH("Call",X28)))</formula>
    </cfRule>
  </conditionalFormatting>
  <conditionalFormatting sqref="X37:X42">
    <cfRule type="containsText" dxfId="1381" priority="1044" operator="containsText" text="9ab">
      <formula>NOT(ISERROR(SEARCH("9ab",X37)))</formula>
    </cfRule>
    <cfRule type="cellIs" dxfId="1380" priority="1045" stopIfTrue="1" operator="equal">
      <formula>"leave"</formula>
    </cfRule>
    <cfRule type="containsText" dxfId="1379" priority="1046" operator="containsText" text="ds">
      <formula>NOT(ISERROR(SEARCH("ds",X37)))</formula>
    </cfRule>
    <cfRule type="containsText" dxfId="1378" priority="1047" operator="containsText" text="subobs">
      <formula>NOT(ISERROR(SEARCH("subobs",X37)))</formula>
    </cfRule>
    <cfRule type="containsText" dxfId="1377" priority="1048" operator="containsText" text="Call">
      <formula>NOT(ISERROR(SEARCH("Call",X37)))</formula>
    </cfRule>
    <cfRule type="containsText" dxfId="1376" priority="1050" operator="containsText" text="9ab">
      <formula>NOT(ISERROR(SEARCH("9ab",X37)))</formula>
    </cfRule>
    <cfRule type="cellIs" dxfId="1375" priority="1051" stopIfTrue="1" operator="equal">
      <formula>"leave"</formula>
    </cfRule>
    <cfRule type="containsText" dxfId="1374" priority="1052" operator="containsText" text="ds">
      <formula>NOT(ISERROR(SEARCH("ds",X37)))</formula>
    </cfRule>
    <cfRule type="containsText" dxfId="1373" priority="1053" operator="containsText" text="subobs">
      <formula>NOT(ISERROR(SEARCH("subobs",X37)))</formula>
    </cfRule>
    <cfRule type="containsText" dxfId="1372" priority="1054" stopIfTrue="1" operator="containsText" text="(Call)">
      <formula>NOT(ISERROR(SEARCH("(Call)",X37)))</formula>
    </cfRule>
    <cfRule type="containsText" dxfId="1371" priority="1056" operator="containsText" text="9ab">
      <formula>NOT(ISERROR(SEARCH("9ab",X37)))</formula>
    </cfRule>
    <cfRule type="cellIs" dxfId="1370" priority="1057" stopIfTrue="1" operator="equal">
      <formula>"leave"</formula>
    </cfRule>
    <cfRule type="containsText" dxfId="1369" priority="1058" operator="containsText" text="ds">
      <formula>NOT(ISERROR(SEARCH("ds",X37)))</formula>
    </cfRule>
    <cfRule type="containsText" dxfId="1368" priority="1059" operator="containsText" text="subobs">
      <formula>NOT(ISERROR(SEARCH("subobs",X37)))</formula>
    </cfRule>
    <cfRule type="containsText" dxfId="1367" priority="1060" operator="containsText" text="Call">
      <formula>NOT(ISERROR(SEARCH("Call",X37)))</formula>
    </cfRule>
    <cfRule type="containsText" dxfId="1366" priority="1062" operator="containsText" text="9ab">
      <formula>NOT(ISERROR(SEARCH("9ab",X37)))</formula>
    </cfRule>
    <cfRule type="cellIs" dxfId="1365" priority="1063" stopIfTrue="1" operator="equal">
      <formula>"leave"</formula>
    </cfRule>
    <cfRule type="containsText" dxfId="1364" priority="1064" operator="containsText" text="ds">
      <formula>NOT(ISERROR(SEARCH("ds",X37)))</formula>
    </cfRule>
    <cfRule type="containsText" dxfId="1363" priority="1065" operator="containsText" text="subobs">
      <formula>NOT(ISERROR(SEARCH("subobs",X37)))</formula>
    </cfRule>
    <cfRule type="containsText" dxfId="1362" priority="1066" operator="containsText" text="Call">
      <formula>NOT(ISERROR(SEARCH("Call",X37)))</formula>
    </cfRule>
    <cfRule type="containsText" dxfId="1361" priority="1068" operator="containsText" text="9ab">
      <formula>NOT(ISERROR(SEARCH("9ab",X37)))</formula>
    </cfRule>
    <cfRule type="cellIs" dxfId="1360" priority="1069" stopIfTrue="1" operator="equal">
      <formula>"leave"</formula>
    </cfRule>
    <cfRule type="containsText" dxfId="1359" priority="1070" operator="containsText" text="ds">
      <formula>NOT(ISERROR(SEARCH("ds",X37)))</formula>
    </cfRule>
    <cfRule type="containsText" dxfId="1358" priority="1071" operator="containsText" text="subobs">
      <formula>NOT(ISERROR(SEARCH("subobs",X37)))</formula>
    </cfRule>
    <cfRule type="containsText" dxfId="1357" priority="1072" operator="containsText" text="Call">
      <formula>NOT(ISERROR(SEARCH("Call",X37)))</formula>
    </cfRule>
    <cfRule type="containsText" dxfId="1356" priority="1076" operator="containsText" text="9ab">
      <formula>NOT(ISERROR(SEARCH("9ab",X37)))</formula>
    </cfRule>
    <cfRule type="cellIs" dxfId="1355" priority="1077" stopIfTrue="1" operator="equal">
      <formula>"leave"</formula>
    </cfRule>
    <cfRule type="containsText" dxfId="1354" priority="1078" operator="containsText" text="ds">
      <formula>NOT(ISERROR(SEARCH("ds",X37)))</formula>
    </cfRule>
    <cfRule type="containsText" dxfId="1353" priority="1079" operator="containsText" text="subobs">
      <formula>NOT(ISERROR(SEARCH("subobs",X37)))</formula>
    </cfRule>
    <cfRule type="containsText" dxfId="1352" priority="1080" operator="containsText" text="Call">
      <formula>NOT(ISERROR(SEARCH("Call",X37)))</formula>
    </cfRule>
    <cfRule type="containsText" dxfId="1351" priority="1083" operator="containsText" text="9ab">
      <formula>NOT(ISERROR(SEARCH("9ab",X37)))</formula>
    </cfRule>
    <cfRule type="cellIs" dxfId="1350" priority="1084" stopIfTrue="1" operator="equal">
      <formula>"leave"</formula>
    </cfRule>
    <cfRule type="containsText" dxfId="1349" priority="1085" operator="containsText" text="ds">
      <formula>NOT(ISERROR(SEARCH("ds",X37)))</formula>
    </cfRule>
    <cfRule type="containsText" dxfId="1348" priority="1086" operator="containsText" text="subobs">
      <formula>NOT(ISERROR(SEARCH("subobs",X37)))</formula>
    </cfRule>
    <cfRule type="containsText" dxfId="1347" priority="1087" stopIfTrue="1" operator="containsText" text="(Call)">
      <formula>NOT(ISERROR(SEARCH("(Call)",X37)))</formula>
    </cfRule>
  </conditionalFormatting>
  <conditionalFormatting sqref="X36:Y42">
    <cfRule type="containsText" dxfId="1346" priority="1074" operator="containsText" text="b1">
      <formula>NOT(ISERROR(SEARCH("b1",X36)))</formula>
    </cfRule>
    <cfRule type="cellIs" dxfId="1345" priority="1075" operator="equal">
      <formula>0</formula>
    </cfRule>
    <cfRule type="containsText" dxfId="1344" priority="1082" stopIfTrue="1" operator="containsText" text="go">
      <formula>NOT(ISERROR(SEARCH("go",X36)))</formula>
    </cfRule>
    <cfRule type="cellIs" dxfId="1343" priority="1089" operator="equal">
      <formula>"ps_cover"</formula>
    </cfRule>
    <cfRule type="containsText" dxfId="1342" priority="1090" stopIfTrue="1" operator="containsText" text="9ab">
      <formula>NOT(ISERROR(SEARCH("9ab",X36)))</formula>
    </cfRule>
    <cfRule type="containsText" dxfId="1341" priority="1091" stopIfTrue="1" operator="containsText" text="ds">
      <formula>NOT(ISERROR(SEARCH("ds",X36)))</formula>
    </cfRule>
    <cfRule type="containsText" dxfId="1340" priority="1092" stopIfTrue="1" operator="containsText" text="subobs">
      <formula>NOT(ISERROR(SEARCH("subobs",X36)))</formula>
    </cfRule>
  </conditionalFormatting>
  <conditionalFormatting sqref="X36:AC42">
    <cfRule type="containsText" dxfId="1339" priority="1027" operator="containsText" text="(Call)">
      <formula>NOT(ISERROR(SEARCH("(Call)",X36)))</formula>
    </cfRule>
  </conditionalFormatting>
  <conditionalFormatting sqref="Z36:AC42">
    <cfRule type="containsText" dxfId="1338" priority="1028" operator="containsText" text="b1">
      <formula>NOT(ISERROR(SEARCH("b1",Z36)))</formula>
    </cfRule>
    <cfRule type="cellIs" dxfId="1337" priority="1029" operator="equal">
      <formula>0</formula>
    </cfRule>
    <cfRule type="containsText" dxfId="1336" priority="1030" stopIfTrue="1" operator="containsText" text="go">
      <formula>NOT(ISERROR(SEARCH("go",Z36)))</formula>
    </cfRule>
    <cfRule type="cellIs" dxfId="1335" priority="1031" operator="equal">
      <formula>"ps_cover"</formula>
    </cfRule>
    <cfRule type="containsText" dxfId="1334" priority="1032" stopIfTrue="1" operator="containsText" text="9ab">
      <formula>NOT(ISERROR(SEARCH("9ab",Z36)))</formula>
    </cfRule>
    <cfRule type="containsText" dxfId="1333" priority="1033" stopIfTrue="1" operator="containsText" text="ds">
      <formula>NOT(ISERROR(SEARCH("ds",Z36)))</formula>
    </cfRule>
    <cfRule type="containsText" dxfId="1332" priority="1034" stopIfTrue="1" operator="containsText" text="subobs">
      <formula>NOT(ISERROR(SEARCH("subobs",Z36)))</formula>
    </cfRule>
  </conditionalFormatting>
  <conditionalFormatting sqref="AD19:AJ26">
    <cfRule type="cellIs" dxfId="1331" priority="1822" operator="equal">
      <formula>0</formula>
    </cfRule>
  </conditionalFormatting>
  <conditionalFormatting sqref="AD28:AJ35">
    <cfRule type="cellIs" dxfId="1330" priority="1568" operator="equal">
      <formula>0</formula>
    </cfRule>
  </conditionalFormatting>
  <conditionalFormatting sqref="AE19:AE25">
    <cfRule type="containsText" dxfId="1329" priority="1804" operator="containsText" text="9ab">
      <formula>NOT(ISERROR(SEARCH("9ab",AE19)))</formula>
    </cfRule>
    <cfRule type="cellIs" dxfId="1328" priority="1805" stopIfTrue="1" operator="equal">
      <formula>"leave"</formula>
    </cfRule>
    <cfRule type="containsText" dxfId="1327" priority="1806" operator="containsText" text="ds">
      <formula>NOT(ISERROR(SEARCH("ds",AE19)))</formula>
    </cfRule>
    <cfRule type="containsText" dxfId="1326" priority="1807" operator="containsText" text="subobs">
      <formula>NOT(ISERROR(SEARCH("subobs",AE19)))</formula>
    </cfRule>
    <cfRule type="containsText" dxfId="1325" priority="1808" operator="containsText" text="Call">
      <formula>NOT(ISERROR(SEARCH("Call",AE19)))</formula>
    </cfRule>
    <cfRule type="containsText" dxfId="1324" priority="1816" operator="containsText" text="9ab">
      <formula>NOT(ISERROR(SEARCH("9ab",AE19)))</formula>
    </cfRule>
    <cfRule type="cellIs" dxfId="1323" priority="1817" stopIfTrue="1" operator="equal">
      <formula>"leave"</formula>
    </cfRule>
    <cfRule type="containsText" dxfId="1322" priority="1818" operator="containsText" text="ds">
      <formula>NOT(ISERROR(SEARCH("ds",AE19)))</formula>
    </cfRule>
    <cfRule type="containsText" dxfId="1321" priority="1819" operator="containsText" text="subobs">
      <formula>NOT(ISERROR(SEARCH("subobs",AE19)))</formula>
    </cfRule>
    <cfRule type="containsText" dxfId="1320" priority="1820" operator="containsText" text="Call">
      <formula>NOT(ISERROR(SEARCH("Call",AE19)))</formula>
    </cfRule>
  </conditionalFormatting>
  <conditionalFormatting sqref="AE19:AE26">
    <cfRule type="containsText" dxfId="1319" priority="1810" operator="containsText" text="9ab">
      <formula>NOT(ISERROR(SEARCH("9ab",AE19)))</formula>
    </cfRule>
    <cfRule type="cellIs" dxfId="1318" priority="1811" stopIfTrue="1" operator="equal">
      <formula>"leave"</formula>
    </cfRule>
    <cfRule type="containsText" dxfId="1317" priority="1812" operator="containsText" text="ds">
      <formula>NOT(ISERROR(SEARCH("ds",AE19)))</formula>
    </cfRule>
    <cfRule type="containsText" dxfId="1316" priority="1813" operator="containsText" text="subobs">
      <formula>NOT(ISERROR(SEARCH("subobs",AE19)))</formula>
    </cfRule>
    <cfRule type="containsText" dxfId="1315" priority="1814" stopIfTrue="1" operator="containsText" text="(Call)">
      <formula>NOT(ISERROR(SEARCH("(Call)",AE19)))</formula>
    </cfRule>
    <cfRule type="containsText" dxfId="1314" priority="1823" operator="containsText" text="9ab">
      <formula>NOT(ISERROR(SEARCH("9ab",AE19)))</formula>
    </cfRule>
    <cfRule type="cellIs" dxfId="1313" priority="1824" stopIfTrue="1" operator="equal">
      <formula>"leave"</formula>
    </cfRule>
    <cfRule type="containsText" dxfId="1312" priority="1825" operator="containsText" text="ds">
      <formula>NOT(ISERROR(SEARCH("ds",AE19)))</formula>
    </cfRule>
    <cfRule type="containsText" dxfId="1311" priority="1826" operator="containsText" text="subobs">
      <formula>NOT(ISERROR(SEARCH("subobs",AE19)))</formula>
    </cfRule>
    <cfRule type="containsText" dxfId="1310" priority="1827" operator="containsText" text="Call">
      <formula>NOT(ISERROR(SEARCH("Call",AE19)))</formula>
    </cfRule>
  </conditionalFormatting>
  <conditionalFormatting sqref="AE28:AE33">
    <cfRule type="containsText" dxfId="1309" priority="1550" operator="containsText" text="9ab">
      <formula>NOT(ISERROR(SEARCH("9ab",AE28)))</formula>
    </cfRule>
    <cfRule type="cellIs" dxfId="1308" priority="1551" stopIfTrue="1" operator="equal">
      <formula>"leave"</formula>
    </cfRule>
    <cfRule type="containsText" dxfId="1307" priority="1552" operator="containsText" text="ds">
      <formula>NOT(ISERROR(SEARCH("ds",AE28)))</formula>
    </cfRule>
    <cfRule type="containsText" dxfId="1306" priority="1553" operator="containsText" text="subobs">
      <formula>NOT(ISERROR(SEARCH("subobs",AE28)))</formula>
    </cfRule>
    <cfRule type="containsText" dxfId="1305" priority="1554" operator="containsText" text="Call">
      <formula>NOT(ISERROR(SEARCH("Call",AE28)))</formula>
    </cfRule>
    <cfRule type="containsText" dxfId="1304" priority="1562" operator="containsText" text="9ab">
      <formula>NOT(ISERROR(SEARCH("9ab",AE28)))</formula>
    </cfRule>
    <cfRule type="cellIs" dxfId="1303" priority="1563" stopIfTrue="1" operator="equal">
      <formula>"leave"</formula>
    </cfRule>
    <cfRule type="containsText" dxfId="1302" priority="1564" operator="containsText" text="ds">
      <formula>NOT(ISERROR(SEARCH("ds",AE28)))</formula>
    </cfRule>
    <cfRule type="containsText" dxfId="1301" priority="1565" operator="containsText" text="subobs">
      <formula>NOT(ISERROR(SEARCH("subobs",AE28)))</formula>
    </cfRule>
    <cfRule type="containsText" dxfId="1300" priority="1566" operator="containsText" text="Call">
      <formula>NOT(ISERROR(SEARCH("Call",AE28)))</formula>
    </cfRule>
  </conditionalFormatting>
  <conditionalFormatting sqref="AE28:AE35">
    <cfRule type="containsText" dxfId="1299" priority="1556" operator="containsText" text="9ab">
      <formula>NOT(ISERROR(SEARCH("9ab",AE28)))</formula>
    </cfRule>
    <cfRule type="cellIs" dxfId="1298" priority="1557" stopIfTrue="1" operator="equal">
      <formula>"leave"</formula>
    </cfRule>
    <cfRule type="containsText" dxfId="1297" priority="1558" operator="containsText" text="ds">
      <formula>NOT(ISERROR(SEARCH("ds",AE28)))</formula>
    </cfRule>
    <cfRule type="containsText" dxfId="1296" priority="1559" operator="containsText" text="subobs">
      <formula>NOT(ISERROR(SEARCH("subobs",AE28)))</formula>
    </cfRule>
    <cfRule type="containsText" dxfId="1295" priority="1560" stopIfTrue="1" operator="containsText" text="(Call)">
      <formula>NOT(ISERROR(SEARCH("(Call)",AE28)))</formula>
    </cfRule>
    <cfRule type="containsText" dxfId="1294" priority="1569" operator="containsText" text="9ab">
      <formula>NOT(ISERROR(SEARCH("9ab",AE28)))</formula>
    </cfRule>
    <cfRule type="cellIs" dxfId="1293" priority="1570" stopIfTrue="1" operator="equal">
      <formula>"leave"</formula>
    </cfRule>
    <cfRule type="containsText" dxfId="1292" priority="1571" operator="containsText" text="ds">
      <formula>NOT(ISERROR(SEARCH("ds",AE28)))</formula>
    </cfRule>
    <cfRule type="containsText" dxfId="1291" priority="1572" operator="containsText" text="subobs">
      <formula>NOT(ISERROR(SEARCH("subobs",AE28)))</formula>
    </cfRule>
    <cfRule type="containsText" dxfId="1290" priority="1573" operator="containsText" text="Call">
      <formula>NOT(ISERROR(SEARCH("Call",AE28)))</formula>
    </cfRule>
  </conditionalFormatting>
  <conditionalFormatting sqref="AE37:AE42">
    <cfRule type="containsText" dxfId="1289" priority="978" operator="containsText" text="9ab">
      <formula>NOT(ISERROR(SEARCH("9ab",AE37)))</formula>
    </cfRule>
    <cfRule type="cellIs" dxfId="1288" priority="979" stopIfTrue="1" operator="equal">
      <formula>"leave"</formula>
    </cfRule>
    <cfRule type="containsText" dxfId="1287" priority="980" operator="containsText" text="ds">
      <formula>NOT(ISERROR(SEARCH("ds",AE37)))</formula>
    </cfRule>
    <cfRule type="containsText" dxfId="1286" priority="981" operator="containsText" text="subobs">
      <formula>NOT(ISERROR(SEARCH("subobs",AE37)))</formula>
    </cfRule>
    <cfRule type="containsText" dxfId="1285" priority="982" operator="containsText" text="Call">
      <formula>NOT(ISERROR(SEARCH("Call",AE37)))</formula>
    </cfRule>
    <cfRule type="containsText" dxfId="1284" priority="984" operator="containsText" text="9ab">
      <formula>NOT(ISERROR(SEARCH("9ab",AE37)))</formula>
    </cfRule>
    <cfRule type="cellIs" dxfId="1283" priority="985" stopIfTrue="1" operator="equal">
      <formula>"leave"</formula>
    </cfRule>
    <cfRule type="containsText" dxfId="1282" priority="986" operator="containsText" text="ds">
      <formula>NOT(ISERROR(SEARCH("ds",AE37)))</formula>
    </cfRule>
    <cfRule type="containsText" dxfId="1281" priority="987" operator="containsText" text="subobs">
      <formula>NOT(ISERROR(SEARCH("subobs",AE37)))</formula>
    </cfRule>
    <cfRule type="containsText" dxfId="1280" priority="988" stopIfTrue="1" operator="containsText" text="(Call)">
      <formula>NOT(ISERROR(SEARCH("(Call)",AE37)))</formula>
    </cfRule>
    <cfRule type="containsText" dxfId="1279" priority="990" operator="containsText" text="9ab">
      <formula>NOT(ISERROR(SEARCH("9ab",AE37)))</formula>
    </cfRule>
    <cfRule type="cellIs" dxfId="1278" priority="991" stopIfTrue="1" operator="equal">
      <formula>"leave"</formula>
    </cfRule>
    <cfRule type="containsText" dxfId="1277" priority="992" operator="containsText" text="ds">
      <formula>NOT(ISERROR(SEARCH("ds",AE37)))</formula>
    </cfRule>
    <cfRule type="containsText" dxfId="1276" priority="993" operator="containsText" text="subobs">
      <formula>NOT(ISERROR(SEARCH("subobs",AE37)))</formula>
    </cfRule>
    <cfRule type="containsText" dxfId="1275" priority="994" operator="containsText" text="Call">
      <formula>NOT(ISERROR(SEARCH("Call",AE37)))</formula>
    </cfRule>
    <cfRule type="containsText" dxfId="1274" priority="996" operator="containsText" text="9ab">
      <formula>NOT(ISERROR(SEARCH("9ab",AE37)))</formula>
    </cfRule>
    <cfRule type="cellIs" dxfId="1273" priority="997" stopIfTrue="1" operator="equal">
      <formula>"leave"</formula>
    </cfRule>
    <cfRule type="containsText" dxfId="1272" priority="998" operator="containsText" text="ds">
      <formula>NOT(ISERROR(SEARCH("ds",AE37)))</formula>
    </cfRule>
    <cfRule type="containsText" dxfId="1271" priority="999" operator="containsText" text="subobs">
      <formula>NOT(ISERROR(SEARCH("subobs",AE37)))</formula>
    </cfRule>
    <cfRule type="containsText" dxfId="1270" priority="1000" operator="containsText" text="Call">
      <formula>NOT(ISERROR(SEARCH("Call",AE37)))</formula>
    </cfRule>
    <cfRule type="containsText" dxfId="1269" priority="1002" operator="containsText" text="9ab">
      <formula>NOT(ISERROR(SEARCH("9ab",AE37)))</formula>
    </cfRule>
    <cfRule type="cellIs" dxfId="1268" priority="1003" stopIfTrue="1" operator="equal">
      <formula>"leave"</formula>
    </cfRule>
    <cfRule type="containsText" dxfId="1267" priority="1004" operator="containsText" text="ds">
      <formula>NOT(ISERROR(SEARCH("ds",AE37)))</formula>
    </cfRule>
    <cfRule type="containsText" dxfId="1266" priority="1005" operator="containsText" text="subobs">
      <formula>NOT(ISERROR(SEARCH("subobs",AE37)))</formula>
    </cfRule>
    <cfRule type="containsText" dxfId="1265" priority="1006" operator="containsText" text="Call">
      <formula>NOT(ISERROR(SEARCH("Call",AE37)))</formula>
    </cfRule>
    <cfRule type="containsText" dxfId="1264" priority="1010" operator="containsText" text="9ab">
      <formula>NOT(ISERROR(SEARCH("9ab",AE37)))</formula>
    </cfRule>
    <cfRule type="cellIs" dxfId="1263" priority="1011" stopIfTrue="1" operator="equal">
      <formula>"leave"</formula>
    </cfRule>
    <cfRule type="containsText" dxfId="1262" priority="1012" operator="containsText" text="ds">
      <formula>NOT(ISERROR(SEARCH("ds",AE37)))</formula>
    </cfRule>
    <cfRule type="containsText" dxfId="1261" priority="1013" operator="containsText" text="subobs">
      <formula>NOT(ISERROR(SEARCH("subobs",AE37)))</formula>
    </cfRule>
    <cfRule type="containsText" dxfId="1260" priority="1014" operator="containsText" text="Call">
      <formula>NOT(ISERROR(SEARCH("Call",AE37)))</formula>
    </cfRule>
    <cfRule type="containsText" dxfId="1259" priority="1017" operator="containsText" text="9ab">
      <formula>NOT(ISERROR(SEARCH("9ab",AE37)))</formula>
    </cfRule>
    <cfRule type="cellIs" dxfId="1258" priority="1018" stopIfTrue="1" operator="equal">
      <formula>"leave"</formula>
    </cfRule>
    <cfRule type="containsText" dxfId="1257" priority="1019" operator="containsText" text="ds">
      <formula>NOT(ISERROR(SEARCH("ds",AE37)))</formula>
    </cfRule>
    <cfRule type="containsText" dxfId="1256" priority="1020" operator="containsText" text="subobs">
      <formula>NOT(ISERROR(SEARCH("subobs",AE37)))</formula>
    </cfRule>
    <cfRule type="containsText" dxfId="1255" priority="1021" stopIfTrue="1" operator="containsText" text="(Call)">
      <formula>NOT(ISERROR(SEARCH("(Call)",AE37)))</formula>
    </cfRule>
  </conditionalFormatting>
  <conditionalFormatting sqref="AE36:AF42">
    <cfRule type="containsText" dxfId="1254" priority="1008" operator="containsText" text="b1">
      <formula>NOT(ISERROR(SEARCH("b1",AE36)))</formula>
    </cfRule>
    <cfRule type="cellIs" dxfId="1253" priority="1009" operator="equal">
      <formula>0</formula>
    </cfRule>
    <cfRule type="containsText" dxfId="1252" priority="1016" stopIfTrue="1" operator="containsText" text="go">
      <formula>NOT(ISERROR(SEARCH("go",AE36)))</formula>
    </cfRule>
    <cfRule type="cellIs" dxfId="1251" priority="1023" operator="equal">
      <formula>"ps_cover"</formula>
    </cfRule>
    <cfRule type="containsText" dxfId="1250" priority="1024" stopIfTrue="1" operator="containsText" text="9ab">
      <formula>NOT(ISERROR(SEARCH("9ab",AE36)))</formula>
    </cfRule>
    <cfRule type="containsText" dxfId="1249" priority="1025" stopIfTrue="1" operator="containsText" text="ds">
      <formula>NOT(ISERROR(SEARCH("ds",AE36)))</formula>
    </cfRule>
    <cfRule type="containsText" dxfId="1248" priority="1026" stopIfTrue="1" operator="containsText" text="subobs">
      <formula>NOT(ISERROR(SEARCH("subobs",AE36)))</formula>
    </cfRule>
  </conditionalFormatting>
  <conditionalFormatting sqref="AE36:AJ42">
    <cfRule type="containsText" dxfId="1247" priority="961" operator="containsText" text="(Call)">
      <formula>NOT(ISERROR(SEARCH("(Call)",AE36)))</formula>
    </cfRule>
  </conditionalFormatting>
  <conditionalFormatting sqref="AF19:AJ25">
    <cfRule type="cellIs" dxfId="1246" priority="1449" operator="equal">
      <formula>0</formula>
    </cfRule>
  </conditionalFormatting>
  <conditionalFormatting sqref="AG36:AJ42">
    <cfRule type="containsText" dxfId="1245" priority="962" operator="containsText" text="b1">
      <formula>NOT(ISERROR(SEARCH("b1",AG36)))</formula>
    </cfRule>
    <cfRule type="cellIs" dxfId="1244" priority="963" operator="equal">
      <formula>0</formula>
    </cfRule>
    <cfRule type="containsText" dxfId="1243" priority="964" stopIfTrue="1" operator="containsText" text="go">
      <formula>NOT(ISERROR(SEARCH("go",AG36)))</formula>
    </cfRule>
    <cfRule type="cellIs" dxfId="1242" priority="965" operator="equal">
      <formula>"ps_cover"</formula>
    </cfRule>
    <cfRule type="containsText" dxfId="1241" priority="966" stopIfTrue="1" operator="containsText" text="9ab">
      <formula>NOT(ISERROR(SEARCH("9ab",AG36)))</formula>
    </cfRule>
    <cfRule type="containsText" dxfId="1240" priority="967" stopIfTrue="1" operator="containsText" text="ds">
      <formula>NOT(ISERROR(SEARCH("ds",AG36)))</formula>
    </cfRule>
    <cfRule type="containsText" dxfId="1239" priority="968" stopIfTrue="1" operator="containsText" text="subobs">
      <formula>NOT(ISERROR(SEARCH("subobs",AG36)))</formula>
    </cfRule>
  </conditionalFormatting>
  <conditionalFormatting sqref="AK19:AQ26">
    <cfRule type="cellIs" dxfId="1238" priority="1797" operator="equal">
      <formula>0</formula>
    </cfRule>
  </conditionalFormatting>
  <conditionalFormatting sqref="AK28:AQ35">
    <cfRule type="cellIs" dxfId="1237" priority="1543" operator="equal">
      <formula>0</formula>
    </cfRule>
  </conditionalFormatting>
  <conditionalFormatting sqref="AL19:AL25">
    <cfRule type="containsText" dxfId="1236" priority="1779" operator="containsText" text="9ab">
      <formula>NOT(ISERROR(SEARCH("9ab",AL19)))</formula>
    </cfRule>
    <cfRule type="cellIs" dxfId="1235" priority="1780" stopIfTrue="1" operator="equal">
      <formula>"leave"</formula>
    </cfRule>
    <cfRule type="containsText" dxfId="1234" priority="1781" operator="containsText" text="ds">
      <formula>NOT(ISERROR(SEARCH("ds",AL19)))</formula>
    </cfRule>
    <cfRule type="containsText" dxfId="1233" priority="1782" operator="containsText" text="subobs">
      <formula>NOT(ISERROR(SEARCH("subobs",AL19)))</formula>
    </cfRule>
    <cfRule type="containsText" dxfId="1232" priority="1783" operator="containsText" text="Call">
      <formula>NOT(ISERROR(SEARCH("Call",AL19)))</formula>
    </cfRule>
    <cfRule type="containsText" dxfId="1231" priority="1791" operator="containsText" text="9ab">
      <formula>NOT(ISERROR(SEARCH("9ab",AL19)))</formula>
    </cfRule>
    <cfRule type="cellIs" dxfId="1230" priority="1792" stopIfTrue="1" operator="equal">
      <formula>"leave"</formula>
    </cfRule>
    <cfRule type="containsText" dxfId="1229" priority="1793" operator="containsText" text="ds">
      <formula>NOT(ISERROR(SEARCH("ds",AL19)))</formula>
    </cfRule>
    <cfRule type="containsText" dxfId="1228" priority="1794" operator="containsText" text="subobs">
      <formula>NOT(ISERROR(SEARCH("subobs",AL19)))</formula>
    </cfRule>
    <cfRule type="containsText" dxfId="1227" priority="1795" operator="containsText" text="Call">
      <formula>NOT(ISERROR(SEARCH("Call",AL19)))</formula>
    </cfRule>
  </conditionalFormatting>
  <conditionalFormatting sqref="AL19:AL26">
    <cfRule type="containsText" dxfId="1226" priority="1785" operator="containsText" text="9ab">
      <formula>NOT(ISERROR(SEARCH("9ab",AL19)))</formula>
    </cfRule>
    <cfRule type="cellIs" dxfId="1225" priority="1786" stopIfTrue="1" operator="equal">
      <formula>"leave"</formula>
    </cfRule>
    <cfRule type="containsText" dxfId="1224" priority="1787" operator="containsText" text="ds">
      <formula>NOT(ISERROR(SEARCH("ds",AL19)))</formula>
    </cfRule>
    <cfRule type="containsText" dxfId="1223" priority="1788" operator="containsText" text="subobs">
      <formula>NOT(ISERROR(SEARCH("subobs",AL19)))</formula>
    </cfRule>
    <cfRule type="containsText" dxfId="1222" priority="1789" stopIfTrue="1" operator="containsText" text="(Call)">
      <formula>NOT(ISERROR(SEARCH("(Call)",AL19)))</formula>
    </cfRule>
    <cfRule type="containsText" dxfId="1221" priority="1798" operator="containsText" text="9ab">
      <formula>NOT(ISERROR(SEARCH("9ab",AL19)))</formula>
    </cfRule>
    <cfRule type="cellIs" dxfId="1220" priority="1799" stopIfTrue="1" operator="equal">
      <formula>"leave"</formula>
    </cfRule>
    <cfRule type="containsText" dxfId="1219" priority="1800" operator="containsText" text="ds">
      <formula>NOT(ISERROR(SEARCH("ds",AL19)))</formula>
    </cfRule>
    <cfRule type="containsText" dxfId="1218" priority="1801" operator="containsText" text="subobs">
      <formula>NOT(ISERROR(SEARCH("subobs",AL19)))</formula>
    </cfRule>
    <cfRule type="containsText" dxfId="1217" priority="1802" operator="containsText" text="Call">
      <formula>NOT(ISERROR(SEARCH("Call",AL19)))</formula>
    </cfRule>
  </conditionalFormatting>
  <conditionalFormatting sqref="AL28:AL33">
    <cfRule type="containsText" dxfId="1216" priority="1525" operator="containsText" text="9ab">
      <formula>NOT(ISERROR(SEARCH("9ab",AL28)))</formula>
    </cfRule>
    <cfRule type="cellIs" dxfId="1215" priority="1526" stopIfTrue="1" operator="equal">
      <formula>"leave"</formula>
    </cfRule>
    <cfRule type="containsText" dxfId="1214" priority="1527" operator="containsText" text="ds">
      <formula>NOT(ISERROR(SEARCH("ds",AL28)))</formula>
    </cfRule>
    <cfRule type="containsText" dxfId="1213" priority="1528" operator="containsText" text="subobs">
      <formula>NOT(ISERROR(SEARCH("subobs",AL28)))</formula>
    </cfRule>
    <cfRule type="containsText" dxfId="1212" priority="1529" operator="containsText" text="Call">
      <formula>NOT(ISERROR(SEARCH("Call",AL28)))</formula>
    </cfRule>
    <cfRule type="containsText" dxfId="1211" priority="1537" operator="containsText" text="9ab">
      <formula>NOT(ISERROR(SEARCH("9ab",AL28)))</formula>
    </cfRule>
    <cfRule type="cellIs" dxfId="1210" priority="1538" stopIfTrue="1" operator="equal">
      <formula>"leave"</formula>
    </cfRule>
    <cfRule type="containsText" dxfId="1209" priority="1539" operator="containsText" text="ds">
      <formula>NOT(ISERROR(SEARCH("ds",AL28)))</formula>
    </cfRule>
    <cfRule type="containsText" dxfId="1208" priority="1540" operator="containsText" text="subobs">
      <formula>NOT(ISERROR(SEARCH("subobs",AL28)))</formula>
    </cfRule>
    <cfRule type="containsText" dxfId="1207" priority="1541" operator="containsText" text="Call">
      <formula>NOT(ISERROR(SEARCH("Call",AL28)))</formula>
    </cfRule>
  </conditionalFormatting>
  <conditionalFormatting sqref="AL28:AL35">
    <cfRule type="containsText" dxfId="1206" priority="1531" operator="containsText" text="9ab">
      <formula>NOT(ISERROR(SEARCH("9ab",AL28)))</formula>
    </cfRule>
    <cfRule type="cellIs" dxfId="1205" priority="1532" stopIfTrue="1" operator="equal">
      <formula>"leave"</formula>
    </cfRule>
    <cfRule type="containsText" dxfId="1204" priority="1533" operator="containsText" text="ds">
      <formula>NOT(ISERROR(SEARCH("ds",AL28)))</formula>
    </cfRule>
    <cfRule type="containsText" dxfId="1203" priority="1534" operator="containsText" text="subobs">
      <formula>NOT(ISERROR(SEARCH("subobs",AL28)))</formula>
    </cfRule>
    <cfRule type="containsText" dxfId="1202" priority="1535" stopIfTrue="1" operator="containsText" text="(Call)">
      <formula>NOT(ISERROR(SEARCH("(Call)",AL28)))</formula>
    </cfRule>
    <cfRule type="containsText" dxfId="1201" priority="1544" operator="containsText" text="9ab">
      <formula>NOT(ISERROR(SEARCH("9ab",AL28)))</formula>
    </cfRule>
    <cfRule type="cellIs" dxfId="1200" priority="1545" stopIfTrue="1" operator="equal">
      <formula>"leave"</formula>
    </cfRule>
    <cfRule type="containsText" dxfId="1199" priority="1546" operator="containsText" text="ds">
      <formula>NOT(ISERROR(SEARCH("ds",AL28)))</formula>
    </cfRule>
    <cfRule type="containsText" dxfId="1198" priority="1547" operator="containsText" text="subobs">
      <formula>NOT(ISERROR(SEARCH("subobs",AL28)))</formula>
    </cfRule>
    <cfRule type="containsText" dxfId="1197" priority="1548" operator="containsText" text="Call">
      <formula>NOT(ISERROR(SEARCH("Call",AL28)))</formula>
    </cfRule>
  </conditionalFormatting>
  <conditionalFormatting sqref="AL37:AL42">
    <cfRule type="containsText" dxfId="1196" priority="912" operator="containsText" text="9ab">
      <formula>NOT(ISERROR(SEARCH("9ab",AL37)))</formula>
    </cfRule>
    <cfRule type="cellIs" dxfId="1195" priority="913" stopIfTrue="1" operator="equal">
      <formula>"leave"</formula>
    </cfRule>
    <cfRule type="containsText" dxfId="1194" priority="914" operator="containsText" text="ds">
      <formula>NOT(ISERROR(SEARCH("ds",AL37)))</formula>
    </cfRule>
    <cfRule type="containsText" dxfId="1193" priority="915" operator="containsText" text="subobs">
      <formula>NOT(ISERROR(SEARCH("subobs",AL37)))</formula>
    </cfRule>
    <cfRule type="containsText" dxfId="1192" priority="916" operator="containsText" text="Call">
      <formula>NOT(ISERROR(SEARCH("Call",AL37)))</formula>
    </cfRule>
    <cfRule type="containsText" dxfId="1191" priority="918" operator="containsText" text="9ab">
      <formula>NOT(ISERROR(SEARCH("9ab",AL37)))</formula>
    </cfRule>
    <cfRule type="cellIs" dxfId="1190" priority="919" stopIfTrue="1" operator="equal">
      <formula>"leave"</formula>
    </cfRule>
    <cfRule type="containsText" dxfId="1189" priority="920" operator="containsText" text="ds">
      <formula>NOT(ISERROR(SEARCH("ds",AL37)))</formula>
    </cfRule>
    <cfRule type="containsText" dxfId="1188" priority="921" operator="containsText" text="subobs">
      <formula>NOT(ISERROR(SEARCH("subobs",AL37)))</formula>
    </cfRule>
    <cfRule type="containsText" dxfId="1187" priority="922" stopIfTrue="1" operator="containsText" text="(Call)">
      <formula>NOT(ISERROR(SEARCH("(Call)",AL37)))</formula>
    </cfRule>
    <cfRule type="containsText" dxfId="1186" priority="924" operator="containsText" text="9ab">
      <formula>NOT(ISERROR(SEARCH("9ab",AL37)))</formula>
    </cfRule>
    <cfRule type="cellIs" dxfId="1185" priority="925" stopIfTrue="1" operator="equal">
      <formula>"leave"</formula>
    </cfRule>
    <cfRule type="containsText" dxfId="1184" priority="926" operator="containsText" text="ds">
      <formula>NOT(ISERROR(SEARCH("ds",AL37)))</formula>
    </cfRule>
    <cfRule type="containsText" dxfId="1183" priority="927" operator="containsText" text="subobs">
      <formula>NOT(ISERROR(SEARCH("subobs",AL37)))</formula>
    </cfRule>
    <cfRule type="containsText" dxfId="1182" priority="928" operator="containsText" text="Call">
      <formula>NOT(ISERROR(SEARCH("Call",AL37)))</formula>
    </cfRule>
    <cfRule type="containsText" dxfId="1181" priority="930" operator="containsText" text="9ab">
      <formula>NOT(ISERROR(SEARCH("9ab",AL37)))</formula>
    </cfRule>
    <cfRule type="cellIs" dxfId="1180" priority="931" stopIfTrue="1" operator="equal">
      <formula>"leave"</formula>
    </cfRule>
    <cfRule type="containsText" dxfId="1179" priority="932" operator="containsText" text="ds">
      <formula>NOT(ISERROR(SEARCH("ds",AL37)))</formula>
    </cfRule>
    <cfRule type="containsText" dxfId="1178" priority="933" operator="containsText" text="subobs">
      <formula>NOT(ISERROR(SEARCH("subobs",AL37)))</formula>
    </cfRule>
    <cfRule type="containsText" dxfId="1177" priority="934" operator="containsText" text="Call">
      <formula>NOT(ISERROR(SEARCH("Call",AL37)))</formula>
    </cfRule>
    <cfRule type="containsText" dxfId="1176" priority="936" operator="containsText" text="9ab">
      <formula>NOT(ISERROR(SEARCH("9ab",AL37)))</formula>
    </cfRule>
    <cfRule type="cellIs" dxfId="1175" priority="937" stopIfTrue="1" operator="equal">
      <formula>"leave"</formula>
    </cfRule>
    <cfRule type="containsText" dxfId="1174" priority="938" operator="containsText" text="ds">
      <formula>NOT(ISERROR(SEARCH("ds",AL37)))</formula>
    </cfRule>
    <cfRule type="containsText" dxfId="1173" priority="939" operator="containsText" text="subobs">
      <formula>NOT(ISERROR(SEARCH("subobs",AL37)))</formula>
    </cfRule>
    <cfRule type="containsText" dxfId="1172" priority="940" operator="containsText" text="Call">
      <formula>NOT(ISERROR(SEARCH("Call",AL37)))</formula>
    </cfRule>
    <cfRule type="containsText" dxfId="1171" priority="944" operator="containsText" text="9ab">
      <formula>NOT(ISERROR(SEARCH("9ab",AL37)))</formula>
    </cfRule>
    <cfRule type="cellIs" dxfId="1170" priority="945" stopIfTrue="1" operator="equal">
      <formula>"leave"</formula>
    </cfRule>
    <cfRule type="containsText" dxfId="1169" priority="946" operator="containsText" text="ds">
      <formula>NOT(ISERROR(SEARCH("ds",AL37)))</formula>
    </cfRule>
    <cfRule type="containsText" dxfId="1168" priority="947" operator="containsText" text="subobs">
      <formula>NOT(ISERROR(SEARCH("subobs",AL37)))</formula>
    </cfRule>
    <cfRule type="containsText" dxfId="1167" priority="948" operator="containsText" text="Call">
      <formula>NOT(ISERROR(SEARCH("Call",AL37)))</formula>
    </cfRule>
    <cfRule type="containsText" dxfId="1166" priority="951" operator="containsText" text="9ab">
      <formula>NOT(ISERROR(SEARCH("9ab",AL37)))</formula>
    </cfRule>
    <cfRule type="cellIs" dxfId="1165" priority="952" stopIfTrue="1" operator="equal">
      <formula>"leave"</formula>
    </cfRule>
    <cfRule type="containsText" dxfId="1164" priority="953" operator="containsText" text="ds">
      <formula>NOT(ISERROR(SEARCH("ds",AL37)))</formula>
    </cfRule>
    <cfRule type="containsText" dxfId="1163" priority="954" operator="containsText" text="subobs">
      <formula>NOT(ISERROR(SEARCH("subobs",AL37)))</formula>
    </cfRule>
    <cfRule type="containsText" dxfId="1162" priority="955" stopIfTrue="1" operator="containsText" text="(Call)">
      <formula>NOT(ISERROR(SEARCH("(Call)",AL37)))</formula>
    </cfRule>
  </conditionalFormatting>
  <conditionalFormatting sqref="AL36:AM42">
    <cfRule type="containsText" dxfId="1161" priority="942" operator="containsText" text="b1">
      <formula>NOT(ISERROR(SEARCH("b1",AL36)))</formula>
    </cfRule>
    <cfRule type="cellIs" dxfId="1160" priority="943" operator="equal">
      <formula>0</formula>
    </cfRule>
    <cfRule type="containsText" dxfId="1159" priority="950" stopIfTrue="1" operator="containsText" text="go">
      <formula>NOT(ISERROR(SEARCH("go",AL36)))</formula>
    </cfRule>
    <cfRule type="cellIs" dxfId="1158" priority="957" operator="equal">
      <formula>"ps_cover"</formula>
    </cfRule>
    <cfRule type="containsText" dxfId="1157" priority="958" stopIfTrue="1" operator="containsText" text="9ab">
      <formula>NOT(ISERROR(SEARCH("9ab",AL36)))</formula>
    </cfRule>
    <cfRule type="containsText" dxfId="1156" priority="959" stopIfTrue="1" operator="containsText" text="ds">
      <formula>NOT(ISERROR(SEARCH("ds",AL36)))</formula>
    </cfRule>
    <cfRule type="containsText" dxfId="1155" priority="960" stopIfTrue="1" operator="containsText" text="subobs">
      <formula>NOT(ISERROR(SEARCH("subobs",AL36)))</formula>
    </cfRule>
  </conditionalFormatting>
  <conditionalFormatting sqref="AL36:AQ42">
    <cfRule type="containsText" dxfId="1154" priority="895" operator="containsText" text="(Call)">
      <formula>NOT(ISERROR(SEARCH("(Call)",AL36)))</formula>
    </cfRule>
  </conditionalFormatting>
  <conditionalFormatting sqref="AM19:AQ25">
    <cfRule type="cellIs" dxfId="1153" priority="1448" operator="equal">
      <formula>0</formula>
    </cfRule>
  </conditionalFormatting>
  <conditionalFormatting sqref="AN36:AQ42">
    <cfRule type="containsText" dxfId="1152" priority="896" operator="containsText" text="b1">
      <formula>NOT(ISERROR(SEARCH("b1",AN36)))</formula>
    </cfRule>
    <cfRule type="cellIs" dxfId="1151" priority="897" operator="equal">
      <formula>0</formula>
    </cfRule>
    <cfRule type="containsText" dxfId="1150" priority="898" stopIfTrue="1" operator="containsText" text="go">
      <formula>NOT(ISERROR(SEARCH("go",AN36)))</formula>
    </cfRule>
    <cfRule type="cellIs" dxfId="1149" priority="899" operator="equal">
      <formula>"ps_cover"</formula>
    </cfRule>
    <cfRule type="containsText" dxfId="1148" priority="900" stopIfTrue="1" operator="containsText" text="9ab">
      <formula>NOT(ISERROR(SEARCH("9ab",AN36)))</formula>
    </cfRule>
    <cfRule type="containsText" dxfId="1147" priority="901" stopIfTrue="1" operator="containsText" text="ds">
      <formula>NOT(ISERROR(SEARCH("ds",AN36)))</formula>
    </cfRule>
    <cfRule type="containsText" dxfId="1146" priority="902" stopIfTrue="1" operator="containsText" text="subobs">
      <formula>NOT(ISERROR(SEARCH("subobs",AN36)))</formula>
    </cfRule>
  </conditionalFormatting>
  <conditionalFormatting sqref="AR19:AX26">
    <cfRule type="cellIs" dxfId="1145" priority="1772" operator="equal">
      <formula>0</formula>
    </cfRule>
  </conditionalFormatting>
  <conditionalFormatting sqref="AR28:AX35">
    <cfRule type="cellIs" dxfId="1144" priority="1518" operator="equal">
      <formula>0</formula>
    </cfRule>
  </conditionalFormatting>
  <conditionalFormatting sqref="AS19:AS25">
    <cfRule type="containsText" dxfId="1143" priority="1754" operator="containsText" text="9ab">
      <formula>NOT(ISERROR(SEARCH("9ab",AS19)))</formula>
    </cfRule>
    <cfRule type="cellIs" dxfId="1142" priority="1755" stopIfTrue="1" operator="equal">
      <formula>"leave"</formula>
    </cfRule>
    <cfRule type="containsText" dxfId="1141" priority="1756" operator="containsText" text="ds">
      <formula>NOT(ISERROR(SEARCH("ds",AS19)))</formula>
    </cfRule>
    <cfRule type="containsText" dxfId="1140" priority="1757" operator="containsText" text="subobs">
      <formula>NOT(ISERROR(SEARCH("subobs",AS19)))</formula>
    </cfRule>
    <cfRule type="containsText" dxfId="1139" priority="1758" operator="containsText" text="Call">
      <formula>NOT(ISERROR(SEARCH("Call",AS19)))</formula>
    </cfRule>
    <cfRule type="containsText" dxfId="1138" priority="1766" operator="containsText" text="9ab">
      <formula>NOT(ISERROR(SEARCH("9ab",AS19)))</formula>
    </cfRule>
    <cfRule type="cellIs" dxfId="1137" priority="1767" stopIfTrue="1" operator="equal">
      <formula>"leave"</formula>
    </cfRule>
    <cfRule type="containsText" dxfId="1136" priority="1768" operator="containsText" text="ds">
      <formula>NOT(ISERROR(SEARCH("ds",AS19)))</formula>
    </cfRule>
    <cfRule type="containsText" dxfId="1135" priority="1769" operator="containsText" text="subobs">
      <formula>NOT(ISERROR(SEARCH("subobs",AS19)))</formula>
    </cfRule>
    <cfRule type="containsText" dxfId="1134" priority="1770" operator="containsText" text="Call">
      <formula>NOT(ISERROR(SEARCH("Call",AS19)))</formula>
    </cfRule>
  </conditionalFormatting>
  <conditionalFormatting sqref="AS19:AS26">
    <cfRule type="containsText" dxfId="1133" priority="1760" operator="containsText" text="9ab">
      <formula>NOT(ISERROR(SEARCH("9ab",AS19)))</formula>
    </cfRule>
    <cfRule type="cellIs" dxfId="1132" priority="1761" stopIfTrue="1" operator="equal">
      <formula>"leave"</formula>
    </cfRule>
    <cfRule type="containsText" dxfId="1131" priority="1762" operator="containsText" text="ds">
      <formula>NOT(ISERROR(SEARCH("ds",AS19)))</formula>
    </cfRule>
    <cfRule type="containsText" dxfId="1130" priority="1763" operator="containsText" text="subobs">
      <formula>NOT(ISERROR(SEARCH("subobs",AS19)))</formula>
    </cfRule>
    <cfRule type="containsText" dxfId="1129" priority="1764" stopIfTrue="1" operator="containsText" text="(Call)">
      <formula>NOT(ISERROR(SEARCH("(Call)",AS19)))</formula>
    </cfRule>
    <cfRule type="containsText" dxfId="1128" priority="1773" operator="containsText" text="9ab">
      <formula>NOT(ISERROR(SEARCH("9ab",AS19)))</formula>
    </cfRule>
    <cfRule type="cellIs" dxfId="1127" priority="1774" stopIfTrue="1" operator="equal">
      <formula>"leave"</formula>
    </cfRule>
    <cfRule type="containsText" dxfId="1126" priority="1775" operator="containsText" text="ds">
      <formula>NOT(ISERROR(SEARCH("ds",AS19)))</formula>
    </cfRule>
    <cfRule type="containsText" dxfId="1125" priority="1776" operator="containsText" text="subobs">
      <formula>NOT(ISERROR(SEARCH("subobs",AS19)))</formula>
    </cfRule>
    <cfRule type="containsText" dxfId="1124" priority="1777" operator="containsText" text="Call">
      <formula>NOT(ISERROR(SEARCH("Call",AS19)))</formula>
    </cfRule>
  </conditionalFormatting>
  <conditionalFormatting sqref="AS28:AS33">
    <cfRule type="containsText" dxfId="1123" priority="1500" operator="containsText" text="9ab">
      <formula>NOT(ISERROR(SEARCH("9ab",AS28)))</formula>
    </cfRule>
    <cfRule type="cellIs" dxfId="1122" priority="1501" stopIfTrue="1" operator="equal">
      <formula>"leave"</formula>
    </cfRule>
    <cfRule type="containsText" dxfId="1121" priority="1502" operator="containsText" text="ds">
      <formula>NOT(ISERROR(SEARCH("ds",AS28)))</formula>
    </cfRule>
    <cfRule type="containsText" dxfId="1120" priority="1503" operator="containsText" text="subobs">
      <formula>NOT(ISERROR(SEARCH("subobs",AS28)))</formula>
    </cfRule>
    <cfRule type="containsText" dxfId="1119" priority="1504" operator="containsText" text="Call">
      <formula>NOT(ISERROR(SEARCH("Call",AS28)))</formula>
    </cfRule>
    <cfRule type="containsText" dxfId="1118" priority="1512" operator="containsText" text="9ab">
      <formula>NOT(ISERROR(SEARCH("9ab",AS28)))</formula>
    </cfRule>
    <cfRule type="cellIs" dxfId="1117" priority="1513" stopIfTrue="1" operator="equal">
      <formula>"leave"</formula>
    </cfRule>
    <cfRule type="containsText" dxfId="1116" priority="1514" operator="containsText" text="ds">
      <formula>NOT(ISERROR(SEARCH("ds",AS28)))</formula>
    </cfRule>
    <cfRule type="containsText" dxfId="1115" priority="1515" operator="containsText" text="subobs">
      <formula>NOT(ISERROR(SEARCH("subobs",AS28)))</formula>
    </cfRule>
    <cfRule type="containsText" dxfId="1114" priority="1516" operator="containsText" text="Call">
      <formula>NOT(ISERROR(SEARCH("Call",AS28)))</formula>
    </cfRule>
  </conditionalFormatting>
  <conditionalFormatting sqref="AS28:AS35">
    <cfRule type="containsText" dxfId="1113" priority="1506" operator="containsText" text="9ab">
      <formula>NOT(ISERROR(SEARCH("9ab",AS28)))</formula>
    </cfRule>
    <cfRule type="cellIs" dxfId="1112" priority="1507" stopIfTrue="1" operator="equal">
      <formula>"leave"</formula>
    </cfRule>
    <cfRule type="containsText" dxfId="1111" priority="1508" operator="containsText" text="ds">
      <formula>NOT(ISERROR(SEARCH("ds",AS28)))</formula>
    </cfRule>
    <cfRule type="containsText" dxfId="1110" priority="1509" operator="containsText" text="subobs">
      <formula>NOT(ISERROR(SEARCH("subobs",AS28)))</formula>
    </cfRule>
    <cfRule type="containsText" dxfId="1109" priority="1510" stopIfTrue="1" operator="containsText" text="(Call)">
      <formula>NOT(ISERROR(SEARCH("(Call)",AS28)))</formula>
    </cfRule>
    <cfRule type="containsText" dxfId="1108" priority="1519" operator="containsText" text="9ab">
      <formula>NOT(ISERROR(SEARCH("9ab",AS28)))</formula>
    </cfRule>
    <cfRule type="cellIs" dxfId="1107" priority="1520" stopIfTrue="1" operator="equal">
      <formula>"leave"</formula>
    </cfRule>
    <cfRule type="containsText" dxfId="1106" priority="1521" operator="containsText" text="ds">
      <formula>NOT(ISERROR(SEARCH("ds",AS28)))</formula>
    </cfRule>
    <cfRule type="containsText" dxfId="1105" priority="1522" operator="containsText" text="subobs">
      <formula>NOT(ISERROR(SEARCH("subobs",AS28)))</formula>
    </cfRule>
    <cfRule type="containsText" dxfId="1104" priority="1523" operator="containsText" text="Call">
      <formula>NOT(ISERROR(SEARCH("Call",AS28)))</formula>
    </cfRule>
  </conditionalFormatting>
  <conditionalFormatting sqref="AS37:AS42">
    <cfRule type="containsText" dxfId="1103" priority="846" operator="containsText" text="9ab">
      <formula>NOT(ISERROR(SEARCH("9ab",AS37)))</formula>
    </cfRule>
    <cfRule type="cellIs" dxfId="1102" priority="847" stopIfTrue="1" operator="equal">
      <formula>"leave"</formula>
    </cfRule>
    <cfRule type="containsText" dxfId="1101" priority="848" operator="containsText" text="ds">
      <formula>NOT(ISERROR(SEARCH("ds",AS37)))</formula>
    </cfRule>
    <cfRule type="containsText" dxfId="1100" priority="849" operator="containsText" text="subobs">
      <formula>NOT(ISERROR(SEARCH("subobs",AS37)))</formula>
    </cfRule>
    <cfRule type="containsText" dxfId="1099" priority="850" operator="containsText" text="Call">
      <formula>NOT(ISERROR(SEARCH("Call",AS37)))</formula>
    </cfRule>
    <cfRule type="containsText" dxfId="1098" priority="852" operator="containsText" text="9ab">
      <formula>NOT(ISERROR(SEARCH("9ab",AS37)))</formula>
    </cfRule>
    <cfRule type="cellIs" dxfId="1097" priority="853" stopIfTrue="1" operator="equal">
      <formula>"leave"</formula>
    </cfRule>
    <cfRule type="containsText" dxfId="1096" priority="854" operator="containsText" text="ds">
      <formula>NOT(ISERROR(SEARCH("ds",AS37)))</formula>
    </cfRule>
    <cfRule type="containsText" dxfId="1095" priority="855" operator="containsText" text="subobs">
      <formula>NOT(ISERROR(SEARCH("subobs",AS37)))</formula>
    </cfRule>
    <cfRule type="containsText" dxfId="1094" priority="856" stopIfTrue="1" operator="containsText" text="(Call)">
      <formula>NOT(ISERROR(SEARCH("(Call)",AS37)))</formula>
    </cfRule>
    <cfRule type="containsText" dxfId="1093" priority="858" operator="containsText" text="9ab">
      <formula>NOT(ISERROR(SEARCH("9ab",AS37)))</formula>
    </cfRule>
    <cfRule type="cellIs" dxfId="1092" priority="859" stopIfTrue="1" operator="equal">
      <formula>"leave"</formula>
    </cfRule>
    <cfRule type="containsText" dxfId="1091" priority="860" operator="containsText" text="ds">
      <formula>NOT(ISERROR(SEARCH("ds",AS37)))</formula>
    </cfRule>
    <cfRule type="containsText" dxfId="1090" priority="861" operator="containsText" text="subobs">
      <formula>NOT(ISERROR(SEARCH("subobs",AS37)))</formula>
    </cfRule>
    <cfRule type="containsText" dxfId="1089" priority="862" operator="containsText" text="Call">
      <formula>NOT(ISERROR(SEARCH("Call",AS37)))</formula>
    </cfRule>
    <cfRule type="containsText" dxfId="1088" priority="864" operator="containsText" text="9ab">
      <formula>NOT(ISERROR(SEARCH("9ab",AS37)))</formula>
    </cfRule>
    <cfRule type="cellIs" dxfId="1087" priority="865" stopIfTrue="1" operator="equal">
      <formula>"leave"</formula>
    </cfRule>
    <cfRule type="containsText" dxfId="1086" priority="866" operator="containsText" text="ds">
      <formula>NOT(ISERROR(SEARCH("ds",AS37)))</formula>
    </cfRule>
    <cfRule type="containsText" dxfId="1085" priority="867" operator="containsText" text="subobs">
      <formula>NOT(ISERROR(SEARCH("subobs",AS37)))</formula>
    </cfRule>
    <cfRule type="containsText" dxfId="1084" priority="868" operator="containsText" text="Call">
      <formula>NOT(ISERROR(SEARCH("Call",AS37)))</formula>
    </cfRule>
    <cfRule type="containsText" dxfId="1083" priority="870" operator="containsText" text="9ab">
      <formula>NOT(ISERROR(SEARCH("9ab",AS37)))</formula>
    </cfRule>
    <cfRule type="cellIs" dxfId="1082" priority="871" stopIfTrue="1" operator="equal">
      <formula>"leave"</formula>
    </cfRule>
    <cfRule type="containsText" dxfId="1081" priority="872" operator="containsText" text="ds">
      <formula>NOT(ISERROR(SEARCH("ds",AS37)))</formula>
    </cfRule>
    <cfRule type="containsText" dxfId="1080" priority="873" operator="containsText" text="subobs">
      <formula>NOT(ISERROR(SEARCH("subobs",AS37)))</formula>
    </cfRule>
    <cfRule type="containsText" dxfId="1079" priority="874" operator="containsText" text="Call">
      <formula>NOT(ISERROR(SEARCH("Call",AS37)))</formula>
    </cfRule>
    <cfRule type="containsText" dxfId="1078" priority="878" operator="containsText" text="9ab">
      <formula>NOT(ISERROR(SEARCH("9ab",AS37)))</formula>
    </cfRule>
    <cfRule type="cellIs" dxfId="1077" priority="879" stopIfTrue="1" operator="equal">
      <formula>"leave"</formula>
    </cfRule>
    <cfRule type="containsText" dxfId="1076" priority="880" operator="containsText" text="ds">
      <formula>NOT(ISERROR(SEARCH("ds",AS37)))</formula>
    </cfRule>
    <cfRule type="containsText" dxfId="1075" priority="881" operator="containsText" text="subobs">
      <formula>NOT(ISERROR(SEARCH("subobs",AS37)))</formula>
    </cfRule>
    <cfRule type="containsText" dxfId="1074" priority="882" operator="containsText" text="Call">
      <formula>NOT(ISERROR(SEARCH("Call",AS37)))</formula>
    </cfRule>
    <cfRule type="containsText" dxfId="1073" priority="885" operator="containsText" text="9ab">
      <formula>NOT(ISERROR(SEARCH("9ab",AS37)))</formula>
    </cfRule>
    <cfRule type="cellIs" dxfId="1072" priority="886" stopIfTrue="1" operator="equal">
      <formula>"leave"</formula>
    </cfRule>
    <cfRule type="containsText" dxfId="1071" priority="887" operator="containsText" text="ds">
      <formula>NOT(ISERROR(SEARCH("ds",AS37)))</formula>
    </cfRule>
    <cfRule type="containsText" dxfId="1070" priority="888" operator="containsText" text="subobs">
      <formula>NOT(ISERROR(SEARCH("subobs",AS37)))</formula>
    </cfRule>
    <cfRule type="containsText" dxfId="1069" priority="889" stopIfTrue="1" operator="containsText" text="(Call)">
      <formula>NOT(ISERROR(SEARCH("(Call)",AS37)))</formula>
    </cfRule>
  </conditionalFormatting>
  <conditionalFormatting sqref="AS36:AT42">
    <cfRule type="containsText" dxfId="1068" priority="876" operator="containsText" text="b1">
      <formula>NOT(ISERROR(SEARCH("b1",AS36)))</formula>
    </cfRule>
    <cfRule type="cellIs" dxfId="1067" priority="877" operator="equal">
      <formula>0</formula>
    </cfRule>
    <cfRule type="containsText" dxfId="1066" priority="884" stopIfTrue="1" operator="containsText" text="go">
      <formula>NOT(ISERROR(SEARCH("go",AS36)))</formula>
    </cfRule>
    <cfRule type="cellIs" dxfId="1065" priority="891" operator="equal">
      <formula>"ps_cover"</formula>
    </cfRule>
    <cfRule type="containsText" dxfId="1064" priority="892" stopIfTrue="1" operator="containsText" text="9ab">
      <formula>NOT(ISERROR(SEARCH("9ab",AS36)))</formula>
    </cfRule>
    <cfRule type="containsText" dxfId="1063" priority="893" stopIfTrue="1" operator="containsText" text="ds">
      <formula>NOT(ISERROR(SEARCH("ds",AS36)))</formula>
    </cfRule>
    <cfRule type="containsText" dxfId="1062" priority="894" stopIfTrue="1" operator="containsText" text="subobs">
      <formula>NOT(ISERROR(SEARCH("subobs",AS36)))</formula>
    </cfRule>
  </conditionalFormatting>
  <conditionalFormatting sqref="AS36:AX42">
    <cfRule type="containsText" dxfId="1061" priority="829" operator="containsText" text="(Call)">
      <formula>NOT(ISERROR(SEARCH("(Call)",AS36)))</formula>
    </cfRule>
  </conditionalFormatting>
  <conditionalFormatting sqref="AT19:AX25">
    <cfRule type="cellIs" dxfId="1060" priority="1447" operator="equal">
      <formula>0</formula>
    </cfRule>
  </conditionalFormatting>
  <conditionalFormatting sqref="AU36:AX42">
    <cfRule type="containsText" dxfId="1059" priority="830" operator="containsText" text="b1">
      <formula>NOT(ISERROR(SEARCH("b1",AU36)))</formula>
    </cfRule>
    <cfRule type="cellIs" dxfId="1058" priority="831" operator="equal">
      <formula>0</formula>
    </cfRule>
    <cfRule type="containsText" dxfId="1057" priority="832" stopIfTrue="1" operator="containsText" text="go">
      <formula>NOT(ISERROR(SEARCH("go",AU36)))</formula>
    </cfRule>
    <cfRule type="cellIs" dxfId="1056" priority="833" operator="equal">
      <formula>"ps_cover"</formula>
    </cfRule>
    <cfRule type="containsText" dxfId="1055" priority="834" stopIfTrue="1" operator="containsText" text="9ab">
      <formula>NOT(ISERROR(SEARCH("9ab",AU36)))</formula>
    </cfRule>
    <cfRule type="containsText" dxfId="1054" priority="835" stopIfTrue="1" operator="containsText" text="ds">
      <formula>NOT(ISERROR(SEARCH("ds",AU36)))</formula>
    </cfRule>
    <cfRule type="containsText" dxfId="1053" priority="836" stopIfTrue="1" operator="containsText" text="subobs">
      <formula>NOT(ISERROR(SEARCH("subobs",AU36)))</formula>
    </cfRule>
  </conditionalFormatting>
  <conditionalFormatting sqref="AY19:BE26">
    <cfRule type="cellIs" dxfId="1052" priority="1747" operator="equal">
      <formula>0</formula>
    </cfRule>
  </conditionalFormatting>
  <conditionalFormatting sqref="AY28:BE35">
    <cfRule type="cellIs" dxfId="1051" priority="1493" operator="equal">
      <formula>0</formula>
    </cfRule>
  </conditionalFormatting>
  <conditionalFormatting sqref="AZ19:AZ25">
    <cfRule type="containsText" dxfId="1050" priority="1729" operator="containsText" text="9ab">
      <formula>NOT(ISERROR(SEARCH("9ab",AZ19)))</formula>
    </cfRule>
    <cfRule type="cellIs" dxfId="1049" priority="1730" stopIfTrue="1" operator="equal">
      <formula>"leave"</formula>
    </cfRule>
    <cfRule type="containsText" dxfId="1048" priority="1731" operator="containsText" text="ds">
      <formula>NOT(ISERROR(SEARCH("ds",AZ19)))</formula>
    </cfRule>
    <cfRule type="containsText" dxfId="1047" priority="1732" operator="containsText" text="subobs">
      <formula>NOT(ISERROR(SEARCH("subobs",AZ19)))</formula>
    </cfRule>
    <cfRule type="containsText" dxfId="1046" priority="1733" operator="containsText" text="Call">
      <formula>NOT(ISERROR(SEARCH("Call",AZ19)))</formula>
    </cfRule>
    <cfRule type="containsText" dxfId="1045" priority="1741" operator="containsText" text="9ab">
      <formula>NOT(ISERROR(SEARCH("9ab",AZ19)))</formula>
    </cfRule>
    <cfRule type="cellIs" dxfId="1044" priority="1742" stopIfTrue="1" operator="equal">
      <formula>"leave"</formula>
    </cfRule>
    <cfRule type="containsText" dxfId="1043" priority="1743" operator="containsText" text="ds">
      <formula>NOT(ISERROR(SEARCH("ds",AZ19)))</formula>
    </cfRule>
    <cfRule type="containsText" dxfId="1042" priority="1744" operator="containsText" text="subobs">
      <formula>NOT(ISERROR(SEARCH("subobs",AZ19)))</formula>
    </cfRule>
    <cfRule type="containsText" dxfId="1041" priority="1745" operator="containsText" text="Call">
      <formula>NOT(ISERROR(SEARCH("Call",AZ19)))</formula>
    </cfRule>
  </conditionalFormatting>
  <conditionalFormatting sqref="AZ19:AZ26">
    <cfRule type="containsText" dxfId="1040" priority="1735" operator="containsText" text="9ab">
      <formula>NOT(ISERROR(SEARCH("9ab",AZ19)))</formula>
    </cfRule>
    <cfRule type="cellIs" dxfId="1039" priority="1736" stopIfTrue="1" operator="equal">
      <formula>"leave"</formula>
    </cfRule>
    <cfRule type="containsText" dxfId="1038" priority="1737" operator="containsText" text="ds">
      <formula>NOT(ISERROR(SEARCH("ds",AZ19)))</formula>
    </cfRule>
    <cfRule type="containsText" dxfId="1037" priority="1738" operator="containsText" text="subobs">
      <formula>NOT(ISERROR(SEARCH("subobs",AZ19)))</formula>
    </cfRule>
    <cfRule type="containsText" dxfId="1036" priority="1739" stopIfTrue="1" operator="containsText" text="(Call)">
      <formula>NOT(ISERROR(SEARCH("(Call)",AZ19)))</formula>
    </cfRule>
    <cfRule type="containsText" dxfId="1035" priority="1748" operator="containsText" text="9ab">
      <formula>NOT(ISERROR(SEARCH("9ab",AZ19)))</formula>
    </cfRule>
    <cfRule type="cellIs" dxfId="1034" priority="1749" stopIfTrue="1" operator="equal">
      <formula>"leave"</formula>
    </cfRule>
    <cfRule type="containsText" dxfId="1033" priority="1750" operator="containsText" text="ds">
      <formula>NOT(ISERROR(SEARCH("ds",AZ19)))</formula>
    </cfRule>
    <cfRule type="containsText" dxfId="1032" priority="1751" operator="containsText" text="subobs">
      <formula>NOT(ISERROR(SEARCH("subobs",AZ19)))</formula>
    </cfRule>
    <cfRule type="containsText" dxfId="1031" priority="1752" operator="containsText" text="Call">
      <formula>NOT(ISERROR(SEARCH("Call",AZ19)))</formula>
    </cfRule>
  </conditionalFormatting>
  <conditionalFormatting sqref="AZ28:AZ33">
    <cfRule type="containsText" dxfId="1030" priority="1475" operator="containsText" text="9ab">
      <formula>NOT(ISERROR(SEARCH("9ab",AZ28)))</formula>
    </cfRule>
    <cfRule type="cellIs" dxfId="1029" priority="1476" stopIfTrue="1" operator="equal">
      <formula>"leave"</formula>
    </cfRule>
    <cfRule type="containsText" dxfId="1028" priority="1477" operator="containsText" text="ds">
      <formula>NOT(ISERROR(SEARCH("ds",AZ28)))</formula>
    </cfRule>
    <cfRule type="containsText" dxfId="1027" priority="1478" operator="containsText" text="subobs">
      <formula>NOT(ISERROR(SEARCH("subobs",AZ28)))</formula>
    </cfRule>
    <cfRule type="containsText" dxfId="1026" priority="1479" operator="containsText" text="Call">
      <formula>NOT(ISERROR(SEARCH("Call",AZ28)))</formula>
    </cfRule>
    <cfRule type="containsText" dxfId="1025" priority="1487" operator="containsText" text="9ab">
      <formula>NOT(ISERROR(SEARCH("9ab",AZ28)))</formula>
    </cfRule>
    <cfRule type="cellIs" dxfId="1024" priority="1488" stopIfTrue="1" operator="equal">
      <formula>"leave"</formula>
    </cfRule>
    <cfRule type="containsText" dxfId="1023" priority="1489" operator="containsText" text="ds">
      <formula>NOT(ISERROR(SEARCH("ds",AZ28)))</formula>
    </cfRule>
    <cfRule type="containsText" dxfId="1022" priority="1490" operator="containsText" text="subobs">
      <formula>NOT(ISERROR(SEARCH("subobs",AZ28)))</formula>
    </cfRule>
    <cfRule type="containsText" dxfId="1021" priority="1491" operator="containsText" text="Call">
      <formula>NOT(ISERROR(SEARCH("Call",AZ28)))</formula>
    </cfRule>
  </conditionalFormatting>
  <conditionalFormatting sqref="AZ28:AZ35">
    <cfRule type="containsText" dxfId="1020" priority="1481" operator="containsText" text="9ab">
      <formula>NOT(ISERROR(SEARCH("9ab",AZ28)))</formula>
    </cfRule>
    <cfRule type="cellIs" dxfId="1019" priority="1482" stopIfTrue="1" operator="equal">
      <formula>"leave"</formula>
    </cfRule>
    <cfRule type="containsText" dxfId="1018" priority="1483" operator="containsText" text="ds">
      <formula>NOT(ISERROR(SEARCH("ds",AZ28)))</formula>
    </cfRule>
    <cfRule type="containsText" dxfId="1017" priority="1484" operator="containsText" text="subobs">
      <formula>NOT(ISERROR(SEARCH("subobs",AZ28)))</formula>
    </cfRule>
    <cfRule type="containsText" dxfId="1016" priority="1485" stopIfTrue="1" operator="containsText" text="(Call)">
      <formula>NOT(ISERROR(SEARCH("(Call)",AZ28)))</formula>
    </cfRule>
    <cfRule type="containsText" dxfId="1015" priority="1494" operator="containsText" text="9ab">
      <formula>NOT(ISERROR(SEARCH("9ab",AZ28)))</formula>
    </cfRule>
    <cfRule type="cellIs" dxfId="1014" priority="1495" stopIfTrue="1" operator="equal">
      <formula>"leave"</formula>
    </cfRule>
    <cfRule type="containsText" dxfId="1013" priority="1496" operator="containsText" text="ds">
      <formula>NOT(ISERROR(SEARCH("ds",AZ28)))</formula>
    </cfRule>
    <cfRule type="containsText" dxfId="1012" priority="1497" operator="containsText" text="subobs">
      <formula>NOT(ISERROR(SEARCH("subobs",AZ28)))</formula>
    </cfRule>
    <cfRule type="containsText" dxfId="1011" priority="1498" operator="containsText" text="Call">
      <formula>NOT(ISERROR(SEARCH("Call",AZ28)))</formula>
    </cfRule>
  </conditionalFormatting>
  <conditionalFormatting sqref="AZ37:AZ42">
    <cfRule type="containsText" dxfId="1010" priority="780" operator="containsText" text="9ab">
      <formula>NOT(ISERROR(SEARCH("9ab",AZ37)))</formula>
    </cfRule>
    <cfRule type="cellIs" dxfId="1009" priority="781" stopIfTrue="1" operator="equal">
      <formula>"leave"</formula>
    </cfRule>
    <cfRule type="containsText" dxfId="1008" priority="782" operator="containsText" text="ds">
      <formula>NOT(ISERROR(SEARCH("ds",AZ37)))</formula>
    </cfRule>
    <cfRule type="containsText" dxfId="1007" priority="783" operator="containsText" text="subobs">
      <formula>NOT(ISERROR(SEARCH("subobs",AZ37)))</formula>
    </cfRule>
    <cfRule type="containsText" dxfId="1006" priority="784" operator="containsText" text="Call">
      <formula>NOT(ISERROR(SEARCH("Call",AZ37)))</formula>
    </cfRule>
    <cfRule type="containsText" dxfId="1005" priority="786" operator="containsText" text="9ab">
      <formula>NOT(ISERROR(SEARCH("9ab",AZ37)))</formula>
    </cfRule>
    <cfRule type="cellIs" dxfId="1004" priority="787" stopIfTrue="1" operator="equal">
      <formula>"leave"</formula>
    </cfRule>
    <cfRule type="containsText" dxfId="1003" priority="788" operator="containsText" text="ds">
      <formula>NOT(ISERROR(SEARCH("ds",AZ37)))</formula>
    </cfRule>
    <cfRule type="containsText" dxfId="1002" priority="789" operator="containsText" text="subobs">
      <formula>NOT(ISERROR(SEARCH("subobs",AZ37)))</formula>
    </cfRule>
    <cfRule type="containsText" dxfId="1001" priority="790" stopIfTrue="1" operator="containsText" text="(Call)">
      <formula>NOT(ISERROR(SEARCH("(Call)",AZ37)))</formula>
    </cfRule>
    <cfRule type="containsText" dxfId="1000" priority="792" operator="containsText" text="9ab">
      <formula>NOT(ISERROR(SEARCH("9ab",AZ37)))</formula>
    </cfRule>
    <cfRule type="cellIs" dxfId="999" priority="793" stopIfTrue="1" operator="equal">
      <formula>"leave"</formula>
    </cfRule>
    <cfRule type="containsText" dxfId="998" priority="794" operator="containsText" text="ds">
      <formula>NOT(ISERROR(SEARCH("ds",AZ37)))</formula>
    </cfRule>
    <cfRule type="containsText" dxfId="997" priority="795" operator="containsText" text="subobs">
      <formula>NOT(ISERROR(SEARCH("subobs",AZ37)))</formula>
    </cfRule>
    <cfRule type="containsText" dxfId="996" priority="796" operator="containsText" text="Call">
      <formula>NOT(ISERROR(SEARCH("Call",AZ37)))</formula>
    </cfRule>
    <cfRule type="containsText" dxfId="995" priority="798" operator="containsText" text="9ab">
      <formula>NOT(ISERROR(SEARCH("9ab",AZ37)))</formula>
    </cfRule>
    <cfRule type="cellIs" dxfId="994" priority="799" stopIfTrue="1" operator="equal">
      <formula>"leave"</formula>
    </cfRule>
    <cfRule type="containsText" dxfId="993" priority="800" operator="containsText" text="ds">
      <formula>NOT(ISERROR(SEARCH("ds",AZ37)))</formula>
    </cfRule>
    <cfRule type="containsText" dxfId="992" priority="801" operator="containsText" text="subobs">
      <formula>NOT(ISERROR(SEARCH("subobs",AZ37)))</formula>
    </cfRule>
    <cfRule type="containsText" dxfId="991" priority="802" operator="containsText" text="Call">
      <formula>NOT(ISERROR(SEARCH("Call",AZ37)))</formula>
    </cfRule>
    <cfRule type="containsText" dxfId="990" priority="804" operator="containsText" text="9ab">
      <formula>NOT(ISERROR(SEARCH("9ab",AZ37)))</formula>
    </cfRule>
    <cfRule type="cellIs" dxfId="989" priority="805" stopIfTrue="1" operator="equal">
      <formula>"leave"</formula>
    </cfRule>
    <cfRule type="containsText" dxfId="988" priority="806" operator="containsText" text="ds">
      <formula>NOT(ISERROR(SEARCH("ds",AZ37)))</formula>
    </cfRule>
    <cfRule type="containsText" dxfId="987" priority="807" operator="containsText" text="subobs">
      <formula>NOT(ISERROR(SEARCH("subobs",AZ37)))</formula>
    </cfRule>
    <cfRule type="containsText" dxfId="986" priority="808" operator="containsText" text="Call">
      <formula>NOT(ISERROR(SEARCH("Call",AZ37)))</formula>
    </cfRule>
    <cfRule type="containsText" dxfId="985" priority="812" operator="containsText" text="9ab">
      <formula>NOT(ISERROR(SEARCH("9ab",AZ37)))</formula>
    </cfRule>
    <cfRule type="cellIs" dxfId="984" priority="813" stopIfTrue="1" operator="equal">
      <formula>"leave"</formula>
    </cfRule>
    <cfRule type="containsText" dxfId="983" priority="814" operator="containsText" text="ds">
      <formula>NOT(ISERROR(SEARCH("ds",AZ37)))</formula>
    </cfRule>
    <cfRule type="containsText" dxfId="982" priority="815" operator="containsText" text="subobs">
      <formula>NOT(ISERROR(SEARCH("subobs",AZ37)))</formula>
    </cfRule>
    <cfRule type="containsText" dxfId="981" priority="816" operator="containsText" text="Call">
      <formula>NOT(ISERROR(SEARCH("Call",AZ37)))</formula>
    </cfRule>
    <cfRule type="containsText" dxfId="980" priority="819" operator="containsText" text="9ab">
      <formula>NOT(ISERROR(SEARCH("9ab",AZ37)))</formula>
    </cfRule>
    <cfRule type="cellIs" dxfId="979" priority="820" stopIfTrue="1" operator="equal">
      <formula>"leave"</formula>
    </cfRule>
    <cfRule type="containsText" dxfId="978" priority="821" operator="containsText" text="ds">
      <formula>NOT(ISERROR(SEARCH("ds",AZ37)))</formula>
    </cfRule>
    <cfRule type="containsText" dxfId="977" priority="822" operator="containsText" text="subobs">
      <formula>NOT(ISERROR(SEARCH("subobs",AZ37)))</formula>
    </cfRule>
    <cfRule type="containsText" dxfId="976" priority="823" stopIfTrue="1" operator="containsText" text="(Call)">
      <formula>NOT(ISERROR(SEARCH("(Call)",AZ37)))</formula>
    </cfRule>
  </conditionalFormatting>
  <conditionalFormatting sqref="AZ36:BA42">
    <cfRule type="containsText" dxfId="975" priority="810" operator="containsText" text="b1">
      <formula>NOT(ISERROR(SEARCH("b1",AZ36)))</formula>
    </cfRule>
    <cfRule type="cellIs" dxfId="974" priority="811" operator="equal">
      <formula>0</formula>
    </cfRule>
    <cfRule type="containsText" dxfId="973" priority="818" stopIfTrue="1" operator="containsText" text="go">
      <formula>NOT(ISERROR(SEARCH("go",AZ36)))</formula>
    </cfRule>
    <cfRule type="cellIs" dxfId="972" priority="825" operator="equal">
      <formula>"ps_cover"</formula>
    </cfRule>
    <cfRule type="containsText" dxfId="971" priority="826" stopIfTrue="1" operator="containsText" text="9ab">
      <formula>NOT(ISERROR(SEARCH("9ab",AZ36)))</formula>
    </cfRule>
    <cfRule type="containsText" dxfId="970" priority="827" stopIfTrue="1" operator="containsText" text="ds">
      <formula>NOT(ISERROR(SEARCH("ds",AZ36)))</formula>
    </cfRule>
    <cfRule type="containsText" dxfId="969" priority="828" stopIfTrue="1" operator="containsText" text="subobs">
      <formula>NOT(ISERROR(SEARCH("subobs",AZ36)))</formula>
    </cfRule>
  </conditionalFormatting>
  <conditionalFormatting sqref="AZ36:BE42">
    <cfRule type="containsText" dxfId="968" priority="763" operator="containsText" text="(Call)">
      <formula>NOT(ISERROR(SEARCH("(Call)",AZ36)))</formula>
    </cfRule>
  </conditionalFormatting>
  <conditionalFormatting sqref="BA19:BE25">
    <cfRule type="cellIs" dxfId="967" priority="1446" operator="equal">
      <formula>0</formula>
    </cfRule>
  </conditionalFormatting>
  <conditionalFormatting sqref="BB36:BE42">
    <cfRule type="containsText" dxfId="966" priority="764" operator="containsText" text="b1">
      <formula>NOT(ISERROR(SEARCH("b1",BB36)))</formula>
    </cfRule>
    <cfRule type="cellIs" dxfId="965" priority="765" operator="equal">
      <formula>0</formula>
    </cfRule>
    <cfRule type="containsText" dxfId="964" priority="766" stopIfTrue="1" operator="containsText" text="go">
      <formula>NOT(ISERROR(SEARCH("go",BB36)))</formula>
    </cfRule>
    <cfRule type="cellIs" dxfId="963" priority="767" operator="equal">
      <formula>"ps_cover"</formula>
    </cfRule>
    <cfRule type="containsText" dxfId="962" priority="768" stopIfTrue="1" operator="containsText" text="9ab">
      <formula>NOT(ISERROR(SEARCH("9ab",BB36)))</formula>
    </cfRule>
    <cfRule type="containsText" dxfId="961" priority="769" stopIfTrue="1" operator="containsText" text="ds">
      <formula>NOT(ISERROR(SEARCH("ds",BB36)))</formula>
    </cfRule>
    <cfRule type="containsText" dxfId="960" priority="770" stopIfTrue="1" operator="containsText" text="subobs">
      <formula>NOT(ISERROR(SEARCH("subobs",BB36)))</formula>
    </cfRule>
  </conditionalFormatting>
  <conditionalFormatting sqref="BF19:BL26">
    <cfRule type="cellIs" dxfId="959" priority="1722" operator="equal">
      <formula>0</formula>
    </cfRule>
  </conditionalFormatting>
  <conditionalFormatting sqref="BF28:BL35">
    <cfRule type="cellIs" dxfId="958" priority="1468" operator="equal">
      <formula>0</formula>
    </cfRule>
  </conditionalFormatting>
  <conditionalFormatting sqref="BG19:BG25">
    <cfRule type="containsText" dxfId="957" priority="1704" operator="containsText" text="9ab">
      <formula>NOT(ISERROR(SEARCH("9ab",BG19)))</formula>
    </cfRule>
    <cfRule type="cellIs" dxfId="956" priority="1705" stopIfTrue="1" operator="equal">
      <formula>"leave"</formula>
    </cfRule>
    <cfRule type="containsText" dxfId="955" priority="1706" operator="containsText" text="ds">
      <formula>NOT(ISERROR(SEARCH("ds",BG19)))</formula>
    </cfRule>
    <cfRule type="containsText" dxfId="954" priority="1707" operator="containsText" text="subobs">
      <formula>NOT(ISERROR(SEARCH("subobs",BG19)))</formula>
    </cfRule>
    <cfRule type="containsText" dxfId="953" priority="1708" operator="containsText" text="Call">
      <formula>NOT(ISERROR(SEARCH("Call",BG19)))</formula>
    </cfRule>
    <cfRule type="containsText" dxfId="952" priority="1716" operator="containsText" text="9ab">
      <formula>NOT(ISERROR(SEARCH("9ab",BG19)))</formula>
    </cfRule>
    <cfRule type="cellIs" dxfId="951" priority="1717" stopIfTrue="1" operator="equal">
      <formula>"leave"</formula>
    </cfRule>
    <cfRule type="containsText" dxfId="950" priority="1718" operator="containsText" text="ds">
      <formula>NOT(ISERROR(SEARCH("ds",BG19)))</formula>
    </cfRule>
    <cfRule type="containsText" dxfId="949" priority="1719" operator="containsText" text="subobs">
      <formula>NOT(ISERROR(SEARCH("subobs",BG19)))</formula>
    </cfRule>
    <cfRule type="containsText" dxfId="948" priority="1720" operator="containsText" text="Call">
      <formula>NOT(ISERROR(SEARCH("Call",BG19)))</formula>
    </cfRule>
  </conditionalFormatting>
  <conditionalFormatting sqref="BG19:BG26">
    <cfRule type="containsText" dxfId="947" priority="1710" operator="containsText" text="9ab">
      <formula>NOT(ISERROR(SEARCH("9ab",BG19)))</formula>
    </cfRule>
    <cfRule type="cellIs" dxfId="946" priority="1711" stopIfTrue="1" operator="equal">
      <formula>"leave"</formula>
    </cfRule>
    <cfRule type="containsText" dxfId="945" priority="1712" operator="containsText" text="ds">
      <formula>NOT(ISERROR(SEARCH("ds",BG19)))</formula>
    </cfRule>
    <cfRule type="containsText" dxfId="944" priority="1713" operator="containsText" text="subobs">
      <formula>NOT(ISERROR(SEARCH("subobs",BG19)))</formula>
    </cfRule>
    <cfRule type="containsText" dxfId="943" priority="1714" stopIfTrue="1" operator="containsText" text="(Call)">
      <formula>NOT(ISERROR(SEARCH("(Call)",BG19)))</formula>
    </cfRule>
    <cfRule type="containsText" dxfId="942" priority="1723" operator="containsText" text="9ab">
      <formula>NOT(ISERROR(SEARCH("9ab",BG19)))</formula>
    </cfRule>
    <cfRule type="cellIs" dxfId="941" priority="1724" stopIfTrue="1" operator="equal">
      <formula>"leave"</formula>
    </cfRule>
    <cfRule type="containsText" dxfId="940" priority="1725" operator="containsText" text="ds">
      <formula>NOT(ISERROR(SEARCH("ds",BG19)))</formula>
    </cfRule>
    <cfRule type="containsText" dxfId="939" priority="1726" operator="containsText" text="subobs">
      <formula>NOT(ISERROR(SEARCH("subobs",BG19)))</formula>
    </cfRule>
    <cfRule type="containsText" dxfId="938" priority="1727" operator="containsText" text="Call">
      <formula>NOT(ISERROR(SEARCH("Call",BG19)))</formula>
    </cfRule>
  </conditionalFormatting>
  <conditionalFormatting sqref="BG28:BG33">
    <cfRule type="containsText" dxfId="937" priority="1450" operator="containsText" text="9ab">
      <formula>NOT(ISERROR(SEARCH("9ab",BG28)))</formula>
    </cfRule>
    <cfRule type="cellIs" dxfId="936" priority="1451" stopIfTrue="1" operator="equal">
      <formula>"leave"</formula>
    </cfRule>
    <cfRule type="containsText" dxfId="935" priority="1452" operator="containsText" text="ds">
      <formula>NOT(ISERROR(SEARCH("ds",BG28)))</formula>
    </cfRule>
    <cfRule type="containsText" dxfId="934" priority="1453" operator="containsText" text="subobs">
      <formula>NOT(ISERROR(SEARCH("subobs",BG28)))</formula>
    </cfRule>
    <cfRule type="containsText" dxfId="933" priority="1454" operator="containsText" text="Call">
      <formula>NOT(ISERROR(SEARCH("Call",BG28)))</formula>
    </cfRule>
    <cfRule type="containsText" dxfId="932" priority="1462" operator="containsText" text="9ab">
      <formula>NOT(ISERROR(SEARCH("9ab",BG28)))</formula>
    </cfRule>
    <cfRule type="cellIs" dxfId="931" priority="1463" stopIfTrue="1" operator="equal">
      <formula>"leave"</formula>
    </cfRule>
    <cfRule type="containsText" dxfId="930" priority="1464" operator="containsText" text="ds">
      <formula>NOT(ISERROR(SEARCH("ds",BG28)))</formula>
    </cfRule>
    <cfRule type="containsText" dxfId="929" priority="1465" operator="containsText" text="subobs">
      <formula>NOT(ISERROR(SEARCH("subobs",BG28)))</formula>
    </cfRule>
    <cfRule type="containsText" dxfId="928" priority="1466" operator="containsText" text="Call">
      <formula>NOT(ISERROR(SEARCH("Call",BG28)))</formula>
    </cfRule>
  </conditionalFormatting>
  <conditionalFormatting sqref="BG28:BG35">
    <cfRule type="containsText" dxfId="927" priority="1456" operator="containsText" text="9ab">
      <formula>NOT(ISERROR(SEARCH("9ab",BG28)))</formula>
    </cfRule>
    <cfRule type="cellIs" dxfId="926" priority="1457" stopIfTrue="1" operator="equal">
      <formula>"leave"</formula>
    </cfRule>
    <cfRule type="containsText" dxfId="925" priority="1458" operator="containsText" text="ds">
      <formula>NOT(ISERROR(SEARCH("ds",BG28)))</formula>
    </cfRule>
    <cfRule type="containsText" dxfId="924" priority="1459" operator="containsText" text="subobs">
      <formula>NOT(ISERROR(SEARCH("subobs",BG28)))</formula>
    </cfRule>
    <cfRule type="containsText" dxfId="923" priority="1460" stopIfTrue="1" operator="containsText" text="(Call)">
      <formula>NOT(ISERROR(SEARCH("(Call)",BG28)))</formula>
    </cfRule>
    <cfRule type="containsText" dxfId="922" priority="1469" operator="containsText" text="9ab">
      <formula>NOT(ISERROR(SEARCH("9ab",BG28)))</formula>
    </cfRule>
    <cfRule type="cellIs" dxfId="921" priority="1470" stopIfTrue="1" operator="equal">
      <formula>"leave"</formula>
    </cfRule>
    <cfRule type="containsText" dxfId="920" priority="1471" operator="containsText" text="ds">
      <formula>NOT(ISERROR(SEARCH("ds",BG28)))</formula>
    </cfRule>
    <cfRule type="containsText" dxfId="919" priority="1472" operator="containsText" text="subobs">
      <formula>NOT(ISERROR(SEARCH("subobs",BG28)))</formula>
    </cfRule>
    <cfRule type="containsText" dxfId="918" priority="1473" operator="containsText" text="Call">
      <formula>NOT(ISERROR(SEARCH("Call",BG28)))</formula>
    </cfRule>
  </conditionalFormatting>
  <conditionalFormatting sqref="BG37:BG42">
    <cfRule type="containsText" dxfId="917" priority="714" operator="containsText" text="9ab">
      <formula>NOT(ISERROR(SEARCH("9ab",BG37)))</formula>
    </cfRule>
    <cfRule type="cellIs" dxfId="916" priority="715" stopIfTrue="1" operator="equal">
      <formula>"leave"</formula>
    </cfRule>
    <cfRule type="containsText" dxfId="915" priority="716" operator="containsText" text="ds">
      <formula>NOT(ISERROR(SEARCH("ds",BG37)))</formula>
    </cfRule>
    <cfRule type="containsText" dxfId="914" priority="717" operator="containsText" text="subobs">
      <formula>NOT(ISERROR(SEARCH("subobs",BG37)))</formula>
    </cfRule>
    <cfRule type="containsText" dxfId="913" priority="718" operator="containsText" text="Call">
      <formula>NOT(ISERROR(SEARCH("Call",BG37)))</formula>
    </cfRule>
    <cfRule type="containsText" dxfId="912" priority="720" operator="containsText" text="9ab">
      <formula>NOT(ISERROR(SEARCH("9ab",BG37)))</formula>
    </cfRule>
    <cfRule type="cellIs" dxfId="911" priority="721" stopIfTrue="1" operator="equal">
      <formula>"leave"</formula>
    </cfRule>
    <cfRule type="containsText" dxfId="910" priority="722" operator="containsText" text="ds">
      <formula>NOT(ISERROR(SEARCH("ds",BG37)))</formula>
    </cfRule>
    <cfRule type="containsText" dxfId="909" priority="723" operator="containsText" text="subobs">
      <formula>NOT(ISERROR(SEARCH("subobs",BG37)))</formula>
    </cfRule>
    <cfRule type="containsText" dxfId="908" priority="724" stopIfTrue="1" operator="containsText" text="(Call)">
      <formula>NOT(ISERROR(SEARCH("(Call)",BG37)))</formula>
    </cfRule>
    <cfRule type="containsText" dxfId="907" priority="726" operator="containsText" text="9ab">
      <formula>NOT(ISERROR(SEARCH("9ab",BG37)))</formula>
    </cfRule>
    <cfRule type="cellIs" dxfId="906" priority="727" stopIfTrue="1" operator="equal">
      <formula>"leave"</formula>
    </cfRule>
    <cfRule type="containsText" dxfId="905" priority="728" operator="containsText" text="ds">
      <formula>NOT(ISERROR(SEARCH("ds",BG37)))</formula>
    </cfRule>
    <cfRule type="containsText" dxfId="904" priority="729" operator="containsText" text="subobs">
      <formula>NOT(ISERROR(SEARCH("subobs",BG37)))</formula>
    </cfRule>
    <cfRule type="containsText" dxfId="903" priority="730" operator="containsText" text="Call">
      <formula>NOT(ISERROR(SEARCH("Call",BG37)))</formula>
    </cfRule>
    <cfRule type="containsText" dxfId="902" priority="732" operator="containsText" text="9ab">
      <formula>NOT(ISERROR(SEARCH("9ab",BG37)))</formula>
    </cfRule>
    <cfRule type="cellIs" dxfId="901" priority="733" stopIfTrue="1" operator="equal">
      <formula>"leave"</formula>
    </cfRule>
    <cfRule type="containsText" dxfId="900" priority="734" operator="containsText" text="ds">
      <formula>NOT(ISERROR(SEARCH("ds",BG37)))</formula>
    </cfRule>
    <cfRule type="containsText" dxfId="899" priority="735" operator="containsText" text="subobs">
      <formula>NOT(ISERROR(SEARCH("subobs",BG37)))</formula>
    </cfRule>
    <cfRule type="containsText" dxfId="898" priority="736" operator="containsText" text="Call">
      <formula>NOT(ISERROR(SEARCH("Call",BG37)))</formula>
    </cfRule>
    <cfRule type="containsText" dxfId="897" priority="738" operator="containsText" text="9ab">
      <formula>NOT(ISERROR(SEARCH("9ab",BG37)))</formula>
    </cfRule>
    <cfRule type="cellIs" dxfId="896" priority="739" stopIfTrue="1" operator="equal">
      <formula>"leave"</formula>
    </cfRule>
    <cfRule type="containsText" dxfId="895" priority="740" operator="containsText" text="ds">
      <formula>NOT(ISERROR(SEARCH("ds",BG37)))</formula>
    </cfRule>
    <cfRule type="containsText" dxfId="894" priority="741" operator="containsText" text="subobs">
      <formula>NOT(ISERROR(SEARCH("subobs",BG37)))</formula>
    </cfRule>
    <cfRule type="containsText" dxfId="893" priority="742" operator="containsText" text="Call">
      <formula>NOT(ISERROR(SEARCH("Call",BG37)))</formula>
    </cfRule>
    <cfRule type="containsText" dxfId="892" priority="746" operator="containsText" text="9ab">
      <formula>NOT(ISERROR(SEARCH("9ab",BG37)))</formula>
    </cfRule>
    <cfRule type="cellIs" dxfId="891" priority="747" stopIfTrue="1" operator="equal">
      <formula>"leave"</formula>
    </cfRule>
    <cfRule type="containsText" dxfId="890" priority="748" operator="containsText" text="ds">
      <formula>NOT(ISERROR(SEARCH("ds",BG37)))</formula>
    </cfRule>
    <cfRule type="containsText" dxfId="889" priority="749" operator="containsText" text="subobs">
      <formula>NOT(ISERROR(SEARCH("subobs",BG37)))</formula>
    </cfRule>
    <cfRule type="containsText" dxfId="888" priority="750" operator="containsText" text="Call">
      <formula>NOT(ISERROR(SEARCH("Call",BG37)))</formula>
    </cfRule>
    <cfRule type="containsText" dxfId="887" priority="753" operator="containsText" text="9ab">
      <formula>NOT(ISERROR(SEARCH("9ab",BG37)))</formula>
    </cfRule>
    <cfRule type="cellIs" dxfId="886" priority="754" stopIfTrue="1" operator="equal">
      <formula>"leave"</formula>
    </cfRule>
    <cfRule type="containsText" dxfId="885" priority="755" operator="containsText" text="ds">
      <formula>NOT(ISERROR(SEARCH("ds",BG37)))</formula>
    </cfRule>
    <cfRule type="containsText" dxfId="884" priority="756" operator="containsText" text="subobs">
      <formula>NOT(ISERROR(SEARCH("subobs",BG37)))</formula>
    </cfRule>
    <cfRule type="containsText" dxfId="883" priority="757" stopIfTrue="1" operator="containsText" text="(Call)">
      <formula>NOT(ISERROR(SEARCH("(Call)",BG37)))</formula>
    </cfRule>
  </conditionalFormatting>
  <conditionalFormatting sqref="BG36:BH42">
    <cfRule type="containsText" dxfId="882" priority="744" operator="containsText" text="b1">
      <formula>NOT(ISERROR(SEARCH("b1",BG36)))</formula>
    </cfRule>
    <cfRule type="cellIs" dxfId="881" priority="745" operator="equal">
      <formula>0</formula>
    </cfRule>
    <cfRule type="containsText" dxfId="880" priority="752" stopIfTrue="1" operator="containsText" text="go">
      <formula>NOT(ISERROR(SEARCH("go",BG36)))</formula>
    </cfRule>
    <cfRule type="cellIs" dxfId="879" priority="759" operator="equal">
      <formula>"ps_cover"</formula>
    </cfRule>
    <cfRule type="containsText" dxfId="878" priority="760" stopIfTrue="1" operator="containsText" text="9ab">
      <formula>NOT(ISERROR(SEARCH("9ab",BG36)))</formula>
    </cfRule>
    <cfRule type="containsText" dxfId="877" priority="761" stopIfTrue="1" operator="containsText" text="ds">
      <formula>NOT(ISERROR(SEARCH("ds",BG36)))</formula>
    </cfRule>
    <cfRule type="containsText" dxfId="876" priority="762" stopIfTrue="1" operator="containsText" text="subobs">
      <formula>NOT(ISERROR(SEARCH("subobs",BG36)))</formula>
    </cfRule>
  </conditionalFormatting>
  <conditionalFormatting sqref="BG36:BL42">
    <cfRule type="containsText" dxfId="875" priority="697" operator="containsText" text="(Call)">
      <formula>NOT(ISERROR(SEARCH("(Call)",BG36)))</formula>
    </cfRule>
  </conditionalFormatting>
  <conditionalFormatting sqref="BH19:BH26">
    <cfRule type="cellIs" dxfId="874" priority="1357" operator="equal">
      <formula>0</formula>
    </cfRule>
  </conditionalFormatting>
  <conditionalFormatting sqref="BI36:BL42">
    <cfRule type="containsText" dxfId="873" priority="698" operator="containsText" text="b1">
      <formula>NOT(ISERROR(SEARCH("b1",BI36)))</formula>
    </cfRule>
    <cfRule type="cellIs" dxfId="872" priority="699" operator="equal">
      <formula>0</formula>
    </cfRule>
    <cfRule type="containsText" dxfId="871" priority="700" stopIfTrue="1" operator="containsText" text="go">
      <formula>NOT(ISERROR(SEARCH("go",BI36)))</formula>
    </cfRule>
    <cfRule type="cellIs" dxfId="870" priority="701" operator="equal">
      <formula>"ps_cover"</formula>
    </cfRule>
    <cfRule type="containsText" dxfId="869" priority="702" stopIfTrue="1" operator="containsText" text="9ab">
      <formula>NOT(ISERROR(SEARCH("9ab",BI36)))</formula>
    </cfRule>
    <cfRule type="containsText" dxfId="868" priority="703" stopIfTrue="1" operator="containsText" text="ds">
      <formula>NOT(ISERROR(SEARCH("ds",BI36)))</formula>
    </cfRule>
    <cfRule type="containsText" dxfId="867" priority="704" stopIfTrue="1" operator="containsText" text="subobs">
      <formula>NOT(ISERROR(SEARCH("subobs",BI36)))</formula>
    </cfRule>
  </conditionalFormatting>
  <conditionalFormatting sqref="BK2:BK17">
    <cfRule type="containsText" dxfId="866" priority="1696" stopIfTrue="1" operator="containsText" text="b1">
      <formula>NOT(ISERROR(SEARCH("b1",BK2)))</formula>
    </cfRule>
    <cfRule type="containsText" dxfId="865" priority="1697" operator="containsText" text="go">
      <formula>NOT(ISERROR(SEARCH("go",BK2)))</formula>
    </cfRule>
    <cfRule type="cellIs" dxfId="864" priority="1698" operator="equal">
      <formula>"post_call_cover"</formula>
    </cfRule>
    <cfRule type="containsText" dxfId="863" priority="1699" operator="containsText" text="9ab">
      <formula>NOT(ISERROR(SEARCH("9ab",BK2)))</formula>
    </cfRule>
    <cfRule type="cellIs" dxfId="862" priority="1700" stopIfTrue="1" operator="equal">
      <formula>"leave"</formula>
    </cfRule>
    <cfRule type="containsText" dxfId="861" priority="1701" operator="containsText" text="ds">
      <formula>NOT(ISERROR(SEARCH("ds",BK2)))</formula>
    </cfRule>
    <cfRule type="containsText" dxfId="860" priority="1702" operator="containsText" text="subobs">
      <formula>NOT(ISERROR(SEARCH("subobs",BK2)))</formula>
    </cfRule>
    <cfRule type="containsText" dxfId="859" priority="1703" operator="containsText" text="(Call)">
      <formula>NOT(ISERROR(SEARCH("(Call)",BK2)))</formula>
    </cfRule>
  </conditionalFormatting>
  <conditionalFormatting sqref="A37:A42">
    <cfRule type="containsText" dxfId="858" priority="648" operator="containsText" text="9ab">
      <formula>NOT(ISERROR(SEARCH("9ab",A37)))</formula>
    </cfRule>
    <cfRule type="cellIs" dxfId="857" priority="649" stopIfTrue="1" operator="equal">
      <formula>"leave"</formula>
    </cfRule>
    <cfRule type="containsText" dxfId="856" priority="650" operator="containsText" text="ds">
      <formula>NOT(ISERROR(SEARCH("ds",A37)))</formula>
    </cfRule>
    <cfRule type="containsText" dxfId="855" priority="651" operator="containsText" text="subobs">
      <formula>NOT(ISERROR(SEARCH("subobs",A37)))</formula>
    </cfRule>
    <cfRule type="containsText" dxfId="854" priority="652" operator="containsText" text="Call">
      <formula>NOT(ISERROR(SEARCH("Call",A37)))</formula>
    </cfRule>
    <cfRule type="containsText" dxfId="853" priority="654" operator="containsText" text="9ab">
      <formula>NOT(ISERROR(SEARCH("9ab",A37)))</formula>
    </cfRule>
    <cfRule type="cellIs" dxfId="852" priority="655" stopIfTrue="1" operator="equal">
      <formula>"leave"</formula>
    </cfRule>
    <cfRule type="containsText" dxfId="851" priority="656" operator="containsText" text="ds">
      <formula>NOT(ISERROR(SEARCH("ds",A37)))</formula>
    </cfRule>
    <cfRule type="containsText" dxfId="850" priority="657" operator="containsText" text="subobs">
      <formula>NOT(ISERROR(SEARCH("subobs",A37)))</formula>
    </cfRule>
    <cfRule type="containsText" dxfId="849" priority="658" stopIfTrue="1" operator="containsText" text="(Call)">
      <formula>NOT(ISERROR(SEARCH("(Call)",A37)))</formula>
    </cfRule>
    <cfRule type="containsText" dxfId="848" priority="660" operator="containsText" text="9ab">
      <formula>NOT(ISERROR(SEARCH("9ab",A37)))</formula>
    </cfRule>
    <cfRule type="cellIs" dxfId="847" priority="661" stopIfTrue="1" operator="equal">
      <formula>"leave"</formula>
    </cfRule>
    <cfRule type="containsText" dxfId="846" priority="662" operator="containsText" text="ds">
      <formula>NOT(ISERROR(SEARCH("ds",A37)))</formula>
    </cfRule>
    <cfRule type="containsText" dxfId="845" priority="663" operator="containsText" text="subobs">
      <formula>NOT(ISERROR(SEARCH("subobs",A37)))</formula>
    </cfRule>
    <cfRule type="containsText" dxfId="844" priority="664" operator="containsText" text="Call">
      <formula>NOT(ISERROR(SEARCH("Call",A37)))</formula>
    </cfRule>
    <cfRule type="containsText" dxfId="843" priority="666" operator="containsText" text="9ab">
      <formula>NOT(ISERROR(SEARCH("9ab",A37)))</formula>
    </cfRule>
    <cfRule type="cellIs" dxfId="842" priority="667" stopIfTrue="1" operator="equal">
      <formula>"leave"</formula>
    </cfRule>
    <cfRule type="containsText" dxfId="841" priority="668" operator="containsText" text="ds">
      <formula>NOT(ISERROR(SEARCH("ds",A37)))</formula>
    </cfRule>
    <cfRule type="containsText" dxfId="840" priority="669" operator="containsText" text="subobs">
      <formula>NOT(ISERROR(SEARCH("subobs",A37)))</formula>
    </cfRule>
    <cfRule type="containsText" dxfId="839" priority="670" operator="containsText" text="Call">
      <formula>NOT(ISERROR(SEARCH("Call",A37)))</formula>
    </cfRule>
    <cfRule type="containsText" dxfId="838" priority="672" operator="containsText" text="9ab">
      <formula>NOT(ISERROR(SEARCH("9ab",A37)))</formula>
    </cfRule>
    <cfRule type="cellIs" dxfId="837" priority="673" stopIfTrue="1" operator="equal">
      <formula>"leave"</formula>
    </cfRule>
    <cfRule type="containsText" dxfId="836" priority="674" operator="containsText" text="ds">
      <formula>NOT(ISERROR(SEARCH("ds",A37)))</formula>
    </cfRule>
    <cfRule type="containsText" dxfId="835" priority="675" operator="containsText" text="subobs">
      <formula>NOT(ISERROR(SEARCH("subobs",A37)))</formula>
    </cfRule>
    <cfRule type="containsText" dxfId="834" priority="676" operator="containsText" text="Call">
      <formula>NOT(ISERROR(SEARCH("Call",A37)))</formula>
    </cfRule>
    <cfRule type="containsText" dxfId="833" priority="680" operator="containsText" text="9ab">
      <formula>NOT(ISERROR(SEARCH("9ab",A37)))</formula>
    </cfRule>
    <cfRule type="cellIs" dxfId="832" priority="681" stopIfTrue="1" operator="equal">
      <formula>"leave"</formula>
    </cfRule>
    <cfRule type="containsText" dxfId="831" priority="682" operator="containsText" text="ds">
      <formula>NOT(ISERROR(SEARCH("ds",A37)))</formula>
    </cfRule>
    <cfRule type="containsText" dxfId="830" priority="683" operator="containsText" text="subobs">
      <formula>NOT(ISERROR(SEARCH("subobs",A37)))</formula>
    </cfRule>
    <cfRule type="containsText" dxfId="829" priority="684" operator="containsText" text="Call">
      <formula>NOT(ISERROR(SEARCH("Call",A37)))</formula>
    </cfRule>
    <cfRule type="containsText" dxfId="828" priority="687" operator="containsText" text="9ab">
      <formula>NOT(ISERROR(SEARCH("9ab",A37)))</formula>
    </cfRule>
    <cfRule type="cellIs" dxfId="827" priority="688" stopIfTrue="1" operator="equal">
      <formula>"leave"</formula>
    </cfRule>
    <cfRule type="containsText" dxfId="826" priority="689" operator="containsText" text="ds">
      <formula>NOT(ISERROR(SEARCH("ds",A37)))</formula>
    </cfRule>
    <cfRule type="containsText" dxfId="825" priority="690" operator="containsText" text="subobs">
      <formula>NOT(ISERROR(SEARCH("subobs",A37)))</formula>
    </cfRule>
    <cfRule type="containsText" dxfId="824" priority="691" stopIfTrue="1" operator="containsText" text="(Call)">
      <formula>NOT(ISERROR(SEARCH("(Call)",A37)))</formula>
    </cfRule>
  </conditionalFormatting>
  <conditionalFormatting sqref="A37:A42">
    <cfRule type="containsText" dxfId="823" priority="678" operator="containsText" text="b1">
      <formula>NOT(ISERROR(SEARCH("b1",A37)))</formula>
    </cfRule>
    <cfRule type="cellIs" dxfId="822" priority="679" operator="equal">
      <formula>0</formula>
    </cfRule>
    <cfRule type="containsText" dxfId="821" priority="686" stopIfTrue="1" operator="containsText" text="go">
      <formula>NOT(ISERROR(SEARCH("go",A37)))</formula>
    </cfRule>
    <cfRule type="cellIs" dxfId="820" priority="693" operator="equal">
      <formula>"ps_cover"</formula>
    </cfRule>
    <cfRule type="containsText" dxfId="819" priority="694" stopIfTrue="1" operator="containsText" text="9ab">
      <formula>NOT(ISERROR(SEARCH("9ab",A37)))</formula>
    </cfRule>
    <cfRule type="containsText" dxfId="818" priority="695" stopIfTrue="1" operator="containsText" text="ds">
      <formula>NOT(ISERROR(SEARCH("ds",A37)))</formula>
    </cfRule>
    <cfRule type="containsText" dxfId="817" priority="696" stopIfTrue="1" operator="containsText" text="subobs">
      <formula>NOT(ISERROR(SEARCH("subobs",A37)))</formula>
    </cfRule>
  </conditionalFormatting>
  <conditionalFormatting sqref="A37:A42">
    <cfRule type="containsText" dxfId="816" priority="647" operator="containsText" text="(Call)">
      <formula>NOT(ISERROR(SEARCH("(Call)",A37)))</formula>
    </cfRule>
  </conditionalFormatting>
  <conditionalFormatting sqref="A36">
    <cfRule type="containsText" dxfId="815" priority="639" operator="containsText" text="(Call)">
      <formula>NOT(ISERROR(SEARCH("(Call)",A36)))</formula>
    </cfRule>
    <cfRule type="cellIs" dxfId="814" priority="641" operator="equal">
      <formula>0</formula>
    </cfRule>
    <cfRule type="containsText" dxfId="813" priority="644" stopIfTrue="1" operator="containsText" text="9ab">
      <formula>NOT(ISERROR(SEARCH("9ab",A36)))</formula>
    </cfRule>
    <cfRule type="containsText" dxfId="812" priority="645" stopIfTrue="1" operator="containsText" text="ds">
      <formula>NOT(ISERROR(SEARCH("ds",A36)))</formula>
    </cfRule>
    <cfRule type="containsText" dxfId="811" priority="646" stopIfTrue="1" operator="containsText" text="subobs">
      <formula>NOT(ISERROR(SEARCH("subobs",A36)))</formula>
    </cfRule>
  </conditionalFormatting>
  <conditionalFormatting sqref="A36">
    <cfRule type="containsText" dxfId="810" priority="642" stopIfTrue="1" operator="containsText" text="go">
      <formula>NOT(ISERROR(SEARCH("go",A36)))</formula>
    </cfRule>
    <cfRule type="cellIs" dxfId="809" priority="643" operator="equal">
      <formula>"ps_cover"</formula>
    </cfRule>
  </conditionalFormatting>
  <conditionalFormatting sqref="A36">
    <cfRule type="containsText" dxfId="808" priority="640" operator="containsText" text="b1">
      <formula>NOT(ISERROR(SEARCH("b1",A36)))</formula>
    </cfRule>
  </conditionalFormatting>
  <conditionalFormatting sqref="K37:O42">
    <cfRule type="containsText" dxfId="807" priority="632" operator="containsText" text="b1">
      <formula>NOT(ISERROR(SEARCH("b1",K37)))</formula>
    </cfRule>
    <cfRule type="cellIs" dxfId="806" priority="633" operator="equal">
      <formula>0</formula>
    </cfRule>
    <cfRule type="containsText" dxfId="805" priority="634" stopIfTrue="1" operator="containsText" text="go">
      <formula>NOT(ISERROR(SEARCH("go",K37)))</formula>
    </cfRule>
    <cfRule type="cellIs" dxfId="804" priority="635" operator="equal">
      <formula>"ps_cover"</formula>
    </cfRule>
    <cfRule type="containsText" dxfId="803" priority="636" stopIfTrue="1" operator="containsText" text="9ab">
      <formula>NOT(ISERROR(SEARCH("9ab",K37)))</formula>
    </cfRule>
    <cfRule type="containsText" dxfId="802" priority="637" stopIfTrue="1" operator="containsText" text="ds">
      <formula>NOT(ISERROR(SEARCH("ds",K37)))</formula>
    </cfRule>
    <cfRule type="containsText" dxfId="801" priority="638" stopIfTrue="1" operator="containsText" text="subobs">
      <formula>NOT(ISERROR(SEARCH("subobs",K37)))</formula>
    </cfRule>
  </conditionalFormatting>
  <conditionalFormatting sqref="K37:O42">
    <cfRule type="containsText" dxfId="800" priority="624" operator="containsText" text="(Call)">
      <formula>NOT(ISERROR(SEARCH("(Call)",K37)))</formula>
    </cfRule>
  </conditionalFormatting>
  <conditionalFormatting sqref="L37:O42">
    <cfRule type="containsText" dxfId="799" priority="625" operator="containsText" text="b1">
      <formula>NOT(ISERROR(SEARCH("b1",L37)))</formula>
    </cfRule>
    <cfRule type="cellIs" dxfId="798" priority="626" operator="equal">
      <formula>0</formula>
    </cfRule>
    <cfRule type="containsText" dxfId="797" priority="627" stopIfTrue="1" operator="containsText" text="go">
      <formula>NOT(ISERROR(SEARCH("go",L37)))</formula>
    </cfRule>
    <cfRule type="cellIs" dxfId="796" priority="628" operator="equal">
      <formula>"ps_cover"</formula>
    </cfRule>
    <cfRule type="containsText" dxfId="795" priority="629" stopIfTrue="1" operator="containsText" text="9ab">
      <formula>NOT(ISERROR(SEARCH("9ab",L37)))</formula>
    </cfRule>
    <cfRule type="containsText" dxfId="794" priority="630" stopIfTrue="1" operator="containsText" text="ds">
      <formula>NOT(ISERROR(SEARCH("ds",L37)))</formula>
    </cfRule>
    <cfRule type="containsText" dxfId="793" priority="631" stopIfTrue="1" operator="containsText" text="subobs">
      <formula>NOT(ISERROR(SEARCH("subobs",L37)))</formula>
    </cfRule>
  </conditionalFormatting>
  <conditionalFormatting sqref="R37:V42">
    <cfRule type="containsText" dxfId="792" priority="617" operator="containsText" text="b1">
      <formula>NOT(ISERROR(SEARCH("b1",R37)))</formula>
    </cfRule>
    <cfRule type="cellIs" dxfId="791" priority="618" operator="equal">
      <formula>0</formula>
    </cfRule>
    <cfRule type="containsText" dxfId="790" priority="619" stopIfTrue="1" operator="containsText" text="go">
      <formula>NOT(ISERROR(SEARCH("go",R37)))</formula>
    </cfRule>
    <cfRule type="cellIs" dxfId="789" priority="620" operator="equal">
      <formula>"ps_cover"</formula>
    </cfRule>
    <cfRule type="containsText" dxfId="788" priority="621" stopIfTrue="1" operator="containsText" text="9ab">
      <formula>NOT(ISERROR(SEARCH("9ab",R37)))</formula>
    </cfRule>
    <cfRule type="containsText" dxfId="787" priority="622" stopIfTrue="1" operator="containsText" text="ds">
      <formula>NOT(ISERROR(SEARCH("ds",R37)))</formula>
    </cfRule>
    <cfRule type="containsText" dxfId="786" priority="623" stopIfTrue="1" operator="containsText" text="subobs">
      <formula>NOT(ISERROR(SEARCH("subobs",R37)))</formula>
    </cfRule>
  </conditionalFormatting>
  <conditionalFormatting sqref="R37:V42">
    <cfRule type="containsText" dxfId="785" priority="609" operator="containsText" text="(Call)">
      <formula>NOT(ISERROR(SEARCH("(Call)",R37)))</formula>
    </cfRule>
  </conditionalFormatting>
  <conditionalFormatting sqref="S37:V42">
    <cfRule type="containsText" dxfId="784" priority="610" operator="containsText" text="b1">
      <formula>NOT(ISERROR(SEARCH("b1",S37)))</formula>
    </cfRule>
    <cfRule type="cellIs" dxfId="783" priority="611" operator="equal">
      <formula>0</formula>
    </cfRule>
    <cfRule type="containsText" dxfId="782" priority="612" stopIfTrue="1" operator="containsText" text="go">
      <formula>NOT(ISERROR(SEARCH("go",S37)))</formula>
    </cfRule>
    <cfRule type="cellIs" dxfId="781" priority="613" operator="equal">
      <formula>"ps_cover"</formula>
    </cfRule>
    <cfRule type="containsText" dxfId="780" priority="614" stopIfTrue="1" operator="containsText" text="9ab">
      <formula>NOT(ISERROR(SEARCH("9ab",S37)))</formula>
    </cfRule>
    <cfRule type="containsText" dxfId="779" priority="615" stopIfTrue="1" operator="containsText" text="ds">
      <formula>NOT(ISERROR(SEARCH("ds",S37)))</formula>
    </cfRule>
    <cfRule type="containsText" dxfId="778" priority="616" stopIfTrue="1" operator="containsText" text="subobs">
      <formula>NOT(ISERROR(SEARCH("subobs",S37)))</formula>
    </cfRule>
  </conditionalFormatting>
  <conditionalFormatting sqref="Y37:AC42">
    <cfRule type="containsText" dxfId="777" priority="602" operator="containsText" text="b1">
      <formula>NOT(ISERROR(SEARCH("b1",Y37)))</formula>
    </cfRule>
    <cfRule type="cellIs" dxfId="776" priority="603" operator="equal">
      <formula>0</formula>
    </cfRule>
    <cfRule type="containsText" dxfId="775" priority="604" stopIfTrue="1" operator="containsText" text="go">
      <formula>NOT(ISERROR(SEARCH("go",Y37)))</formula>
    </cfRule>
    <cfRule type="cellIs" dxfId="774" priority="605" operator="equal">
      <formula>"ps_cover"</formula>
    </cfRule>
    <cfRule type="containsText" dxfId="773" priority="606" stopIfTrue="1" operator="containsText" text="9ab">
      <formula>NOT(ISERROR(SEARCH("9ab",Y37)))</formula>
    </cfRule>
    <cfRule type="containsText" dxfId="772" priority="607" stopIfTrue="1" operator="containsText" text="ds">
      <formula>NOT(ISERROR(SEARCH("ds",Y37)))</formula>
    </cfRule>
    <cfRule type="containsText" dxfId="771" priority="608" stopIfTrue="1" operator="containsText" text="subobs">
      <formula>NOT(ISERROR(SEARCH("subobs",Y37)))</formula>
    </cfRule>
  </conditionalFormatting>
  <conditionalFormatting sqref="Y37:AC42">
    <cfRule type="containsText" dxfId="770" priority="594" operator="containsText" text="(Call)">
      <formula>NOT(ISERROR(SEARCH("(Call)",Y37)))</formula>
    </cfRule>
  </conditionalFormatting>
  <conditionalFormatting sqref="Z37:AC42">
    <cfRule type="containsText" dxfId="769" priority="595" operator="containsText" text="b1">
      <formula>NOT(ISERROR(SEARCH("b1",Z37)))</formula>
    </cfRule>
    <cfRule type="cellIs" dxfId="768" priority="596" operator="equal">
      <formula>0</formula>
    </cfRule>
    <cfRule type="containsText" dxfId="767" priority="597" stopIfTrue="1" operator="containsText" text="go">
      <formula>NOT(ISERROR(SEARCH("go",Z37)))</formula>
    </cfRule>
    <cfRule type="cellIs" dxfId="766" priority="598" operator="equal">
      <formula>"ps_cover"</formula>
    </cfRule>
    <cfRule type="containsText" dxfId="765" priority="599" stopIfTrue="1" operator="containsText" text="9ab">
      <formula>NOT(ISERROR(SEARCH("9ab",Z37)))</formula>
    </cfRule>
    <cfRule type="containsText" dxfId="764" priority="600" stopIfTrue="1" operator="containsText" text="ds">
      <formula>NOT(ISERROR(SEARCH("ds",Z37)))</formula>
    </cfRule>
    <cfRule type="containsText" dxfId="763" priority="601" stopIfTrue="1" operator="containsText" text="subobs">
      <formula>NOT(ISERROR(SEARCH("subobs",Z37)))</formula>
    </cfRule>
  </conditionalFormatting>
  <conditionalFormatting sqref="AF37:AJ42">
    <cfRule type="containsText" dxfId="762" priority="587" operator="containsText" text="b1">
      <formula>NOT(ISERROR(SEARCH("b1",AF37)))</formula>
    </cfRule>
    <cfRule type="cellIs" dxfId="761" priority="588" operator="equal">
      <formula>0</formula>
    </cfRule>
    <cfRule type="containsText" dxfId="760" priority="589" stopIfTrue="1" operator="containsText" text="go">
      <formula>NOT(ISERROR(SEARCH("go",AF37)))</formula>
    </cfRule>
    <cfRule type="cellIs" dxfId="759" priority="590" operator="equal">
      <formula>"ps_cover"</formula>
    </cfRule>
    <cfRule type="containsText" dxfId="758" priority="591" stopIfTrue="1" operator="containsText" text="9ab">
      <formula>NOT(ISERROR(SEARCH("9ab",AF37)))</formula>
    </cfRule>
    <cfRule type="containsText" dxfId="757" priority="592" stopIfTrue="1" operator="containsText" text="ds">
      <formula>NOT(ISERROR(SEARCH("ds",AF37)))</formula>
    </cfRule>
    <cfRule type="containsText" dxfId="756" priority="593" stopIfTrue="1" operator="containsText" text="subobs">
      <formula>NOT(ISERROR(SEARCH("subobs",AF37)))</formula>
    </cfRule>
  </conditionalFormatting>
  <conditionalFormatting sqref="AF37:AJ42">
    <cfRule type="containsText" dxfId="755" priority="579" operator="containsText" text="(Call)">
      <formula>NOT(ISERROR(SEARCH("(Call)",AF37)))</formula>
    </cfRule>
  </conditionalFormatting>
  <conditionalFormatting sqref="AG37:AJ42">
    <cfRule type="containsText" dxfId="754" priority="580" operator="containsText" text="b1">
      <formula>NOT(ISERROR(SEARCH("b1",AG37)))</formula>
    </cfRule>
    <cfRule type="cellIs" dxfId="753" priority="581" operator="equal">
      <formula>0</formula>
    </cfRule>
    <cfRule type="containsText" dxfId="752" priority="582" stopIfTrue="1" operator="containsText" text="go">
      <formula>NOT(ISERROR(SEARCH("go",AG37)))</formula>
    </cfRule>
    <cfRule type="cellIs" dxfId="751" priority="583" operator="equal">
      <formula>"ps_cover"</formula>
    </cfRule>
    <cfRule type="containsText" dxfId="750" priority="584" stopIfTrue="1" operator="containsText" text="9ab">
      <formula>NOT(ISERROR(SEARCH("9ab",AG37)))</formula>
    </cfRule>
    <cfRule type="containsText" dxfId="749" priority="585" stopIfTrue="1" operator="containsText" text="ds">
      <formula>NOT(ISERROR(SEARCH("ds",AG37)))</formula>
    </cfRule>
    <cfRule type="containsText" dxfId="748" priority="586" stopIfTrue="1" operator="containsText" text="subobs">
      <formula>NOT(ISERROR(SEARCH("subobs",AG37)))</formula>
    </cfRule>
  </conditionalFormatting>
  <conditionalFormatting sqref="AM37:AQ42">
    <cfRule type="containsText" dxfId="747" priority="572" operator="containsText" text="b1">
      <formula>NOT(ISERROR(SEARCH("b1",AM37)))</formula>
    </cfRule>
    <cfRule type="cellIs" dxfId="746" priority="573" operator="equal">
      <formula>0</formula>
    </cfRule>
    <cfRule type="containsText" dxfId="745" priority="574" stopIfTrue="1" operator="containsText" text="go">
      <formula>NOT(ISERROR(SEARCH("go",AM37)))</formula>
    </cfRule>
    <cfRule type="cellIs" dxfId="744" priority="575" operator="equal">
      <formula>"ps_cover"</formula>
    </cfRule>
    <cfRule type="containsText" dxfId="743" priority="576" stopIfTrue="1" operator="containsText" text="9ab">
      <formula>NOT(ISERROR(SEARCH("9ab",AM37)))</formula>
    </cfRule>
    <cfRule type="containsText" dxfId="742" priority="577" stopIfTrue="1" operator="containsText" text="ds">
      <formula>NOT(ISERROR(SEARCH("ds",AM37)))</formula>
    </cfRule>
    <cfRule type="containsText" dxfId="741" priority="578" stopIfTrue="1" operator="containsText" text="subobs">
      <formula>NOT(ISERROR(SEARCH("subobs",AM37)))</formula>
    </cfRule>
  </conditionalFormatting>
  <conditionalFormatting sqref="AM37:AQ42">
    <cfRule type="containsText" dxfId="740" priority="564" operator="containsText" text="(Call)">
      <formula>NOT(ISERROR(SEARCH("(Call)",AM37)))</formula>
    </cfRule>
  </conditionalFormatting>
  <conditionalFormatting sqref="AN37:AQ42">
    <cfRule type="containsText" dxfId="739" priority="565" operator="containsText" text="b1">
      <formula>NOT(ISERROR(SEARCH("b1",AN37)))</formula>
    </cfRule>
    <cfRule type="cellIs" dxfId="738" priority="566" operator="equal">
      <formula>0</formula>
    </cfRule>
    <cfRule type="containsText" dxfId="737" priority="567" stopIfTrue="1" operator="containsText" text="go">
      <formula>NOT(ISERROR(SEARCH("go",AN37)))</formula>
    </cfRule>
    <cfRule type="cellIs" dxfId="736" priority="568" operator="equal">
      <formula>"ps_cover"</formula>
    </cfRule>
    <cfRule type="containsText" dxfId="735" priority="569" stopIfTrue="1" operator="containsText" text="9ab">
      <formula>NOT(ISERROR(SEARCH("9ab",AN37)))</formula>
    </cfRule>
    <cfRule type="containsText" dxfId="734" priority="570" stopIfTrue="1" operator="containsText" text="ds">
      <formula>NOT(ISERROR(SEARCH("ds",AN37)))</formula>
    </cfRule>
    <cfRule type="containsText" dxfId="733" priority="571" stopIfTrue="1" operator="containsText" text="subobs">
      <formula>NOT(ISERROR(SEARCH("subobs",AN37)))</formula>
    </cfRule>
  </conditionalFormatting>
  <conditionalFormatting sqref="AT37:AX42">
    <cfRule type="containsText" dxfId="732" priority="557" operator="containsText" text="b1">
      <formula>NOT(ISERROR(SEARCH("b1",AT37)))</formula>
    </cfRule>
    <cfRule type="cellIs" dxfId="731" priority="558" operator="equal">
      <formula>0</formula>
    </cfRule>
    <cfRule type="containsText" dxfId="730" priority="559" stopIfTrue="1" operator="containsText" text="go">
      <formula>NOT(ISERROR(SEARCH("go",AT37)))</formula>
    </cfRule>
    <cfRule type="cellIs" dxfId="729" priority="560" operator="equal">
      <formula>"ps_cover"</formula>
    </cfRule>
    <cfRule type="containsText" dxfId="728" priority="561" stopIfTrue="1" operator="containsText" text="9ab">
      <formula>NOT(ISERROR(SEARCH("9ab",AT37)))</formula>
    </cfRule>
    <cfRule type="containsText" dxfId="727" priority="562" stopIfTrue="1" operator="containsText" text="ds">
      <formula>NOT(ISERROR(SEARCH("ds",AT37)))</formula>
    </cfRule>
    <cfRule type="containsText" dxfId="726" priority="563" stopIfTrue="1" operator="containsText" text="subobs">
      <formula>NOT(ISERROR(SEARCH("subobs",AT37)))</formula>
    </cfRule>
  </conditionalFormatting>
  <conditionalFormatting sqref="AT37:AX42">
    <cfRule type="containsText" dxfId="725" priority="549" operator="containsText" text="(Call)">
      <formula>NOT(ISERROR(SEARCH("(Call)",AT37)))</formula>
    </cfRule>
  </conditionalFormatting>
  <conditionalFormatting sqref="AU37:AX42">
    <cfRule type="containsText" dxfId="724" priority="550" operator="containsText" text="b1">
      <formula>NOT(ISERROR(SEARCH("b1",AU37)))</formula>
    </cfRule>
    <cfRule type="cellIs" dxfId="723" priority="551" operator="equal">
      <formula>0</formula>
    </cfRule>
    <cfRule type="containsText" dxfId="722" priority="552" stopIfTrue="1" operator="containsText" text="go">
      <formula>NOT(ISERROR(SEARCH("go",AU37)))</formula>
    </cfRule>
    <cfRule type="cellIs" dxfId="721" priority="553" operator="equal">
      <formula>"ps_cover"</formula>
    </cfRule>
    <cfRule type="containsText" dxfId="720" priority="554" stopIfTrue="1" operator="containsText" text="9ab">
      <formula>NOT(ISERROR(SEARCH("9ab",AU37)))</formula>
    </cfRule>
    <cfRule type="containsText" dxfId="719" priority="555" stopIfTrue="1" operator="containsText" text="ds">
      <formula>NOT(ISERROR(SEARCH("ds",AU37)))</formula>
    </cfRule>
    <cfRule type="containsText" dxfId="718" priority="556" stopIfTrue="1" operator="containsText" text="subobs">
      <formula>NOT(ISERROR(SEARCH("subobs",AU37)))</formula>
    </cfRule>
  </conditionalFormatting>
  <conditionalFormatting sqref="BA37:BE42">
    <cfRule type="containsText" dxfId="717" priority="542" operator="containsText" text="b1">
      <formula>NOT(ISERROR(SEARCH("b1",BA37)))</formula>
    </cfRule>
    <cfRule type="cellIs" dxfId="716" priority="543" operator="equal">
      <formula>0</formula>
    </cfRule>
    <cfRule type="containsText" dxfId="715" priority="544" stopIfTrue="1" operator="containsText" text="go">
      <formula>NOT(ISERROR(SEARCH("go",BA37)))</formula>
    </cfRule>
    <cfRule type="cellIs" dxfId="714" priority="545" operator="equal">
      <formula>"ps_cover"</formula>
    </cfRule>
    <cfRule type="containsText" dxfId="713" priority="546" stopIfTrue="1" operator="containsText" text="9ab">
      <formula>NOT(ISERROR(SEARCH("9ab",BA37)))</formula>
    </cfRule>
    <cfRule type="containsText" dxfId="712" priority="547" stopIfTrue="1" operator="containsText" text="ds">
      <formula>NOT(ISERROR(SEARCH("ds",BA37)))</formula>
    </cfRule>
    <cfRule type="containsText" dxfId="711" priority="548" stopIfTrue="1" operator="containsText" text="subobs">
      <formula>NOT(ISERROR(SEARCH("subobs",BA37)))</formula>
    </cfRule>
  </conditionalFormatting>
  <conditionalFormatting sqref="BA37:BE42">
    <cfRule type="containsText" dxfId="710" priority="534" operator="containsText" text="(Call)">
      <formula>NOT(ISERROR(SEARCH("(Call)",BA37)))</formula>
    </cfRule>
  </conditionalFormatting>
  <conditionalFormatting sqref="BB37:BE42">
    <cfRule type="containsText" dxfId="709" priority="535" operator="containsText" text="b1">
      <formula>NOT(ISERROR(SEARCH("b1",BB37)))</formula>
    </cfRule>
    <cfRule type="cellIs" dxfId="708" priority="536" operator="equal">
      <formula>0</formula>
    </cfRule>
    <cfRule type="containsText" dxfId="707" priority="537" stopIfTrue="1" operator="containsText" text="go">
      <formula>NOT(ISERROR(SEARCH("go",BB37)))</formula>
    </cfRule>
    <cfRule type="cellIs" dxfId="706" priority="538" operator="equal">
      <formula>"ps_cover"</formula>
    </cfRule>
    <cfRule type="containsText" dxfId="705" priority="539" stopIfTrue="1" operator="containsText" text="9ab">
      <formula>NOT(ISERROR(SEARCH("9ab",BB37)))</formula>
    </cfRule>
    <cfRule type="containsText" dxfId="704" priority="540" stopIfTrue="1" operator="containsText" text="ds">
      <formula>NOT(ISERROR(SEARCH("ds",BB37)))</formula>
    </cfRule>
    <cfRule type="containsText" dxfId="703" priority="541" stopIfTrue="1" operator="containsText" text="subobs">
      <formula>NOT(ISERROR(SEARCH("subobs",BB37)))</formula>
    </cfRule>
  </conditionalFormatting>
  <conditionalFormatting sqref="BH37:BH42">
    <cfRule type="containsText" dxfId="702" priority="526" operator="containsText" text="(Call)">
      <formula>NOT(ISERROR(SEARCH("(Call)",BH37)))</formula>
    </cfRule>
  </conditionalFormatting>
  <conditionalFormatting sqref="BH37:BH42">
    <cfRule type="containsText" dxfId="701" priority="527" operator="containsText" text="b1">
      <formula>NOT(ISERROR(SEARCH("b1",BH37)))</formula>
    </cfRule>
    <cfRule type="cellIs" dxfId="700" priority="528" operator="equal">
      <formula>0</formula>
    </cfRule>
    <cfRule type="containsText" dxfId="699" priority="529" stopIfTrue="1" operator="containsText" text="go">
      <formula>NOT(ISERROR(SEARCH("go",BH37)))</formula>
    </cfRule>
    <cfRule type="cellIs" dxfId="698" priority="530" operator="equal">
      <formula>"ps_cover"</formula>
    </cfRule>
    <cfRule type="containsText" dxfId="697" priority="531" stopIfTrue="1" operator="containsText" text="9ab">
      <formula>NOT(ISERROR(SEARCH("9ab",BH37)))</formula>
    </cfRule>
    <cfRule type="containsText" dxfId="696" priority="532" stopIfTrue="1" operator="containsText" text="ds">
      <formula>NOT(ISERROR(SEARCH("ds",BH37)))</formula>
    </cfRule>
    <cfRule type="containsText" dxfId="695" priority="533" stopIfTrue="1" operator="containsText" text="subobs">
      <formula>NOT(ISERROR(SEARCH("subobs",BH37)))</formula>
    </cfRule>
  </conditionalFormatting>
  <conditionalFormatting sqref="BH37:BH42">
    <cfRule type="containsText" dxfId="694" priority="519" operator="containsText" text="b1">
      <formula>NOT(ISERROR(SEARCH("b1",BH37)))</formula>
    </cfRule>
    <cfRule type="cellIs" dxfId="693" priority="520" operator="equal">
      <formula>0</formula>
    </cfRule>
    <cfRule type="containsText" dxfId="692" priority="521" stopIfTrue="1" operator="containsText" text="go">
      <formula>NOT(ISERROR(SEARCH("go",BH37)))</formula>
    </cfRule>
    <cfRule type="cellIs" dxfId="691" priority="522" operator="equal">
      <formula>"ps_cover"</formula>
    </cfRule>
    <cfRule type="containsText" dxfId="690" priority="523" stopIfTrue="1" operator="containsText" text="9ab">
      <formula>NOT(ISERROR(SEARCH("9ab",BH37)))</formula>
    </cfRule>
    <cfRule type="containsText" dxfId="689" priority="524" stopIfTrue="1" operator="containsText" text="ds">
      <formula>NOT(ISERROR(SEARCH("ds",BH37)))</formula>
    </cfRule>
    <cfRule type="containsText" dxfId="688" priority="525" stopIfTrue="1" operator="containsText" text="subobs">
      <formula>NOT(ISERROR(SEARCH("subobs",BH37)))</formula>
    </cfRule>
  </conditionalFormatting>
  <conditionalFormatting sqref="BH37:BH42">
    <cfRule type="containsText" dxfId="687" priority="511" operator="containsText" text="(Call)">
      <formula>NOT(ISERROR(SEARCH("(Call)",BH37)))</formula>
    </cfRule>
  </conditionalFormatting>
  <conditionalFormatting sqref="BH37:BH42">
    <cfRule type="containsText" dxfId="686" priority="512" operator="containsText" text="b1">
      <formula>NOT(ISERROR(SEARCH("b1",BH37)))</formula>
    </cfRule>
    <cfRule type="cellIs" dxfId="685" priority="513" operator="equal">
      <formula>0</formula>
    </cfRule>
    <cfRule type="containsText" dxfId="684" priority="514" stopIfTrue="1" operator="containsText" text="go">
      <formula>NOT(ISERROR(SEARCH("go",BH37)))</formula>
    </cfRule>
    <cfRule type="cellIs" dxfId="683" priority="515" operator="equal">
      <formula>"ps_cover"</formula>
    </cfRule>
    <cfRule type="containsText" dxfId="682" priority="516" stopIfTrue="1" operator="containsText" text="9ab">
      <formula>NOT(ISERROR(SEARCH("9ab",BH37)))</formula>
    </cfRule>
    <cfRule type="containsText" dxfId="681" priority="517" stopIfTrue="1" operator="containsText" text="ds">
      <formula>NOT(ISERROR(SEARCH("ds",BH37)))</formula>
    </cfRule>
    <cfRule type="containsText" dxfId="680" priority="518" stopIfTrue="1" operator="containsText" text="subobs">
      <formula>NOT(ISERROR(SEARCH("subobs",BH37)))</formula>
    </cfRule>
  </conditionalFormatting>
  <conditionalFormatting sqref="BH19:BH26">
    <cfRule type="cellIs" dxfId="679" priority="510" operator="equal">
      <formula>0</formula>
    </cfRule>
  </conditionalFormatting>
  <conditionalFormatting sqref="BH19:BH25">
    <cfRule type="cellIs" dxfId="678" priority="509" operator="equal">
      <formula>0</formula>
    </cfRule>
  </conditionalFormatting>
  <conditionalFormatting sqref="C25">
    <cfRule type="containsText" dxfId="677" priority="478" operator="containsText" text="9ab">
      <formula>NOT(ISERROR(SEARCH("9ab",C25)))</formula>
    </cfRule>
    <cfRule type="cellIs" dxfId="676" priority="479" stopIfTrue="1" operator="equal">
      <formula>"leave"</formula>
    </cfRule>
    <cfRule type="containsText" dxfId="675" priority="480" operator="containsText" text="ds">
      <formula>NOT(ISERROR(SEARCH("ds",C25)))</formula>
    </cfRule>
    <cfRule type="containsText" dxfId="674" priority="481" operator="containsText" text="subobs">
      <formula>NOT(ISERROR(SEARCH("subobs",C25)))</formula>
    </cfRule>
    <cfRule type="containsText" dxfId="673" priority="482" operator="containsText" text="Call">
      <formula>NOT(ISERROR(SEARCH("Call",C25)))</formula>
    </cfRule>
    <cfRule type="containsText" dxfId="672" priority="484" operator="containsText" text="9ab">
      <formula>NOT(ISERROR(SEARCH("9ab",C25)))</formula>
    </cfRule>
    <cfRule type="cellIs" dxfId="671" priority="485" stopIfTrue="1" operator="equal">
      <formula>"leave"</formula>
    </cfRule>
    <cfRule type="containsText" dxfId="670" priority="486" operator="containsText" text="ds">
      <formula>NOT(ISERROR(SEARCH("ds",C25)))</formula>
    </cfRule>
    <cfRule type="containsText" dxfId="669" priority="487" operator="containsText" text="subobs">
      <formula>NOT(ISERROR(SEARCH("subobs",C25)))</formula>
    </cfRule>
    <cfRule type="containsText" dxfId="668" priority="488" stopIfTrue="1" operator="containsText" text="(Call)">
      <formula>NOT(ISERROR(SEARCH("(Call)",C25)))</formula>
    </cfRule>
    <cfRule type="containsText" dxfId="667" priority="490" operator="containsText" text="9ab">
      <formula>NOT(ISERROR(SEARCH("9ab",C25)))</formula>
    </cfRule>
    <cfRule type="cellIs" dxfId="666" priority="491" stopIfTrue="1" operator="equal">
      <formula>"leave"</formula>
    </cfRule>
    <cfRule type="containsText" dxfId="665" priority="492" operator="containsText" text="ds">
      <formula>NOT(ISERROR(SEARCH("ds",C25)))</formula>
    </cfRule>
    <cfRule type="containsText" dxfId="664" priority="493" operator="containsText" text="subobs">
      <formula>NOT(ISERROR(SEARCH("subobs",C25)))</formula>
    </cfRule>
    <cfRule type="containsText" dxfId="663" priority="494" operator="containsText" text="Call">
      <formula>NOT(ISERROR(SEARCH("Call",C25)))</formula>
    </cfRule>
    <cfRule type="cellIs" dxfId="662" priority="496" operator="equal">
      <formula>0</formula>
    </cfRule>
    <cfRule type="containsText" dxfId="661" priority="497" operator="containsText" text="9ab">
      <formula>NOT(ISERROR(SEARCH("9ab",C25)))</formula>
    </cfRule>
    <cfRule type="cellIs" dxfId="660" priority="498" stopIfTrue="1" operator="equal">
      <formula>"leave"</formula>
    </cfRule>
    <cfRule type="containsText" dxfId="659" priority="499" operator="containsText" text="ds">
      <formula>NOT(ISERROR(SEARCH("ds",C25)))</formula>
    </cfRule>
    <cfRule type="containsText" dxfId="658" priority="500" operator="containsText" text="subobs">
      <formula>NOT(ISERROR(SEARCH("subobs",C25)))</formula>
    </cfRule>
    <cfRule type="containsText" dxfId="657" priority="501" operator="containsText" text="Call">
      <formula>NOT(ISERROR(SEARCH("Call",C25)))</formula>
    </cfRule>
  </conditionalFormatting>
  <conditionalFormatting sqref="C25">
    <cfRule type="containsText" dxfId="656" priority="503" operator="containsText" text="9ab">
      <formula>NOT(ISERROR(SEARCH("9ab",C25)))</formula>
    </cfRule>
    <cfRule type="cellIs" dxfId="655" priority="504" stopIfTrue="1" operator="equal">
      <formula>"leave"</formula>
    </cfRule>
    <cfRule type="containsText" dxfId="654" priority="505" operator="containsText" text="ds">
      <formula>NOT(ISERROR(SEARCH("ds",C25)))</formula>
    </cfRule>
    <cfRule type="containsText" dxfId="653" priority="506" operator="containsText" text="subobs">
      <formula>NOT(ISERROR(SEARCH("subobs",C25)))</formula>
    </cfRule>
    <cfRule type="containsText" dxfId="652" priority="507" operator="containsText" text="Call">
      <formula>NOT(ISERROR(SEARCH("Call",C25)))</formula>
    </cfRule>
  </conditionalFormatting>
  <conditionalFormatting sqref="J25">
    <cfRule type="containsText" dxfId="651" priority="447" operator="containsText" text="9ab">
      <formula>NOT(ISERROR(SEARCH("9ab",J25)))</formula>
    </cfRule>
    <cfRule type="cellIs" dxfId="650" priority="448" stopIfTrue="1" operator="equal">
      <formula>"leave"</formula>
    </cfRule>
    <cfRule type="containsText" dxfId="649" priority="449" operator="containsText" text="ds">
      <formula>NOT(ISERROR(SEARCH("ds",J25)))</formula>
    </cfRule>
    <cfRule type="containsText" dxfId="648" priority="450" operator="containsText" text="subobs">
      <formula>NOT(ISERROR(SEARCH("subobs",J25)))</formula>
    </cfRule>
    <cfRule type="containsText" dxfId="647" priority="451" operator="containsText" text="Call">
      <formula>NOT(ISERROR(SEARCH("Call",J25)))</formula>
    </cfRule>
    <cfRule type="containsText" dxfId="646" priority="453" operator="containsText" text="9ab">
      <formula>NOT(ISERROR(SEARCH("9ab",J25)))</formula>
    </cfRule>
    <cfRule type="cellIs" dxfId="645" priority="454" stopIfTrue="1" operator="equal">
      <formula>"leave"</formula>
    </cfRule>
    <cfRule type="containsText" dxfId="644" priority="455" operator="containsText" text="ds">
      <formula>NOT(ISERROR(SEARCH("ds",J25)))</formula>
    </cfRule>
    <cfRule type="containsText" dxfId="643" priority="456" operator="containsText" text="subobs">
      <formula>NOT(ISERROR(SEARCH("subobs",J25)))</formula>
    </cfRule>
    <cfRule type="containsText" dxfId="642" priority="457" stopIfTrue="1" operator="containsText" text="(Call)">
      <formula>NOT(ISERROR(SEARCH("(Call)",J25)))</formula>
    </cfRule>
    <cfRule type="containsText" dxfId="641" priority="459" operator="containsText" text="9ab">
      <formula>NOT(ISERROR(SEARCH("9ab",J25)))</formula>
    </cfRule>
    <cfRule type="cellIs" dxfId="640" priority="460" stopIfTrue="1" operator="equal">
      <formula>"leave"</formula>
    </cfRule>
    <cfRule type="containsText" dxfId="639" priority="461" operator="containsText" text="ds">
      <formula>NOT(ISERROR(SEARCH("ds",J25)))</formula>
    </cfRule>
    <cfRule type="containsText" dxfId="638" priority="462" operator="containsText" text="subobs">
      <formula>NOT(ISERROR(SEARCH("subobs",J25)))</formula>
    </cfRule>
    <cfRule type="containsText" dxfId="637" priority="463" operator="containsText" text="Call">
      <formula>NOT(ISERROR(SEARCH("Call",J25)))</formula>
    </cfRule>
    <cfRule type="cellIs" dxfId="636" priority="465" operator="equal">
      <formula>0</formula>
    </cfRule>
    <cfRule type="containsText" dxfId="635" priority="466" operator="containsText" text="9ab">
      <formula>NOT(ISERROR(SEARCH("9ab",J25)))</formula>
    </cfRule>
    <cfRule type="cellIs" dxfId="634" priority="467" stopIfTrue="1" operator="equal">
      <formula>"leave"</formula>
    </cfRule>
    <cfRule type="containsText" dxfId="633" priority="468" operator="containsText" text="ds">
      <formula>NOT(ISERROR(SEARCH("ds",J25)))</formula>
    </cfRule>
    <cfRule type="containsText" dxfId="632" priority="469" operator="containsText" text="subobs">
      <formula>NOT(ISERROR(SEARCH("subobs",J25)))</formula>
    </cfRule>
    <cfRule type="containsText" dxfId="631" priority="470" operator="containsText" text="Call">
      <formula>NOT(ISERROR(SEARCH("Call",J25)))</formula>
    </cfRule>
  </conditionalFormatting>
  <conditionalFormatting sqref="J25">
    <cfRule type="containsText" dxfId="630" priority="472" operator="containsText" text="9ab">
      <formula>NOT(ISERROR(SEARCH("9ab",J25)))</formula>
    </cfRule>
    <cfRule type="cellIs" dxfId="629" priority="473" stopIfTrue="1" operator="equal">
      <formula>"leave"</formula>
    </cfRule>
    <cfRule type="containsText" dxfId="628" priority="474" operator="containsText" text="ds">
      <formula>NOT(ISERROR(SEARCH("ds",J25)))</formula>
    </cfRule>
    <cfRule type="containsText" dxfId="627" priority="475" operator="containsText" text="subobs">
      <formula>NOT(ISERROR(SEARCH("subobs",J25)))</formula>
    </cfRule>
    <cfRule type="containsText" dxfId="626" priority="476" operator="containsText" text="Call">
      <formula>NOT(ISERROR(SEARCH("Call",J25)))</formula>
    </cfRule>
  </conditionalFormatting>
  <conditionalFormatting sqref="Q25">
    <cfRule type="containsText" dxfId="625" priority="416" operator="containsText" text="9ab">
      <formula>NOT(ISERROR(SEARCH("9ab",Q25)))</formula>
    </cfRule>
    <cfRule type="cellIs" dxfId="624" priority="417" stopIfTrue="1" operator="equal">
      <formula>"leave"</formula>
    </cfRule>
    <cfRule type="containsText" dxfId="623" priority="418" operator="containsText" text="ds">
      <formula>NOT(ISERROR(SEARCH("ds",Q25)))</formula>
    </cfRule>
    <cfRule type="containsText" dxfId="622" priority="419" operator="containsText" text="subobs">
      <formula>NOT(ISERROR(SEARCH("subobs",Q25)))</formula>
    </cfRule>
    <cfRule type="containsText" dxfId="621" priority="420" operator="containsText" text="Call">
      <formula>NOT(ISERROR(SEARCH("Call",Q25)))</formula>
    </cfRule>
    <cfRule type="containsText" dxfId="620" priority="422" operator="containsText" text="9ab">
      <formula>NOT(ISERROR(SEARCH("9ab",Q25)))</formula>
    </cfRule>
    <cfRule type="cellIs" dxfId="619" priority="423" stopIfTrue="1" operator="equal">
      <formula>"leave"</formula>
    </cfRule>
    <cfRule type="containsText" dxfId="618" priority="424" operator="containsText" text="ds">
      <formula>NOT(ISERROR(SEARCH("ds",Q25)))</formula>
    </cfRule>
    <cfRule type="containsText" dxfId="617" priority="425" operator="containsText" text="subobs">
      <formula>NOT(ISERROR(SEARCH("subobs",Q25)))</formula>
    </cfRule>
    <cfRule type="containsText" dxfId="616" priority="426" stopIfTrue="1" operator="containsText" text="(Call)">
      <formula>NOT(ISERROR(SEARCH("(Call)",Q25)))</formula>
    </cfRule>
    <cfRule type="containsText" dxfId="615" priority="428" operator="containsText" text="9ab">
      <formula>NOT(ISERROR(SEARCH("9ab",Q25)))</formula>
    </cfRule>
    <cfRule type="cellIs" dxfId="614" priority="429" stopIfTrue="1" operator="equal">
      <formula>"leave"</formula>
    </cfRule>
    <cfRule type="containsText" dxfId="613" priority="430" operator="containsText" text="ds">
      <formula>NOT(ISERROR(SEARCH("ds",Q25)))</formula>
    </cfRule>
    <cfRule type="containsText" dxfId="612" priority="431" operator="containsText" text="subobs">
      <formula>NOT(ISERROR(SEARCH("subobs",Q25)))</formula>
    </cfRule>
    <cfRule type="containsText" dxfId="611" priority="432" operator="containsText" text="Call">
      <formula>NOT(ISERROR(SEARCH("Call",Q25)))</formula>
    </cfRule>
    <cfRule type="cellIs" dxfId="610" priority="434" operator="equal">
      <formula>0</formula>
    </cfRule>
    <cfRule type="containsText" dxfId="609" priority="435" operator="containsText" text="9ab">
      <formula>NOT(ISERROR(SEARCH("9ab",Q25)))</formula>
    </cfRule>
    <cfRule type="cellIs" dxfId="608" priority="436" stopIfTrue="1" operator="equal">
      <formula>"leave"</formula>
    </cfRule>
    <cfRule type="containsText" dxfId="607" priority="437" operator="containsText" text="ds">
      <formula>NOT(ISERROR(SEARCH("ds",Q25)))</formula>
    </cfRule>
    <cfRule type="containsText" dxfId="606" priority="438" operator="containsText" text="subobs">
      <formula>NOT(ISERROR(SEARCH("subobs",Q25)))</formula>
    </cfRule>
    <cfRule type="containsText" dxfId="605" priority="439" operator="containsText" text="Call">
      <formula>NOT(ISERROR(SEARCH("Call",Q25)))</formula>
    </cfRule>
  </conditionalFormatting>
  <conditionalFormatting sqref="Q25">
    <cfRule type="containsText" dxfId="604" priority="441" operator="containsText" text="9ab">
      <formula>NOT(ISERROR(SEARCH("9ab",Q25)))</formula>
    </cfRule>
    <cfRule type="cellIs" dxfId="603" priority="442" stopIfTrue="1" operator="equal">
      <formula>"leave"</formula>
    </cfRule>
    <cfRule type="containsText" dxfId="602" priority="443" operator="containsText" text="ds">
      <formula>NOT(ISERROR(SEARCH("ds",Q25)))</formula>
    </cfRule>
    <cfRule type="containsText" dxfId="601" priority="444" operator="containsText" text="subobs">
      <formula>NOT(ISERROR(SEARCH("subobs",Q25)))</formula>
    </cfRule>
    <cfRule type="containsText" dxfId="600" priority="445" operator="containsText" text="Call">
      <formula>NOT(ISERROR(SEARCH("Call",Q25)))</formula>
    </cfRule>
  </conditionalFormatting>
  <conditionalFormatting sqref="X25">
    <cfRule type="containsText" dxfId="599" priority="385" operator="containsText" text="9ab">
      <formula>NOT(ISERROR(SEARCH("9ab",X25)))</formula>
    </cfRule>
    <cfRule type="cellIs" dxfId="598" priority="386" stopIfTrue="1" operator="equal">
      <formula>"leave"</formula>
    </cfRule>
    <cfRule type="containsText" dxfId="597" priority="387" operator="containsText" text="ds">
      <formula>NOT(ISERROR(SEARCH("ds",X25)))</formula>
    </cfRule>
    <cfRule type="containsText" dxfId="596" priority="388" operator="containsText" text="subobs">
      <formula>NOT(ISERROR(SEARCH("subobs",X25)))</formula>
    </cfRule>
    <cfRule type="containsText" dxfId="595" priority="389" operator="containsText" text="Call">
      <formula>NOT(ISERROR(SEARCH("Call",X25)))</formula>
    </cfRule>
    <cfRule type="containsText" dxfId="594" priority="391" operator="containsText" text="9ab">
      <formula>NOT(ISERROR(SEARCH("9ab",X25)))</formula>
    </cfRule>
    <cfRule type="cellIs" dxfId="593" priority="392" stopIfTrue="1" operator="equal">
      <formula>"leave"</formula>
    </cfRule>
    <cfRule type="containsText" dxfId="592" priority="393" operator="containsText" text="ds">
      <formula>NOT(ISERROR(SEARCH("ds",X25)))</formula>
    </cfRule>
    <cfRule type="containsText" dxfId="591" priority="394" operator="containsText" text="subobs">
      <formula>NOT(ISERROR(SEARCH("subobs",X25)))</formula>
    </cfRule>
    <cfRule type="containsText" dxfId="590" priority="395" stopIfTrue="1" operator="containsText" text="(Call)">
      <formula>NOT(ISERROR(SEARCH("(Call)",X25)))</formula>
    </cfRule>
    <cfRule type="containsText" dxfId="589" priority="397" operator="containsText" text="9ab">
      <formula>NOT(ISERROR(SEARCH("9ab",X25)))</formula>
    </cfRule>
    <cfRule type="cellIs" dxfId="588" priority="398" stopIfTrue="1" operator="equal">
      <formula>"leave"</formula>
    </cfRule>
    <cfRule type="containsText" dxfId="587" priority="399" operator="containsText" text="ds">
      <formula>NOT(ISERROR(SEARCH("ds",X25)))</formula>
    </cfRule>
    <cfRule type="containsText" dxfId="586" priority="400" operator="containsText" text="subobs">
      <formula>NOT(ISERROR(SEARCH("subobs",X25)))</formula>
    </cfRule>
    <cfRule type="containsText" dxfId="585" priority="401" operator="containsText" text="Call">
      <formula>NOT(ISERROR(SEARCH("Call",X25)))</formula>
    </cfRule>
    <cfRule type="cellIs" dxfId="584" priority="403" operator="equal">
      <formula>0</formula>
    </cfRule>
    <cfRule type="containsText" dxfId="583" priority="404" operator="containsText" text="9ab">
      <formula>NOT(ISERROR(SEARCH("9ab",X25)))</formula>
    </cfRule>
    <cfRule type="cellIs" dxfId="582" priority="405" stopIfTrue="1" operator="equal">
      <formula>"leave"</formula>
    </cfRule>
    <cfRule type="containsText" dxfId="581" priority="406" operator="containsText" text="ds">
      <formula>NOT(ISERROR(SEARCH("ds",X25)))</formula>
    </cfRule>
    <cfRule type="containsText" dxfId="580" priority="407" operator="containsText" text="subobs">
      <formula>NOT(ISERROR(SEARCH("subobs",X25)))</formula>
    </cfRule>
    <cfRule type="containsText" dxfId="579" priority="408" operator="containsText" text="Call">
      <formula>NOT(ISERROR(SEARCH("Call",X25)))</formula>
    </cfRule>
  </conditionalFormatting>
  <conditionalFormatting sqref="X25">
    <cfRule type="containsText" dxfId="578" priority="410" operator="containsText" text="9ab">
      <formula>NOT(ISERROR(SEARCH("9ab",X25)))</formula>
    </cfRule>
    <cfRule type="cellIs" dxfId="577" priority="411" stopIfTrue="1" operator="equal">
      <formula>"leave"</formula>
    </cfRule>
    <cfRule type="containsText" dxfId="576" priority="412" operator="containsText" text="ds">
      <formula>NOT(ISERROR(SEARCH("ds",X25)))</formula>
    </cfRule>
    <cfRule type="containsText" dxfId="575" priority="413" operator="containsText" text="subobs">
      <formula>NOT(ISERROR(SEARCH("subobs",X25)))</formula>
    </cfRule>
    <cfRule type="containsText" dxfId="574" priority="414" operator="containsText" text="Call">
      <formula>NOT(ISERROR(SEARCH("Call",X25)))</formula>
    </cfRule>
  </conditionalFormatting>
  <conditionalFormatting sqref="AE25">
    <cfRule type="containsText" dxfId="573" priority="354" operator="containsText" text="9ab">
      <formula>NOT(ISERROR(SEARCH("9ab",AE25)))</formula>
    </cfRule>
    <cfRule type="cellIs" dxfId="572" priority="355" stopIfTrue="1" operator="equal">
      <formula>"leave"</formula>
    </cfRule>
    <cfRule type="containsText" dxfId="571" priority="356" operator="containsText" text="ds">
      <formula>NOT(ISERROR(SEARCH("ds",AE25)))</formula>
    </cfRule>
    <cfRule type="containsText" dxfId="570" priority="357" operator="containsText" text="subobs">
      <formula>NOT(ISERROR(SEARCH("subobs",AE25)))</formula>
    </cfRule>
    <cfRule type="containsText" dxfId="569" priority="358" operator="containsText" text="Call">
      <formula>NOT(ISERROR(SEARCH("Call",AE25)))</formula>
    </cfRule>
    <cfRule type="containsText" dxfId="568" priority="360" operator="containsText" text="9ab">
      <formula>NOT(ISERROR(SEARCH("9ab",AE25)))</formula>
    </cfRule>
    <cfRule type="cellIs" dxfId="567" priority="361" stopIfTrue="1" operator="equal">
      <formula>"leave"</formula>
    </cfRule>
    <cfRule type="containsText" dxfId="566" priority="362" operator="containsText" text="ds">
      <formula>NOT(ISERROR(SEARCH("ds",AE25)))</formula>
    </cfRule>
    <cfRule type="containsText" dxfId="565" priority="363" operator="containsText" text="subobs">
      <formula>NOT(ISERROR(SEARCH("subobs",AE25)))</formula>
    </cfRule>
    <cfRule type="containsText" dxfId="564" priority="364" stopIfTrue="1" operator="containsText" text="(Call)">
      <formula>NOT(ISERROR(SEARCH("(Call)",AE25)))</formula>
    </cfRule>
    <cfRule type="containsText" dxfId="563" priority="366" operator="containsText" text="9ab">
      <formula>NOT(ISERROR(SEARCH("9ab",AE25)))</formula>
    </cfRule>
    <cfRule type="cellIs" dxfId="562" priority="367" stopIfTrue="1" operator="equal">
      <formula>"leave"</formula>
    </cfRule>
    <cfRule type="containsText" dxfId="561" priority="368" operator="containsText" text="ds">
      <formula>NOT(ISERROR(SEARCH("ds",AE25)))</formula>
    </cfRule>
    <cfRule type="containsText" dxfId="560" priority="369" operator="containsText" text="subobs">
      <formula>NOT(ISERROR(SEARCH("subobs",AE25)))</formula>
    </cfRule>
    <cfRule type="containsText" dxfId="559" priority="370" operator="containsText" text="Call">
      <formula>NOT(ISERROR(SEARCH("Call",AE25)))</formula>
    </cfRule>
    <cfRule type="cellIs" dxfId="558" priority="372" operator="equal">
      <formula>0</formula>
    </cfRule>
    <cfRule type="containsText" dxfId="557" priority="373" operator="containsText" text="9ab">
      <formula>NOT(ISERROR(SEARCH("9ab",AE25)))</formula>
    </cfRule>
    <cfRule type="cellIs" dxfId="556" priority="374" stopIfTrue="1" operator="equal">
      <formula>"leave"</formula>
    </cfRule>
    <cfRule type="containsText" dxfId="555" priority="375" operator="containsText" text="ds">
      <formula>NOT(ISERROR(SEARCH("ds",AE25)))</formula>
    </cfRule>
    <cfRule type="containsText" dxfId="554" priority="376" operator="containsText" text="subobs">
      <formula>NOT(ISERROR(SEARCH("subobs",AE25)))</formula>
    </cfRule>
    <cfRule type="containsText" dxfId="553" priority="377" operator="containsText" text="Call">
      <formula>NOT(ISERROR(SEARCH("Call",AE25)))</formula>
    </cfRule>
  </conditionalFormatting>
  <conditionalFormatting sqref="AE25">
    <cfRule type="containsText" dxfId="552" priority="379" operator="containsText" text="9ab">
      <formula>NOT(ISERROR(SEARCH("9ab",AE25)))</formula>
    </cfRule>
    <cfRule type="cellIs" dxfId="551" priority="380" stopIfTrue="1" operator="equal">
      <formula>"leave"</formula>
    </cfRule>
    <cfRule type="containsText" dxfId="550" priority="381" operator="containsText" text="ds">
      <formula>NOT(ISERROR(SEARCH("ds",AE25)))</formula>
    </cfRule>
    <cfRule type="containsText" dxfId="549" priority="382" operator="containsText" text="subobs">
      <formula>NOT(ISERROR(SEARCH("subobs",AE25)))</formula>
    </cfRule>
    <cfRule type="containsText" dxfId="548" priority="383" operator="containsText" text="Call">
      <formula>NOT(ISERROR(SEARCH("Call",AE25)))</formula>
    </cfRule>
  </conditionalFormatting>
  <conditionalFormatting sqref="AL25">
    <cfRule type="containsText" dxfId="547" priority="323" operator="containsText" text="9ab">
      <formula>NOT(ISERROR(SEARCH("9ab",AL25)))</formula>
    </cfRule>
    <cfRule type="cellIs" dxfId="546" priority="324" stopIfTrue="1" operator="equal">
      <formula>"leave"</formula>
    </cfRule>
    <cfRule type="containsText" dxfId="545" priority="325" operator="containsText" text="ds">
      <formula>NOT(ISERROR(SEARCH("ds",AL25)))</formula>
    </cfRule>
    <cfRule type="containsText" dxfId="544" priority="326" operator="containsText" text="subobs">
      <formula>NOT(ISERROR(SEARCH("subobs",AL25)))</formula>
    </cfRule>
    <cfRule type="containsText" dxfId="543" priority="327" operator="containsText" text="Call">
      <formula>NOT(ISERROR(SEARCH("Call",AL25)))</formula>
    </cfRule>
    <cfRule type="containsText" dxfId="542" priority="329" operator="containsText" text="9ab">
      <formula>NOT(ISERROR(SEARCH("9ab",AL25)))</formula>
    </cfRule>
    <cfRule type="cellIs" dxfId="541" priority="330" stopIfTrue="1" operator="equal">
      <formula>"leave"</formula>
    </cfRule>
    <cfRule type="containsText" dxfId="540" priority="331" operator="containsText" text="ds">
      <formula>NOT(ISERROR(SEARCH("ds",AL25)))</formula>
    </cfRule>
    <cfRule type="containsText" dxfId="539" priority="332" operator="containsText" text="subobs">
      <formula>NOT(ISERROR(SEARCH("subobs",AL25)))</formula>
    </cfRule>
    <cfRule type="containsText" dxfId="538" priority="333" stopIfTrue="1" operator="containsText" text="(Call)">
      <formula>NOT(ISERROR(SEARCH("(Call)",AL25)))</formula>
    </cfRule>
    <cfRule type="containsText" dxfId="537" priority="335" operator="containsText" text="9ab">
      <formula>NOT(ISERROR(SEARCH("9ab",AL25)))</formula>
    </cfRule>
    <cfRule type="cellIs" dxfId="536" priority="336" stopIfTrue="1" operator="equal">
      <formula>"leave"</formula>
    </cfRule>
    <cfRule type="containsText" dxfId="535" priority="337" operator="containsText" text="ds">
      <formula>NOT(ISERROR(SEARCH("ds",AL25)))</formula>
    </cfRule>
    <cfRule type="containsText" dxfId="534" priority="338" operator="containsText" text="subobs">
      <formula>NOT(ISERROR(SEARCH("subobs",AL25)))</formula>
    </cfRule>
    <cfRule type="containsText" dxfId="533" priority="339" operator="containsText" text="Call">
      <formula>NOT(ISERROR(SEARCH("Call",AL25)))</formula>
    </cfRule>
    <cfRule type="cellIs" dxfId="532" priority="341" operator="equal">
      <formula>0</formula>
    </cfRule>
    <cfRule type="containsText" dxfId="531" priority="342" operator="containsText" text="9ab">
      <formula>NOT(ISERROR(SEARCH("9ab",AL25)))</formula>
    </cfRule>
    <cfRule type="cellIs" dxfId="530" priority="343" stopIfTrue="1" operator="equal">
      <formula>"leave"</formula>
    </cfRule>
    <cfRule type="containsText" dxfId="529" priority="344" operator="containsText" text="ds">
      <formula>NOT(ISERROR(SEARCH("ds",AL25)))</formula>
    </cfRule>
    <cfRule type="containsText" dxfId="528" priority="345" operator="containsText" text="subobs">
      <formula>NOT(ISERROR(SEARCH("subobs",AL25)))</formula>
    </cfRule>
    <cfRule type="containsText" dxfId="527" priority="346" operator="containsText" text="Call">
      <formula>NOT(ISERROR(SEARCH("Call",AL25)))</formula>
    </cfRule>
  </conditionalFormatting>
  <conditionalFormatting sqref="AL25">
    <cfRule type="containsText" dxfId="526" priority="348" operator="containsText" text="9ab">
      <formula>NOT(ISERROR(SEARCH("9ab",AL25)))</formula>
    </cfRule>
    <cfRule type="cellIs" dxfId="525" priority="349" stopIfTrue="1" operator="equal">
      <formula>"leave"</formula>
    </cfRule>
    <cfRule type="containsText" dxfId="524" priority="350" operator="containsText" text="ds">
      <formula>NOT(ISERROR(SEARCH("ds",AL25)))</formula>
    </cfRule>
    <cfRule type="containsText" dxfId="523" priority="351" operator="containsText" text="subobs">
      <formula>NOT(ISERROR(SEARCH("subobs",AL25)))</formula>
    </cfRule>
    <cfRule type="containsText" dxfId="522" priority="352" operator="containsText" text="Call">
      <formula>NOT(ISERROR(SEARCH("Call",AL25)))</formula>
    </cfRule>
  </conditionalFormatting>
  <conditionalFormatting sqref="AS25">
    <cfRule type="containsText" dxfId="521" priority="292" operator="containsText" text="9ab">
      <formula>NOT(ISERROR(SEARCH("9ab",AS25)))</formula>
    </cfRule>
    <cfRule type="cellIs" dxfId="520" priority="293" stopIfTrue="1" operator="equal">
      <formula>"leave"</formula>
    </cfRule>
    <cfRule type="containsText" dxfId="519" priority="294" operator="containsText" text="ds">
      <formula>NOT(ISERROR(SEARCH("ds",AS25)))</formula>
    </cfRule>
    <cfRule type="containsText" dxfId="518" priority="295" operator="containsText" text="subobs">
      <formula>NOT(ISERROR(SEARCH("subobs",AS25)))</formula>
    </cfRule>
    <cfRule type="containsText" dxfId="517" priority="296" operator="containsText" text="Call">
      <formula>NOT(ISERROR(SEARCH("Call",AS25)))</formula>
    </cfRule>
    <cfRule type="containsText" dxfId="516" priority="298" operator="containsText" text="9ab">
      <formula>NOT(ISERROR(SEARCH("9ab",AS25)))</formula>
    </cfRule>
    <cfRule type="cellIs" dxfId="515" priority="299" stopIfTrue="1" operator="equal">
      <formula>"leave"</formula>
    </cfRule>
    <cfRule type="containsText" dxfId="514" priority="300" operator="containsText" text="ds">
      <formula>NOT(ISERROR(SEARCH("ds",AS25)))</formula>
    </cfRule>
    <cfRule type="containsText" dxfId="513" priority="301" operator="containsText" text="subobs">
      <formula>NOT(ISERROR(SEARCH("subobs",AS25)))</formula>
    </cfRule>
    <cfRule type="containsText" dxfId="512" priority="302" stopIfTrue="1" operator="containsText" text="(Call)">
      <formula>NOT(ISERROR(SEARCH("(Call)",AS25)))</formula>
    </cfRule>
    <cfRule type="containsText" dxfId="511" priority="304" operator="containsText" text="9ab">
      <formula>NOT(ISERROR(SEARCH("9ab",AS25)))</formula>
    </cfRule>
    <cfRule type="cellIs" dxfId="510" priority="305" stopIfTrue="1" operator="equal">
      <formula>"leave"</formula>
    </cfRule>
    <cfRule type="containsText" dxfId="509" priority="306" operator="containsText" text="ds">
      <formula>NOT(ISERROR(SEARCH("ds",AS25)))</formula>
    </cfRule>
    <cfRule type="containsText" dxfId="508" priority="307" operator="containsText" text="subobs">
      <formula>NOT(ISERROR(SEARCH("subobs",AS25)))</formula>
    </cfRule>
    <cfRule type="containsText" dxfId="507" priority="308" operator="containsText" text="Call">
      <formula>NOT(ISERROR(SEARCH("Call",AS25)))</formula>
    </cfRule>
    <cfRule type="cellIs" dxfId="506" priority="310" operator="equal">
      <formula>0</formula>
    </cfRule>
    <cfRule type="containsText" dxfId="505" priority="311" operator="containsText" text="9ab">
      <formula>NOT(ISERROR(SEARCH("9ab",AS25)))</formula>
    </cfRule>
    <cfRule type="cellIs" dxfId="504" priority="312" stopIfTrue="1" operator="equal">
      <formula>"leave"</formula>
    </cfRule>
    <cfRule type="containsText" dxfId="503" priority="313" operator="containsText" text="ds">
      <formula>NOT(ISERROR(SEARCH("ds",AS25)))</formula>
    </cfRule>
    <cfRule type="containsText" dxfId="502" priority="314" operator="containsText" text="subobs">
      <formula>NOT(ISERROR(SEARCH("subobs",AS25)))</formula>
    </cfRule>
    <cfRule type="containsText" dxfId="501" priority="315" operator="containsText" text="Call">
      <formula>NOT(ISERROR(SEARCH("Call",AS25)))</formula>
    </cfRule>
  </conditionalFormatting>
  <conditionalFormatting sqref="AS25">
    <cfRule type="containsText" dxfId="500" priority="317" operator="containsText" text="9ab">
      <formula>NOT(ISERROR(SEARCH("9ab",AS25)))</formula>
    </cfRule>
    <cfRule type="cellIs" dxfId="499" priority="318" stopIfTrue="1" operator="equal">
      <formula>"leave"</formula>
    </cfRule>
    <cfRule type="containsText" dxfId="498" priority="319" operator="containsText" text="ds">
      <formula>NOT(ISERROR(SEARCH("ds",AS25)))</formula>
    </cfRule>
    <cfRule type="containsText" dxfId="497" priority="320" operator="containsText" text="subobs">
      <formula>NOT(ISERROR(SEARCH("subobs",AS25)))</formula>
    </cfRule>
    <cfRule type="containsText" dxfId="496" priority="321" operator="containsText" text="Call">
      <formula>NOT(ISERROR(SEARCH("Call",AS25)))</formula>
    </cfRule>
  </conditionalFormatting>
  <conditionalFormatting sqref="AZ25">
    <cfRule type="containsText" dxfId="495" priority="261" operator="containsText" text="9ab">
      <formula>NOT(ISERROR(SEARCH("9ab",AZ25)))</formula>
    </cfRule>
    <cfRule type="cellIs" dxfId="494" priority="262" stopIfTrue="1" operator="equal">
      <formula>"leave"</formula>
    </cfRule>
    <cfRule type="containsText" dxfId="493" priority="263" operator="containsText" text="ds">
      <formula>NOT(ISERROR(SEARCH("ds",AZ25)))</formula>
    </cfRule>
    <cfRule type="containsText" dxfId="492" priority="264" operator="containsText" text="subobs">
      <formula>NOT(ISERROR(SEARCH("subobs",AZ25)))</formula>
    </cfRule>
    <cfRule type="containsText" dxfId="491" priority="265" operator="containsText" text="Call">
      <formula>NOT(ISERROR(SEARCH("Call",AZ25)))</formula>
    </cfRule>
    <cfRule type="containsText" dxfId="490" priority="267" operator="containsText" text="9ab">
      <formula>NOT(ISERROR(SEARCH("9ab",AZ25)))</formula>
    </cfRule>
    <cfRule type="cellIs" dxfId="489" priority="268" stopIfTrue="1" operator="equal">
      <formula>"leave"</formula>
    </cfRule>
    <cfRule type="containsText" dxfId="488" priority="269" operator="containsText" text="ds">
      <formula>NOT(ISERROR(SEARCH("ds",AZ25)))</formula>
    </cfRule>
    <cfRule type="containsText" dxfId="487" priority="270" operator="containsText" text="subobs">
      <formula>NOT(ISERROR(SEARCH("subobs",AZ25)))</formula>
    </cfRule>
    <cfRule type="containsText" dxfId="486" priority="271" stopIfTrue="1" operator="containsText" text="(Call)">
      <formula>NOT(ISERROR(SEARCH("(Call)",AZ25)))</formula>
    </cfRule>
    <cfRule type="containsText" dxfId="485" priority="273" operator="containsText" text="9ab">
      <formula>NOT(ISERROR(SEARCH("9ab",AZ25)))</formula>
    </cfRule>
    <cfRule type="cellIs" dxfId="484" priority="274" stopIfTrue="1" operator="equal">
      <formula>"leave"</formula>
    </cfRule>
    <cfRule type="containsText" dxfId="483" priority="275" operator="containsText" text="ds">
      <formula>NOT(ISERROR(SEARCH("ds",AZ25)))</formula>
    </cfRule>
    <cfRule type="containsText" dxfId="482" priority="276" operator="containsText" text="subobs">
      <formula>NOT(ISERROR(SEARCH("subobs",AZ25)))</formula>
    </cfRule>
    <cfRule type="containsText" dxfId="481" priority="277" operator="containsText" text="Call">
      <formula>NOT(ISERROR(SEARCH("Call",AZ25)))</formula>
    </cfRule>
    <cfRule type="cellIs" dxfId="480" priority="279" operator="equal">
      <formula>0</formula>
    </cfRule>
    <cfRule type="containsText" dxfId="479" priority="280" operator="containsText" text="9ab">
      <formula>NOT(ISERROR(SEARCH("9ab",AZ25)))</formula>
    </cfRule>
    <cfRule type="cellIs" dxfId="478" priority="281" stopIfTrue="1" operator="equal">
      <formula>"leave"</formula>
    </cfRule>
    <cfRule type="containsText" dxfId="477" priority="282" operator="containsText" text="ds">
      <formula>NOT(ISERROR(SEARCH("ds",AZ25)))</formula>
    </cfRule>
    <cfRule type="containsText" dxfId="476" priority="283" operator="containsText" text="subobs">
      <formula>NOT(ISERROR(SEARCH("subobs",AZ25)))</formula>
    </cfRule>
    <cfRule type="containsText" dxfId="475" priority="284" operator="containsText" text="Call">
      <formula>NOT(ISERROR(SEARCH("Call",AZ25)))</formula>
    </cfRule>
  </conditionalFormatting>
  <conditionalFormatting sqref="AZ25">
    <cfRule type="containsText" dxfId="474" priority="286" operator="containsText" text="9ab">
      <formula>NOT(ISERROR(SEARCH("9ab",AZ25)))</formula>
    </cfRule>
    <cfRule type="cellIs" dxfId="473" priority="287" stopIfTrue="1" operator="equal">
      <formula>"leave"</formula>
    </cfRule>
    <cfRule type="containsText" dxfId="472" priority="288" operator="containsText" text="ds">
      <formula>NOT(ISERROR(SEARCH("ds",AZ25)))</formula>
    </cfRule>
    <cfRule type="containsText" dxfId="471" priority="289" operator="containsText" text="subobs">
      <formula>NOT(ISERROR(SEARCH("subobs",AZ25)))</formula>
    </cfRule>
    <cfRule type="containsText" dxfId="470" priority="290" operator="containsText" text="Call">
      <formula>NOT(ISERROR(SEARCH("Call",AZ25)))</formula>
    </cfRule>
  </conditionalFormatting>
  <conditionalFormatting sqref="BG25">
    <cfRule type="containsText" dxfId="469" priority="230" operator="containsText" text="9ab">
      <formula>NOT(ISERROR(SEARCH("9ab",BG25)))</formula>
    </cfRule>
    <cfRule type="cellIs" dxfId="468" priority="231" stopIfTrue="1" operator="equal">
      <formula>"leave"</formula>
    </cfRule>
    <cfRule type="containsText" dxfId="467" priority="232" operator="containsText" text="ds">
      <formula>NOT(ISERROR(SEARCH("ds",BG25)))</formula>
    </cfRule>
    <cfRule type="containsText" dxfId="466" priority="233" operator="containsText" text="subobs">
      <formula>NOT(ISERROR(SEARCH("subobs",BG25)))</formula>
    </cfRule>
    <cfRule type="containsText" dxfId="465" priority="234" operator="containsText" text="Call">
      <formula>NOT(ISERROR(SEARCH("Call",BG25)))</formula>
    </cfRule>
    <cfRule type="containsText" dxfId="464" priority="236" operator="containsText" text="9ab">
      <formula>NOT(ISERROR(SEARCH("9ab",BG25)))</formula>
    </cfRule>
    <cfRule type="cellIs" dxfId="463" priority="237" stopIfTrue="1" operator="equal">
      <formula>"leave"</formula>
    </cfRule>
    <cfRule type="containsText" dxfId="462" priority="238" operator="containsText" text="ds">
      <formula>NOT(ISERROR(SEARCH("ds",BG25)))</formula>
    </cfRule>
    <cfRule type="containsText" dxfId="461" priority="239" operator="containsText" text="subobs">
      <formula>NOT(ISERROR(SEARCH("subobs",BG25)))</formula>
    </cfRule>
    <cfRule type="containsText" dxfId="460" priority="240" stopIfTrue="1" operator="containsText" text="(Call)">
      <formula>NOT(ISERROR(SEARCH("(Call)",BG25)))</formula>
    </cfRule>
    <cfRule type="containsText" dxfId="459" priority="242" operator="containsText" text="9ab">
      <formula>NOT(ISERROR(SEARCH("9ab",BG25)))</formula>
    </cfRule>
    <cfRule type="cellIs" dxfId="458" priority="243" stopIfTrue="1" operator="equal">
      <formula>"leave"</formula>
    </cfRule>
    <cfRule type="containsText" dxfId="457" priority="244" operator="containsText" text="ds">
      <formula>NOT(ISERROR(SEARCH("ds",BG25)))</formula>
    </cfRule>
    <cfRule type="containsText" dxfId="456" priority="245" operator="containsText" text="subobs">
      <formula>NOT(ISERROR(SEARCH("subobs",BG25)))</formula>
    </cfRule>
    <cfRule type="containsText" dxfId="455" priority="246" operator="containsText" text="Call">
      <formula>NOT(ISERROR(SEARCH("Call",BG25)))</formula>
    </cfRule>
    <cfRule type="cellIs" dxfId="454" priority="248" operator="equal">
      <formula>0</formula>
    </cfRule>
    <cfRule type="containsText" dxfId="453" priority="249" operator="containsText" text="9ab">
      <formula>NOT(ISERROR(SEARCH("9ab",BG25)))</formula>
    </cfRule>
    <cfRule type="cellIs" dxfId="452" priority="250" stopIfTrue="1" operator="equal">
      <formula>"leave"</formula>
    </cfRule>
    <cfRule type="containsText" dxfId="451" priority="251" operator="containsText" text="ds">
      <formula>NOT(ISERROR(SEARCH("ds",BG25)))</formula>
    </cfRule>
    <cfRule type="containsText" dxfId="450" priority="252" operator="containsText" text="subobs">
      <formula>NOT(ISERROR(SEARCH("subobs",BG25)))</formula>
    </cfRule>
    <cfRule type="containsText" dxfId="449" priority="253" operator="containsText" text="Call">
      <formula>NOT(ISERROR(SEARCH("Call",BG25)))</formula>
    </cfRule>
  </conditionalFormatting>
  <conditionalFormatting sqref="BG25">
    <cfRule type="containsText" dxfId="448" priority="255" operator="containsText" text="9ab">
      <formula>NOT(ISERROR(SEARCH("9ab",BG25)))</formula>
    </cfRule>
    <cfRule type="cellIs" dxfId="447" priority="256" stopIfTrue="1" operator="equal">
      <formula>"leave"</formula>
    </cfRule>
    <cfRule type="containsText" dxfId="446" priority="257" operator="containsText" text="ds">
      <formula>NOT(ISERROR(SEARCH("ds",BG25)))</formula>
    </cfRule>
    <cfRule type="containsText" dxfId="445" priority="258" operator="containsText" text="subobs">
      <formula>NOT(ISERROR(SEARCH("subobs",BG25)))</formula>
    </cfRule>
    <cfRule type="containsText" dxfId="444" priority="259" operator="containsText" text="Call">
      <formula>NOT(ISERROR(SEARCH("Call",BG25)))</formula>
    </cfRule>
  </conditionalFormatting>
  <conditionalFormatting sqref="J25">
    <cfRule type="containsText" dxfId="443" priority="199" operator="containsText" text="9ab">
      <formula>NOT(ISERROR(SEARCH("9ab",J25)))</formula>
    </cfRule>
    <cfRule type="cellIs" dxfId="442" priority="200" stopIfTrue="1" operator="equal">
      <formula>"leave"</formula>
    </cfRule>
    <cfRule type="containsText" dxfId="441" priority="201" operator="containsText" text="ds">
      <formula>NOT(ISERROR(SEARCH("ds",J25)))</formula>
    </cfRule>
    <cfRule type="containsText" dxfId="440" priority="202" operator="containsText" text="subobs">
      <formula>NOT(ISERROR(SEARCH("subobs",J25)))</formula>
    </cfRule>
    <cfRule type="containsText" dxfId="439" priority="203" operator="containsText" text="Call">
      <formula>NOT(ISERROR(SEARCH("Call",J25)))</formula>
    </cfRule>
    <cfRule type="containsText" dxfId="438" priority="205" operator="containsText" text="9ab">
      <formula>NOT(ISERROR(SEARCH("9ab",J25)))</formula>
    </cfRule>
    <cfRule type="cellIs" dxfId="437" priority="206" stopIfTrue="1" operator="equal">
      <formula>"leave"</formula>
    </cfRule>
    <cfRule type="containsText" dxfId="436" priority="207" operator="containsText" text="ds">
      <formula>NOT(ISERROR(SEARCH("ds",J25)))</formula>
    </cfRule>
    <cfRule type="containsText" dxfId="435" priority="208" operator="containsText" text="subobs">
      <formula>NOT(ISERROR(SEARCH("subobs",J25)))</formula>
    </cfRule>
    <cfRule type="containsText" dxfId="434" priority="209" stopIfTrue="1" operator="containsText" text="(Call)">
      <formula>NOT(ISERROR(SEARCH("(Call)",J25)))</formula>
    </cfRule>
    <cfRule type="containsText" dxfId="433" priority="211" operator="containsText" text="9ab">
      <formula>NOT(ISERROR(SEARCH("9ab",J25)))</formula>
    </cfRule>
    <cfRule type="cellIs" dxfId="432" priority="212" stopIfTrue="1" operator="equal">
      <formula>"leave"</formula>
    </cfRule>
    <cfRule type="containsText" dxfId="431" priority="213" operator="containsText" text="ds">
      <formula>NOT(ISERROR(SEARCH("ds",J25)))</formula>
    </cfRule>
    <cfRule type="containsText" dxfId="430" priority="214" operator="containsText" text="subobs">
      <formula>NOT(ISERROR(SEARCH("subobs",J25)))</formula>
    </cfRule>
    <cfRule type="containsText" dxfId="429" priority="215" operator="containsText" text="Call">
      <formula>NOT(ISERROR(SEARCH("Call",J25)))</formula>
    </cfRule>
    <cfRule type="cellIs" dxfId="428" priority="217" operator="equal">
      <formula>0</formula>
    </cfRule>
    <cfRule type="containsText" dxfId="427" priority="218" operator="containsText" text="9ab">
      <formula>NOT(ISERROR(SEARCH("9ab",J25)))</formula>
    </cfRule>
    <cfRule type="cellIs" dxfId="426" priority="219" stopIfTrue="1" operator="equal">
      <formula>"leave"</formula>
    </cfRule>
    <cfRule type="containsText" dxfId="425" priority="220" operator="containsText" text="ds">
      <formula>NOT(ISERROR(SEARCH("ds",J25)))</formula>
    </cfRule>
    <cfRule type="containsText" dxfId="424" priority="221" operator="containsText" text="subobs">
      <formula>NOT(ISERROR(SEARCH("subobs",J25)))</formula>
    </cfRule>
    <cfRule type="containsText" dxfId="423" priority="222" operator="containsText" text="Call">
      <formula>NOT(ISERROR(SEARCH("Call",J25)))</formula>
    </cfRule>
  </conditionalFormatting>
  <conditionalFormatting sqref="J25">
    <cfRule type="containsText" dxfId="422" priority="224" operator="containsText" text="9ab">
      <formula>NOT(ISERROR(SEARCH("9ab",J25)))</formula>
    </cfRule>
    <cfRule type="cellIs" dxfId="421" priority="225" stopIfTrue="1" operator="equal">
      <formula>"leave"</formula>
    </cfRule>
    <cfRule type="containsText" dxfId="420" priority="226" operator="containsText" text="ds">
      <formula>NOT(ISERROR(SEARCH("ds",J25)))</formula>
    </cfRule>
    <cfRule type="containsText" dxfId="419" priority="227" operator="containsText" text="subobs">
      <formula>NOT(ISERROR(SEARCH("subobs",J25)))</formula>
    </cfRule>
    <cfRule type="containsText" dxfId="418" priority="228" operator="containsText" text="Call">
      <formula>NOT(ISERROR(SEARCH("Call",J25)))</formula>
    </cfRule>
  </conditionalFormatting>
  <conditionalFormatting sqref="Q25">
    <cfRule type="containsText" dxfId="417" priority="168" operator="containsText" text="9ab">
      <formula>NOT(ISERROR(SEARCH("9ab",Q25)))</formula>
    </cfRule>
    <cfRule type="cellIs" dxfId="416" priority="169" stopIfTrue="1" operator="equal">
      <formula>"leave"</formula>
    </cfRule>
    <cfRule type="containsText" dxfId="415" priority="170" operator="containsText" text="ds">
      <formula>NOT(ISERROR(SEARCH("ds",Q25)))</formula>
    </cfRule>
    <cfRule type="containsText" dxfId="414" priority="171" operator="containsText" text="subobs">
      <formula>NOT(ISERROR(SEARCH("subobs",Q25)))</formula>
    </cfRule>
    <cfRule type="containsText" dxfId="413" priority="172" operator="containsText" text="Call">
      <formula>NOT(ISERROR(SEARCH("Call",Q25)))</formula>
    </cfRule>
    <cfRule type="containsText" dxfId="412" priority="174" operator="containsText" text="9ab">
      <formula>NOT(ISERROR(SEARCH("9ab",Q25)))</formula>
    </cfRule>
    <cfRule type="cellIs" dxfId="411" priority="175" stopIfTrue="1" operator="equal">
      <formula>"leave"</formula>
    </cfRule>
    <cfRule type="containsText" dxfId="410" priority="176" operator="containsText" text="ds">
      <formula>NOT(ISERROR(SEARCH("ds",Q25)))</formula>
    </cfRule>
    <cfRule type="containsText" dxfId="409" priority="177" operator="containsText" text="subobs">
      <formula>NOT(ISERROR(SEARCH("subobs",Q25)))</formula>
    </cfRule>
    <cfRule type="containsText" dxfId="408" priority="178" stopIfTrue="1" operator="containsText" text="(Call)">
      <formula>NOT(ISERROR(SEARCH("(Call)",Q25)))</formula>
    </cfRule>
    <cfRule type="containsText" dxfId="407" priority="180" operator="containsText" text="9ab">
      <formula>NOT(ISERROR(SEARCH("9ab",Q25)))</formula>
    </cfRule>
    <cfRule type="cellIs" dxfId="406" priority="181" stopIfTrue="1" operator="equal">
      <formula>"leave"</formula>
    </cfRule>
    <cfRule type="containsText" dxfId="405" priority="182" operator="containsText" text="ds">
      <formula>NOT(ISERROR(SEARCH("ds",Q25)))</formula>
    </cfRule>
    <cfRule type="containsText" dxfId="404" priority="183" operator="containsText" text="subobs">
      <formula>NOT(ISERROR(SEARCH("subobs",Q25)))</formula>
    </cfRule>
    <cfRule type="containsText" dxfId="403" priority="184" operator="containsText" text="Call">
      <formula>NOT(ISERROR(SEARCH("Call",Q25)))</formula>
    </cfRule>
    <cfRule type="cellIs" dxfId="402" priority="186" operator="equal">
      <formula>0</formula>
    </cfRule>
    <cfRule type="containsText" dxfId="401" priority="187" operator="containsText" text="9ab">
      <formula>NOT(ISERROR(SEARCH("9ab",Q25)))</formula>
    </cfRule>
    <cfRule type="cellIs" dxfId="400" priority="188" stopIfTrue="1" operator="equal">
      <formula>"leave"</formula>
    </cfRule>
    <cfRule type="containsText" dxfId="399" priority="189" operator="containsText" text="ds">
      <formula>NOT(ISERROR(SEARCH("ds",Q25)))</formula>
    </cfRule>
    <cfRule type="containsText" dxfId="398" priority="190" operator="containsText" text="subobs">
      <formula>NOT(ISERROR(SEARCH("subobs",Q25)))</formula>
    </cfRule>
    <cfRule type="containsText" dxfId="397" priority="191" operator="containsText" text="Call">
      <formula>NOT(ISERROR(SEARCH("Call",Q25)))</formula>
    </cfRule>
  </conditionalFormatting>
  <conditionalFormatting sqref="Q25">
    <cfRule type="containsText" dxfId="396" priority="193" operator="containsText" text="9ab">
      <formula>NOT(ISERROR(SEARCH("9ab",Q25)))</formula>
    </cfRule>
    <cfRule type="cellIs" dxfId="395" priority="194" stopIfTrue="1" operator="equal">
      <formula>"leave"</formula>
    </cfRule>
    <cfRule type="containsText" dxfId="394" priority="195" operator="containsText" text="ds">
      <formula>NOT(ISERROR(SEARCH("ds",Q25)))</formula>
    </cfRule>
    <cfRule type="containsText" dxfId="393" priority="196" operator="containsText" text="subobs">
      <formula>NOT(ISERROR(SEARCH("subobs",Q25)))</formula>
    </cfRule>
    <cfRule type="containsText" dxfId="392" priority="197" operator="containsText" text="Call">
      <formula>NOT(ISERROR(SEARCH("Call",Q25)))</formula>
    </cfRule>
  </conditionalFormatting>
  <conditionalFormatting sqref="X25">
    <cfRule type="containsText" dxfId="391" priority="137" operator="containsText" text="9ab">
      <formula>NOT(ISERROR(SEARCH("9ab",X25)))</formula>
    </cfRule>
    <cfRule type="cellIs" dxfId="390" priority="138" stopIfTrue="1" operator="equal">
      <formula>"leave"</formula>
    </cfRule>
    <cfRule type="containsText" dxfId="389" priority="139" operator="containsText" text="ds">
      <formula>NOT(ISERROR(SEARCH("ds",X25)))</formula>
    </cfRule>
    <cfRule type="containsText" dxfId="388" priority="140" operator="containsText" text="subobs">
      <formula>NOT(ISERROR(SEARCH("subobs",X25)))</formula>
    </cfRule>
    <cfRule type="containsText" dxfId="387" priority="141" operator="containsText" text="Call">
      <formula>NOT(ISERROR(SEARCH("Call",X25)))</formula>
    </cfRule>
    <cfRule type="containsText" dxfId="386" priority="143" operator="containsText" text="9ab">
      <formula>NOT(ISERROR(SEARCH("9ab",X25)))</formula>
    </cfRule>
    <cfRule type="cellIs" dxfId="385" priority="144" stopIfTrue="1" operator="equal">
      <formula>"leave"</formula>
    </cfRule>
    <cfRule type="containsText" dxfId="384" priority="145" operator="containsText" text="ds">
      <formula>NOT(ISERROR(SEARCH("ds",X25)))</formula>
    </cfRule>
    <cfRule type="containsText" dxfId="383" priority="146" operator="containsText" text="subobs">
      <formula>NOT(ISERROR(SEARCH("subobs",X25)))</formula>
    </cfRule>
    <cfRule type="containsText" dxfId="382" priority="147" stopIfTrue="1" operator="containsText" text="(Call)">
      <formula>NOT(ISERROR(SEARCH("(Call)",X25)))</formula>
    </cfRule>
    <cfRule type="containsText" dxfId="381" priority="149" operator="containsText" text="9ab">
      <formula>NOT(ISERROR(SEARCH("9ab",X25)))</formula>
    </cfRule>
    <cfRule type="cellIs" dxfId="380" priority="150" stopIfTrue="1" operator="equal">
      <formula>"leave"</formula>
    </cfRule>
    <cfRule type="containsText" dxfId="379" priority="151" operator="containsText" text="ds">
      <formula>NOT(ISERROR(SEARCH("ds",X25)))</formula>
    </cfRule>
    <cfRule type="containsText" dxfId="378" priority="152" operator="containsText" text="subobs">
      <formula>NOT(ISERROR(SEARCH("subobs",X25)))</formula>
    </cfRule>
    <cfRule type="containsText" dxfId="377" priority="153" operator="containsText" text="Call">
      <formula>NOT(ISERROR(SEARCH("Call",X25)))</formula>
    </cfRule>
    <cfRule type="cellIs" dxfId="376" priority="155" operator="equal">
      <formula>0</formula>
    </cfRule>
    <cfRule type="containsText" dxfId="375" priority="156" operator="containsText" text="9ab">
      <formula>NOT(ISERROR(SEARCH("9ab",X25)))</formula>
    </cfRule>
    <cfRule type="cellIs" dxfId="374" priority="157" stopIfTrue="1" operator="equal">
      <formula>"leave"</formula>
    </cfRule>
    <cfRule type="containsText" dxfId="373" priority="158" operator="containsText" text="ds">
      <formula>NOT(ISERROR(SEARCH("ds",X25)))</formula>
    </cfRule>
    <cfRule type="containsText" dxfId="372" priority="159" operator="containsText" text="subobs">
      <formula>NOT(ISERROR(SEARCH("subobs",X25)))</formula>
    </cfRule>
    <cfRule type="containsText" dxfId="371" priority="160" operator="containsText" text="Call">
      <formula>NOT(ISERROR(SEARCH("Call",X25)))</formula>
    </cfRule>
  </conditionalFormatting>
  <conditionalFormatting sqref="X25">
    <cfRule type="containsText" dxfId="370" priority="162" operator="containsText" text="9ab">
      <formula>NOT(ISERROR(SEARCH("9ab",X25)))</formula>
    </cfRule>
    <cfRule type="cellIs" dxfId="369" priority="163" stopIfTrue="1" operator="equal">
      <formula>"leave"</formula>
    </cfRule>
    <cfRule type="containsText" dxfId="368" priority="164" operator="containsText" text="ds">
      <formula>NOT(ISERROR(SEARCH("ds",X25)))</formula>
    </cfRule>
    <cfRule type="containsText" dxfId="367" priority="165" operator="containsText" text="subobs">
      <formula>NOT(ISERROR(SEARCH("subobs",X25)))</formula>
    </cfRule>
    <cfRule type="containsText" dxfId="366" priority="166" operator="containsText" text="Call">
      <formula>NOT(ISERROR(SEARCH("Call",X25)))</formula>
    </cfRule>
  </conditionalFormatting>
  <conditionalFormatting sqref="AE25">
    <cfRule type="containsText" dxfId="365" priority="106" operator="containsText" text="9ab">
      <formula>NOT(ISERROR(SEARCH("9ab",AE25)))</formula>
    </cfRule>
    <cfRule type="cellIs" dxfId="364" priority="107" stopIfTrue="1" operator="equal">
      <formula>"leave"</formula>
    </cfRule>
    <cfRule type="containsText" dxfId="363" priority="108" operator="containsText" text="ds">
      <formula>NOT(ISERROR(SEARCH("ds",AE25)))</formula>
    </cfRule>
    <cfRule type="containsText" dxfId="362" priority="109" operator="containsText" text="subobs">
      <formula>NOT(ISERROR(SEARCH("subobs",AE25)))</formula>
    </cfRule>
    <cfRule type="containsText" dxfId="361" priority="110" operator="containsText" text="Call">
      <formula>NOT(ISERROR(SEARCH("Call",AE25)))</formula>
    </cfRule>
    <cfRule type="containsText" dxfId="360" priority="112" operator="containsText" text="9ab">
      <formula>NOT(ISERROR(SEARCH("9ab",AE25)))</formula>
    </cfRule>
    <cfRule type="cellIs" dxfId="359" priority="113" stopIfTrue="1" operator="equal">
      <formula>"leave"</formula>
    </cfRule>
    <cfRule type="containsText" dxfId="358" priority="114" operator="containsText" text="ds">
      <formula>NOT(ISERROR(SEARCH("ds",AE25)))</formula>
    </cfRule>
    <cfRule type="containsText" dxfId="357" priority="115" operator="containsText" text="subobs">
      <formula>NOT(ISERROR(SEARCH("subobs",AE25)))</formula>
    </cfRule>
    <cfRule type="containsText" dxfId="356" priority="116" stopIfTrue="1" operator="containsText" text="(Call)">
      <formula>NOT(ISERROR(SEARCH("(Call)",AE25)))</formula>
    </cfRule>
    <cfRule type="containsText" dxfId="355" priority="118" operator="containsText" text="9ab">
      <formula>NOT(ISERROR(SEARCH("9ab",AE25)))</formula>
    </cfRule>
    <cfRule type="cellIs" dxfId="354" priority="119" stopIfTrue="1" operator="equal">
      <formula>"leave"</formula>
    </cfRule>
    <cfRule type="containsText" dxfId="353" priority="120" operator="containsText" text="ds">
      <formula>NOT(ISERROR(SEARCH("ds",AE25)))</formula>
    </cfRule>
    <cfRule type="containsText" dxfId="352" priority="121" operator="containsText" text="subobs">
      <formula>NOT(ISERROR(SEARCH("subobs",AE25)))</formula>
    </cfRule>
    <cfRule type="containsText" dxfId="351" priority="122" operator="containsText" text="Call">
      <formula>NOT(ISERROR(SEARCH("Call",AE25)))</formula>
    </cfRule>
    <cfRule type="cellIs" dxfId="350" priority="124" operator="equal">
      <formula>0</formula>
    </cfRule>
    <cfRule type="containsText" dxfId="349" priority="125" operator="containsText" text="9ab">
      <formula>NOT(ISERROR(SEARCH("9ab",AE25)))</formula>
    </cfRule>
    <cfRule type="cellIs" dxfId="348" priority="126" stopIfTrue="1" operator="equal">
      <formula>"leave"</formula>
    </cfRule>
    <cfRule type="containsText" dxfId="347" priority="127" operator="containsText" text="ds">
      <formula>NOT(ISERROR(SEARCH("ds",AE25)))</formula>
    </cfRule>
    <cfRule type="containsText" dxfId="346" priority="128" operator="containsText" text="subobs">
      <formula>NOT(ISERROR(SEARCH("subobs",AE25)))</formula>
    </cfRule>
    <cfRule type="containsText" dxfId="345" priority="129" operator="containsText" text="Call">
      <formula>NOT(ISERROR(SEARCH("Call",AE25)))</formula>
    </cfRule>
  </conditionalFormatting>
  <conditionalFormatting sqref="AE25">
    <cfRule type="containsText" dxfId="344" priority="131" operator="containsText" text="9ab">
      <formula>NOT(ISERROR(SEARCH("9ab",AE25)))</formula>
    </cfRule>
    <cfRule type="cellIs" dxfId="343" priority="132" stopIfTrue="1" operator="equal">
      <formula>"leave"</formula>
    </cfRule>
    <cfRule type="containsText" dxfId="342" priority="133" operator="containsText" text="ds">
      <formula>NOT(ISERROR(SEARCH("ds",AE25)))</formula>
    </cfRule>
    <cfRule type="containsText" dxfId="341" priority="134" operator="containsText" text="subobs">
      <formula>NOT(ISERROR(SEARCH("subobs",AE25)))</formula>
    </cfRule>
    <cfRule type="containsText" dxfId="340" priority="135" operator="containsText" text="Call">
      <formula>NOT(ISERROR(SEARCH("Call",AE25)))</formula>
    </cfRule>
  </conditionalFormatting>
  <conditionalFormatting sqref="AL25">
    <cfRule type="containsText" dxfId="339" priority="75" operator="containsText" text="9ab">
      <formula>NOT(ISERROR(SEARCH("9ab",AL25)))</formula>
    </cfRule>
    <cfRule type="cellIs" dxfId="338" priority="76" stopIfTrue="1" operator="equal">
      <formula>"leave"</formula>
    </cfRule>
    <cfRule type="containsText" dxfId="337" priority="77" operator="containsText" text="ds">
      <formula>NOT(ISERROR(SEARCH("ds",AL25)))</formula>
    </cfRule>
    <cfRule type="containsText" dxfId="336" priority="78" operator="containsText" text="subobs">
      <formula>NOT(ISERROR(SEARCH("subobs",AL25)))</formula>
    </cfRule>
    <cfRule type="containsText" dxfId="335" priority="79" operator="containsText" text="Call">
      <formula>NOT(ISERROR(SEARCH("Call",AL25)))</formula>
    </cfRule>
    <cfRule type="containsText" dxfId="334" priority="81" operator="containsText" text="9ab">
      <formula>NOT(ISERROR(SEARCH("9ab",AL25)))</formula>
    </cfRule>
    <cfRule type="cellIs" dxfId="333" priority="82" stopIfTrue="1" operator="equal">
      <formula>"leave"</formula>
    </cfRule>
    <cfRule type="containsText" dxfId="332" priority="83" operator="containsText" text="ds">
      <formula>NOT(ISERROR(SEARCH("ds",AL25)))</formula>
    </cfRule>
    <cfRule type="containsText" dxfId="331" priority="84" operator="containsText" text="subobs">
      <formula>NOT(ISERROR(SEARCH("subobs",AL25)))</formula>
    </cfRule>
    <cfRule type="containsText" dxfId="330" priority="85" stopIfTrue="1" operator="containsText" text="(Call)">
      <formula>NOT(ISERROR(SEARCH("(Call)",AL25)))</formula>
    </cfRule>
    <cfRule type="containsText" dxfId="329" priority="87" operator="containsText" text="9ab">
      <formula>NOT(ISERROR(SEARCH("9ab",AL25)))</formula>
    </cfRule>
    <cfRule type="cellIs" dxfId="328" priority="88" stopIfTrue="1" operator="equal">
      <formula>"leave"</formula>
    </cfRule>
    <cfRule type="containsText" dxfId="327" priority="89" operator="containsText" text="ds">
      <formula>NOT(ISERROR(SEARCH("ds",AL25)))</formula>
    </cfRule>
    <cfRule type="containsText" dxfId="326" priority="90" operator="containsText" text="subobs">
      <formula>NOT(ISERROR(SEARCH("subobs",AL25)))</formula>
    </cfRule>
    <cfRule type="containsText" dxfId="325" priority="91" operator="containsText" text="Call">
      <formula>NOT(ISERROR(SEARCH("Call",AL25)))</formula>
    </cfRule>
    <cfRule type="cellIs" dxfId="324" priority="93" operator="equal">
      <formula>0</formula>
    </cfRule>
    <cfRule type="containsText" dxfId="323" priority="94" operator="containsText" text="9ab">
      <formula>NOT(ISERROR(SEARCH("9ab",AL25)))</formula>
    </cfRule>
    <cfRule type="cellIs" dxfId="322" priority="95" stopIfTrue="1" operator="equal">
      <formula>"leave"</formula>
    </cfRule>
    <cfRule type="containsText" dxfId="321" priority="96" operator="containsText" text="ds">
      <formula>NOT(ISERROR(SEARCH("ds",AL25)))</formula>
    </cfRule>
    <cfRule type="containsText" dxfId="320" priority="97" operator="containsText" text="subobs">
      <formula>NOT(ISERROR(SEARCH("subobs",AL25)))</formula>
    </cfRule>
    <cfRule type="containsText" dxfId="319" priority="98" operator="containsText" text="Call">
      <formula>NOT(ISERROR(SEARCH("Call",AL25)))</formula>
    </cfRule>
  </conditionalFormatting>
  <conditionalFormatting sqref="AL25">
    <cfRule type="containsText" dxfId="318" priority="100" operator="containsText" text="9ab">
      <formula>NOT(ISERROR(SEARCH("9ab",AL25)))</formula>
    </cfRule>
    <cfRule type="cellIs" dxfId="317" priority="101" stopIfTrue="1" operator="equal">
      <formula>"leave"</formula>
    </cfRule>
    <cfRule type="containsText" dxfId="316" priority="102" operator="containsText" text="ds">
      <formula>NOT(ISERROR(SEARCH("ds",AL25)))</formula>
    </cfRule>
    <cfRule type="containsText" dxfId="315" priority="103" operator="containsText" text="subobs">
      <formula>NOT(ISERROR(SEARCH("subobs",AL25)))</formula>
    </cfRule>
    <cfRule type="containsText" dxfId="314" priority="104" operator="containsText" text="Call">
      <formula>NOT(ISERROR(SEARCH("Call",AL25)))</formula>
    </cfRule>
  </conditionalFormatting>
  <conditionalFormatting sqref="AS25">
    <cfRule type="containsText" dxfId="313" priority="44" operator="containsText" text="9ab">
      <formula>NOT(ISERROR(SEARCH("9ab",AS25)))</formula>
    </cfRule>
    <cfRule type="cellIs" dxfId="312" priority="45" stopIfTrue="1" operator="equal">
      <formula>"leave"</formula>
    </cfRule>
    <cfRule type="containsText" dxfId="311" priority="46" operator="containsText" text="ds">
      <formula>NOT(ISERROR(SEARCH("ds",AS25)))</formula>
    </cfRule>
    <cfRule type="containsText" dxfId="310" priority="47" operator="containsText" text="subobs">
      <formula>NOT(ISERROR(SEARCH("subobs",AS25)))</formula>
    </cfRule>
    <cfRule type="containsText" dxfId="309" priority="48" operator="containsText" text="Call">
      <formula>NOT(ISERROR(SEARCH("Call",AS25)))</formula>
    </cfRule>
    <cfRule type="containsText" dxfId="308" priority="50" operator="containsText" text="9ab">
      <formula>NOT(ISERROR(SEARCH("9ab",AS25)))</formula>
    </cfRule>
    <cfRule type="cellIs" dxfId="307" priority="51" stopIfTrue="1" operator="equal">
      <formula>"leave"</formula>
    </cfRule>
    <cfRule type="containsText" dxfId="306" priority="52" operator="containsText" text="ds">
      <formula>NOT(ISERROR(SEARCH("ds",AS25)))</formula>
    </cfRule>
    <cfRule type="containsText" dxfId="305" priority="53" operator="containsText" text="subobs">
      <formula>NOT(ISERROR(SEARCH("subobs",AS25)))</formula>
    </cfRule>
    <cfRule type="containsText" dxfId="304" priority="54" stopIfTrue="1" operator="containsText" text="(Call)">
      <formula>NOT(ISERROR(SEARCH("(Call)",AS25)))</formula>
    </cfRule>
    <cfRule type="containsText" dxfId="303" priority="56" operator="containsText" text="9ab">
      <formula>NOT(ISERROR(SEARCH("9ab",AS25)))</formula>
    </cfRule>
    <cfRule type="cellIs" dxfId="302" priority="57" stopIfTrue="1" operator="equal">
      <formula>"leave"</formula>
    </cfRule>
    <cfRule type="containsText" dxfId="301" priority="58" operator="containsText" text="ds">
      <formula>NOT(ISERROR(SEARCH("ds",AS25)))</formula>
    </cfRule>
    <cfRule type="containsText" dxfId="300" priority="59" operator="containsText" text="subobs">
      <formula>NOT(ISERROR(SEARCH("subobs",AS25)))</formula>
    </cfRule>
    <cfRule type="containsText" dxfId="299" priority="60" operator="containsText" text="Call">
      <formula>NOT(ISERROR(SEARCH("Call",AS25)))</formula>
    </cfRule>
    <cfRule type="cellIs" dxfId="298" priority="62" operator="equal">
      <formula>0</formula>
    </cfRule>
    <cfRule type="containsText" dxfId="297" priority="63" operator="containsText" text="9ab">
      <formula>NOT(ISERROR(SEARCH("9ab",AS25)))</formula>
    </cfRule>
    <cfRule type="cellIs" dxfId="296" priority="64" stopIfTrue="1" operator="equal">
      <formula>"leave"</formula>
    </cfRule>
    <cfRule type="containsText" dxfId="295" priority="65" operator="containsText" text="ds">
      <formula>NOT(ISERROR(SEARCH("ds",AS25)))</formula>
    </cfRule>
    <cfRule type="containsText" dxfId="294" priority="66" operator="containsText" text="subobs">
      <formula>NOT(ISERROR(SEARCH("subobs",AS25)))</formula>
    </cfRule>
    <cfRule type="containsText" dxfId="293" priority="67" operator="containsText" text="Call">
      <formula>NOT(ISERROR(SEARCH("Call",AS25)))</formula>
    </cfRule>
  </conditionalFormatting>
  <conditionalFormatting sqref="AS25">
    <cfRule type="containsText" dxfId="292" priority="69" operator="containsText" text="9ab">
      <formula>NOT(ISERROR(SEARCH("9ab",AS25)))</formula>
    </cfRule>
    <cfRule type="cellIs" dxfId="291" priority="70" stopIfTrue="1" operator="equal">
      <formula>"leave"</formula>
    </cfRule>
    <cfRule type="containsText" dxfId="290" priority="71" operator="containsText" text="ds">
      <formula>NOT(ISERROR(SEARCH("ds",AS25)))</formula>
    </cfRule>
    <cfRule type="containsText" dxfId="289" priority="72" operator="containsText" text="subobs">
      <formula>NOT(ISERROR(SEARCH("subobs",AS25)))</formula>
    </cfRule>
    <cfRule type="containsText" dxfId="288" priority="73" operator="containsText" text="Call">
      <formula>NOT(ISERROR(SEARCH("Call",AS25)))</formula>
    </cfRule>
  </conditionalFormatting>
  <conditionalFormatting sqref="AZ25">
    <cfRule type="containsText" dxfId="287" priority="13" operator="containsText" text="9ab">
      <formula>NOT(ISERROR(SEARCH("9ab",AZ25)))</formula>
    </cfRule>
    <cfRule type="cellIs" dxfId="286" priority="14" stopIfTrue="1" operator="equal">
      <formula>"leave"</formula>
    </cfRule>
    <cfRule type="containsText" dxfId="285" priority="15" operator="containsText" text="ds">
      <formula>NOT(ISERROR(SEARCH("ds",AZ25)))</formula>
    </cfRule>
    <cfRule type="containsText" dxfId="284" priority="16" operator="containsText" text="subobs">
      <formula>NOT(ISERROR(SEARCH("subobs",AZ25)))</formula>
    </cfRule>
    <cfRule type="containsText" dxfId="283" priority="17" operator="containsText" text="Call">
      <formula>NOT(ISERROR(SEARCH("Call",AZ25)))</formula>
    </cfRule>
    <cfRule type="containsText" dxfId="282" priority="19" operator="containsText" text="9ab">
      <formula>NOT(ISERROR(SEARCH("9ab",AZ25)))</formula>
    </cfRule>
    <cfRule type="cellIs" dxfId="281" priority="20" stopIfTrue="1" operator="equal">
      <formula>"leave"</formula>
    </cfRule>
    <cfRule type="containsText" dxfId="280" priority="21" operator="containsText" text="ds">
      <formula>NOT(ISERROR(SEARCH("ds",AZ25)))</formula>
    </cfRule>
    <cfRule type="containsText" dxfId="279" priority="22" operator="containsText" text="subobs">
      <formula>NOT(ISERROR(SEARCH("subobs",AZ25)))</formula>
    </cfRule>
    <cfRule type="containsText" dxfId="278" priority="23" stopIfTrue="1" operator="containsText" text="(Call)">
      <formula>NOT(ISERROR(SEARCH("(Call)",AZ25)))</formula>
    </cfRule>
    <cfRule type="containsText" dxfId="277" priority="25" operator="containsText" text="9ab">
      <formula>NOT(ISERROR(SEARCH("9ab",AZ25)))</formula>
    </cfRule>
    <cfRule type="cellIs" dxfId="276" priority="26" stopIfTrue="1" operator="equal">
      <formula>"leave"</formula>
    </cfRule>
    <cfRule type="containsText" dxfId="275" priority="27" operator="containsText" text="ds">
      <formula>NOT(ISERROR(SEARCH("ds",AZ25)))</formula>
    </cfRule>
    <cfRule type="containsText" dxfId="274" priority="28" operator="containsText" text="subobs">
      <formula>NOT(ISERROR(SEARCH("subobs",AZ25)))</formula>
    </cfRule>
    <cfRule type="containsText" dxfId="273" priority="29" operator="containsText" text="Call">
      <formula>NOT(ISERROR(SEARCH("Call",AZ25)))</formula>
    </cfRule>
    <cfRule type="cellIs" dxfId="272" priority="31" operator="equal">
      <formula>0</formula>
    </cfRule>
    <cfRule type="containsText" dxfId="271" priority="32" operator="containsText" text="9ab">
      <formula>NOT(ISERROR(SEARCH("9ab",AZ25)))</formula>
    </cfRule>
    <cfRule type="cellIs" dxfId="270" priority="33" stopIfTrue="1" operator="equal">
      <formula>"leave"</formula>
    </cfRule>
    <cfRule type="containsText" dxfId="269" priority="34" operator="containsText" text="ds">
      <formula>NOT(ISERROR(SEARCH("ds",AZ25)))</formula>
    </cfRule>
    <cfRule type="containsText" dxfId="268" priority="35" operator="containsText" text="subobs">
      <formula>NOT(ISERROR(SEARCH("subobs",AZ25)))</formula>
    </cfRule>
    <cfRule type="containsText" dxfId="267" priority="36" operator="containsText" text="Call">
      <formula>NOT(ISERROR(SEARCH("Call",AZ25)))</formula>
    </cfRule>
  </conditionalFormatting>
  <conditionalFormatting sqref="AZ25">
    <cfRule type="containsText" dxfId="266" priority="38" operator="containsText" text="9ab">
      <formula>NOT(ISERROR(SEARCH("9ab",AZ25)))</formula>
    </cfRule>
    <cfRule type="cellIs" dxfId="265" priority="39" stopIfTrue="1" operator="equal">
      <formula>"leave"</formula>
    </cfRule>
    <cfRule type="containsText" dxfId="264" priority="40" operator="containsText" text="ds">
      <formula>NOT(ISERROR(SEARCH("ds",AZ25)))</formula>
    </cfRule>
    <cfRule type="containsText" dxfId="263" priority="41" operator="containsText" text="subobs">
      <formula>NOT(ISERROR(SEARCH("subobs",AZ25)))</formula>
    </cfRule>
    <cfRule type="containsText" dxfId="262" priority="42" operator="containsText" text="Call">
      <formula>NOT(ISERROR(SEARCH("Call",AZ25)))</formula>
    </cfRule>
  </conditionalFormatting>
  <conditionalFormatting sqref="BH25">
    <cfRule type="cellIs" dxfId="261" priority="12" operator="equal">
      <formula>0</formula>
    </cfRule>
  </conditionalFormatting>
  <conditionalFormatting sqref="BH25">
    <cfRule type="cellIs" dxfId="260" priority="11" operator="equal">
      <formula>0</formula>
    </cfRule>
  </conditionalFormatting>
  <conditionalFormatting sqref="A26">
    <cfRule type="containsText" dxfId="259" priority="2" operator="containsText" text="(Call)">
      <formula>NOT(ISERROR(SEARCH("(Call)",A26)))</formula>
    </cfRule>
    <cfRule type="cellIs" dxfId="258" priority="4" operator="equal">
      <formula>0</formula>
    </cfRule>
    <cfRule type="containsText" dxfId="257" priority="7" stopIfTrue="1" operator="containsText" text="9ab">
      <formula>NOT(ISERROR(SEARCH("9ab",A26)))</formula>
    </cfRule>
    <cfRule type="containsText" dxfId="256" priority="9" stopIfTrue="1" operator="containsText" text="ds">
      <formula>NOT(ISERROR(SEARCH("ds",A26)))</formula>
    </cfRule>
    <cfRule type="containsText" dxfId="255" priority="10" stopIfTrue="1" operator="containsText" text="subobs">
      <formula>NOT(ISERROR(SEARCH("subobs",A26)))</formula>
    </cfRule>
  </conditionalFormatting>
  <conditionalFormatting sqref="A26">
    <cfRule type="cellIs" dxfId="254" priority="8" stopIfTrue="1" operator="equal">
      <formula>"leave"</formula>
    </cfRule>
  </conditionalFormatting>
  <conditionalFormatting sqref="A26">
    <cfRule type="containsText" dxfId="253" priority="5" stopIfTrue="1" operator="containsText" text="go">
      <formula>NOT(ISERROR(SEARCH("go",A26)))</formula>
    </cfRule>
    <cfRule type="cellIs" dxfId="252" priority="6" operator="equal">
      <formula>"ps_cover"</formula>
    </cfRule>
  </conditionalFormatting>
  <conditionalFormatting sqref="A26">
    <cfRule type="containsText" dxfId="251" priority="3" operator="containsText" text="b1">
      <formula>NOT(ISERROR(SEARCH("b1",A26)))</formula>
    </cfRule>
  </conditionalFormatting>
  <conditionalFormatting sqref="BH26">
    <cfRule type="cellIs" dxfId="250" priority="1" operator="equal">
      <formula>0</formula>
    </cfRule>
  </conditionalFormatting>
  <pageMargins left="0.75" right="0.75" top="1" bottom="1" header="0.5" footer="0.5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lushInputsToModel">
                <anchor moveWithCells="1" sizeWithCells="1">
                  <from>
                    <xdr:col>2</xdr:col>
                    <xdr:colOff>228600</xdr:colOff>
                    <xdr:row>14</xdr:row>
                    <xdr:rowOff>63500</xdr:rowOff>
                  </from>
                  <to>
                    <xdr:col>4</xdr:col>
                    <xdr:colOff>393700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adOutputFromModel">
                <anchor moveWithCells="1" sizeWithCells="1">
                  <from>
                    <xdr:col>4</xdr:col>
                    <xdr:colOff>596900</xdr:colOff>
                    <xdr:row>14</xdr:row>
                    <xdr:rowOff>50800</xdr:rowOff>
                  </from>
                  <to>
                    <xdr:col>7</xdr:col>
                    <xdr:colOff>101600</xdr:colOff>
                    <xdr:row>16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364" operator="containsText" id="{61957C04-71F7-094E-9665-2861E1C450F2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70" operator="containsText" id="{2E6A716C-4374-D446-ADDC-722623748603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76" operator="containsText" id="{5A330C87-5F47-1C4E-A19C-57E4EDCA3D3C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83" operator="containsText" id="{621C500F-866D-2F4C-9F97-58CD1631DEF6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A19:A25</xm:sqref>
        </x14:conditionalFormatting>
        <x14:conditionalFormatting xmlns:xm="http://schemas.microsoft.com/office/excel/2006/main">
          <x14:cfRule type="containsText" priority="1934" operator="containsText" id="{0775F9B2-A437-B245-97E3-2156654ACCB3}">
            <xm:f>NOT(ISERROR(SEARCH("-",A19)))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A19:A25</xm:sqref>
        </x14:conditionalFormatting>
        <x14:conditionalFormatting xmlns:xm="http://schemas.microsoft.com/office/excel/2006/main">
          <x14:cfRule type="containsText" priority="1640" operator="containsText" id="{D55BFFED-A6EA-5B44-88A0-5689A5D2AFD9}">
            <xm:f>NOT(ISERROR(SEARCH("-",C28)))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58" operator="containsText" id="{5A0D6C7B-EFF0-A444-9612-456A15814DA6}">
            <xm:f>NOT(ISERROR(SEARCH("-",C28)))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C28:C33</xm:sqref>
        </x14:conditionalFormatting>
        <x14:conditionalFormatting xmlns:xm="http://schemas.microsoft.com/office/excel/2006/main">
          <x14:cfRule type="containsText" priority="1646" operator="containsText" id="{C83D5EC7-92CD-F642-9DA9-133392F2F1E7}">
            <xm:f>NOT(ISERROR(SEARCH("-",C28)))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C28:C35</xm:sqref>
        </x14:conditionalFormatting>
        <x14:conditionalFormatting xmlns:xm="http://schemas.microsoft.com/office/excel/2006/main">
          <x14:cfRule type="containsText" priority="1247" operator="containsText" id="{D48CC43E-D99A-7240-BFC5-DA9641ECD0ED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53" operator="containsText" id="{EE412BF6-A7BB-374C-8DD2-DC08DB659348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59" operator="containsText" id="{1A806C54-9A5F-4648-89E1-02470D55BB8A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65" operator="containsText" id="{1C4871BF-ABCA-0146-B1A0-F703EA66FF00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71" operator="containsText" id="{DF195CDE-66D7-EC43-A328-E8487B451BE6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79" operator="containsText" id="{2615D3C3-4C78-4141-AC7A-D54CA2DE9838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86" operator="containsText" id="{0F73BC4E-07AE-CB4F-B896-93ADDFA101EE}">
            <xm:f>NOT(ISERROR(SEARCH("-",C37)))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C37:C42</xm:sqref>
        </x14:conditionalFormatting>
        <x14:conditionalFormatting xmlns:xm="http://schemas.microsoft.com/office/excel/2006/main">
          <x14:cfRule type="containsText" priority="1882" operator="containsText" id="{915D4C87-272A-3045-B1E0-B1A79E344015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08" operator="containsText" id="{F5C39F70-415F-6E4B-9C64-288DC5357AC4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J19:J25</xm:sqref>
        </x14:conditionalFormatting>
        <x14:conditionalFormatting xmlns:xm="http://schemas.microsoft.com/office/excel/2006/main">
          <x14:cfRule type="containsText" priority="1888" operator="containsText" id="{FA8BF08D-3798-5B44-BDB3-4F70092A182A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52" operator="containsText" id="{55FB8553-7950-FC4E-A007-E11CD5F118F8}">
            <xm:f>NOT(ISERROR(SEARCH("-",J19)))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J19:J26</xm:sqref>
        </x14:conditionalFormatting>
        <x14:conditionalFormatting xmlns:xm="http://schemas.microsoft.com/office/excel/2006/main">
          <x14:cfRule type="containsText" priority="1628" operator="containsText" id="{A165993B-95EF-6D48-959B-B5C4717D63AA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52" operator="containsText" id="{264DFDBB-1E81-1A47-9324-E54BB6B939B4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J28:J33</xm:sqref>
        </x14:conditionalFormatting>
        <x14:conditionalFormatting xmlns:xm="http://schemas.microsoft.com/office/excel/2006/main">
          <x14:cfRule type="containsText" priority="1634" operator="containsText" id="{283F1970-A9EE-5D41-87FB-22B930C00A1B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95" operator="containsText" id="{BDAD443B-4F34-6B42-A864-CEF1E819F38E}">
            <xm:f>NOT(ISERROR(SEARCH("-",J28)))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J28:J35</xm:sqref>
        </x14:conditionalFormatting>
        <x14:conditionalFormatting xmlns:xm="http://schemas.microsoft.com/office/excel/2006/main">
          <x14:cfRule type="containsText" priority="1181" operator="containsText" id="{E4802193-BB84-2D44-8BF1-96841C4A4F33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87" operator="containsText" id="{F20D2922-F6CC-984C-BCEC-621D25A94132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93" operator="containsText" id="{6442EA0A-4A59-604F-83DF-EB3EA1682658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99" operator="containsText" id="{7DCB52CE-9585-0644-AFA5-5475E2116FCF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05" operator="containsText" id="{AD95657B-A108-1C43-AFB1-94A6A29D1829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13" operator="containsText" id="{AF11E378-3620-C14E-BB36-12C77A05F7D0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20" operator="containsText" id="{D432C26C-DE79-764A-B468-02DE503BAA2B}">
            <xm:f>NOT(ISERROR(SEARCH("-",J37)))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J37:J42</xm:sqref>
        </x14:conditionalFormatting>
        <x14:conditionalFormatting xmlns:xm="http://schemas.microsoft.com/office/excel/2006/main">
          <x14:cfRule type="containsText" priority="1858" operator="containsText" id="{A2F405D8-EAB9-DD4D-95DD-443F5BB2A106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70" operator="containsText" id="{4342D060-2436-AC47-94D1-67B791D646E5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Q19:Q25</xm:sqref>
        </x14:conditionalFormatting>
        <x14:conditionalFormatting xmlns:xm="http://schemas.microsoft.com/office/excel/2006/main">
          <x14:cfRule type="containsText" priority="1864" operator="containsText" id="{DCA2B006-9805-9742-8CD6-E3A2BEE43EE7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76" operator="containsText" id="{6AB2E20E-D400-9143-AC89-5B9F154BC0C9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46" operator="containsText" id="{D2AE39F8-32A4-784E-B0E0-B09912A7A2C9}">
            <xm:f>NOT(ISERROR(SEARCH("-",Q19)))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Q19:Q26</xm:sqref>
        </x14:conditionalFormatting>
        <x14:conditionalFormatting xmlns:xm="http://schemas.microsoft.com/office/excel/2006/main">
          <x14:cfRule type="containsText" priority="1604" operator="containsText" id="{E150C27B-1FEB-3E47-B599-FED1703BB4D2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16" operator="containsText" id="{D615B9E8-B6AE-EF41-9D0D-6EC121BE1CD0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Q28:Q33</xm:sqref>
        </x14:conditionalFormatting>
        <x14:conditionalFormatting xmlns:xm="http://schemas.microsoft.com/office/excel/2006/main">
          <x14:cfRule type="containsText" priority="1610" operator="containsText" id="{88CE2624-AEB4-6C43-A266-FFBE9B81FE1C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22" operator="containsText" id="{3890ADFA-A0E4-2A49-9D85-A3131724AA0B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89" operator="containsText" id="{B0CF1C5C-83D6-A845-8AB6-FE7AFA154314}">
            <xm:f>NOT(ISERROR(SEARCH("-",Q28)))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Q28:Q35</xm:sqref>
        </x14:conditionalFormatting>
        <x14:conditionalFormatting xmlns:xm="http://schemas.microsoft.com/office/excel/2006/main">
          <x14:cfRule type="containsText" priority="1115" operator="containsText" id="{B26B4FA1-73C2-2449-95C3-7E0F3ADF074A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21" operator="containsText" id="{FA3C4F53-087A-8F44-92E8-AED125E3B6AB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27" operator="containsText" id="{52E1D5B5-903C-7240-B92D-6EAFD6A2C3B8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33" operator="containsText" id="{9EBFFA61-2A07-9F49-AD82-55823F73988E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39" operator="containsText" id="{E903A386-4C64-8C48-9908-591EE29882C8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47" operator="containsText" id="{59353037-1765-EC4B-AE44-FB22BD9A1BB2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54" operator="containsText" id="{8DC0A8F4-B4BF-4742-8ADA-13CF36423487}">
            <xm:f>NOT(ISERROR(SEARCH("-",Q37)))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Q37:Q42</xm:sqref>
        </x14:conditionalFormatting>
        <x14:conditionalFormatting xmlns:xm="http://schemas.microsoft.com/office/excel/2006/main">
          <x14:cfRule type="containsText" priority="1834" operator="containsText" id="{9D02D169-B382-2F42-8845-2BA8250BA25D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46" operator="containsText" id="{9138764B-475C-B948-85A5-E4D37ADC6AFC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X19:X25</xm:sqref>
        </x14:conditionalFormatting>
        <x14:conditionalFormatting xmlns:xm="http://schemas.microsoft.com/office/excel/2006/main">
          <x14:cfRule type="containsText" priority="1840" operator="containsText" id="{50B11688-837D-834B-8A2C-D8E917126B46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52" operator="containsText" id="{16781534-4BAA-B244-8F13-6CE5318CD26A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40" operator="containsText" id="{82B46465-28DD-304D-A3D0-CB20CAAA5229}">
            <xm:f>NOT(ISERROR(SEARCH("-",X19)))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X19:X26</xm:sqref>
        </x14:conditionalFormatting>
        <x14:conditionalFormatting xmlns:xm="http://schemas.microsoft.com/office/excel/2006/main">
          <x14:cfRule type="containsText" priority="1580" operator="containsText" id="{CE3E711F-6841-D546-B513-7FDC2F86BD5A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92" operator="containsText" id="{233F4898-5CD8-FB4E-9D6D-76568E294E50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X28:X33</xm:sqref>
        </x14:conditionalFormatting>
        <x14:conditionalFormatting xmlns:xm="http://schemas.microsoft.com/office/excel/2006/main">
          <x14:cfRule type="containsText" priority="1586" operator="containsText" id="{09B2F151-412B-6C4D-8F10-7FB079CD9C06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98" operator="containsText" id="{980C8734-5557-E245-9D98-5E4ED71FD5C9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83" operator="containsText" id="{C8ACC9EE-1DA3-1E41-9986-34D87DAF0466}">
            <xm:f>NOT(ISERROR(SEARCH("-",X28)))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X28:X35</xm:sqref>
        </x14:conditionalFormatting>
        <x14:conditionalFormatting xmlns:xm="http://schemas.microsoft.com/office/excel/2006/main">
          <x14:cfRule type="containsText" priority="1049" operator="containsText" id="{1351CFE2-8E4D-5648-9287-5A75AE22C276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55" operator="containsText" id="{02D492E4-DC51-E04B-ACB0-56B6308D4610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61" operator="containsText" id="{D7424679-B26A-A74F-9DEF-B4C39F7FD654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67" operator="containsText" id="{CC3B0D6D-57F6-334D-897A-2FAD23C6F9CB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73" operator="containsText" id="{91FBCBFC-9599-C54C-BDCF-B307229BE72B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81" operator="containsText" id="{0920051C-F3FC-E842-9935-D367D2D996BC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88" operator="containsText" id="{FF755D50-0BDA-7641-8345-5F14A193E77A}">
            <xm:f>NOT(ISERROR(SEARCH("-",X37)))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X37:X42</xm:sqref>
        </x14:conditionalFormatting>
        <x14:conditionalFormatting xmlns:xm="http://schemas.microsoft.com/office/excel/2006/main">
          <x14:cfRule type="containsText" priority="1809" operator="containsText" id="{64469900-0F9C-AD47-B36B-3A0841E0B538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21" operator="containsText" id="{EEC37EA6-9A9B-C547-99CB-98A3750AF729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AE19:AE25</xm:sqref>
        </x14:conditionalFormatting>
        <x14:conditionalFormatting xmlns:xm="http://schemas.microsoft.com/office/excel/2006/main">
          <x14:cfRule type="containsText" priority="1815" operator="containsText" id="{62478129-E638-7049-B6FA-F52625D5DD1F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28" operator="containsText" id="{EC55F808-6D64-194D-906A-262AF539476E}">
            <xm:f>NOT(ISERROR(SEARCH("-",AE19)))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AE19:AE26</xm:sqref>
        </x14:conditionalFormatting>
        <x14:conditionalFormatting xmlns:xm="http://schemas.microsoft.com/office/excel/2006/main">
          <x14:cfRule type="containsText" priority="1555" operator="containsText" id="{C3AD1F7F-B062-8149-8649-84F41913173B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67" operator="containsText" id="{C52A404D-F252-5645-ADF4-2314AEFFDD64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AE28:AE33</xm:sqref>
        </x14:conditionalFormatting>
        <x14:conditionalFormatting xmlns:xm="http://schemas.microsoft.com/office/excel/2006/main">
          <x14:cfRule type="containsText" priority="1561" operator="containsText" id="{5F2F5D06-BBA2-B249-AC0D-DC5084D3896F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74" operator="containsText" id="{C9AC5143-B66D-D240-A80B-5AFB3230E218}">
            <xm:f>NOT(ISERROR(SEARCH("-",AE28)))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AE28:AE35</xm:sqref>
        </x14:conditionalFormatting>
        <x14:conditionalFormatting xmlns:xm="http://schemas.microsoft.com/office/excel/2006/main">
          <x14:cfRule type="containsText" priority="983" operator="containsText" id="{ECE15F49-7F19-A548-992D-4A4C7A204200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89" operator="containsText" id="{F2FD0A83-C140-B745-9C0F-90D7441E1394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95" operator="containsText" id="{1B9076B6-DB8B-0D45-A44D-79B701F52828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01" operator="containsText" id="{DCB61030-6E73-8143-997E-C35323726CBE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07" operator="containsText" id="{108A9C4D-BB41-9D4D-BF74-07362A7582D4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15" operator="containsText" id="{F1DC9278-2A7D-6043-93DB-B060F609B8F0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022" operator="containsText" id="{E999DBA1-AA14-B546-8609-5FEDC4EB7EE7}">
            <xm:f>NOT(ISERROR(SEARCH("-",AE37)))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AE37:AE42</xm:sqref>
        </x14:conditionalFormatting>
        <x14:conditionalFormatting xmlns:xm="http://schemas.microsoft.com/office/excel/2006/main">
          <x14:cfRule type="containsText" priority="1784" operator="containsText" id="{B8B3DB7D-B9F9-9D43-AEF8-E0A57F817296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96" operator="containsText" id="{74FE21C0-ED03-AC4F-ABAE-9200BCAB92BF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AL19:AL25</xm:sqref>
        </x14:conditionalFormatting>
        <x14:conditionalFormatting xmlns:xm="http://schemas.microsoft.com/office/excel/2006/main">
          <x14:cfRule type="containsText" priority="1790" operator="containsText" id="{10D08A9F-B7CE-A540-8E3D-E3C7924FC955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03" operator="containsText" id="{2B6DCB4A-A736-E640-ADBB-90542E34617D}">
            <xm:f>NOT(ISERROR(SEARCH("-",AL19)))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AL19:AL26</xm:sqref>
        </x14:conditionalFormatting>
        <x14:conditionalFormatting xmlns:xm="http://schemas.microsoft.com/office/excel/2006/main">
          <x14:cfRule type="containsText" priority="1530" operator="containsText" id="{F1F9C8E8-9B3C-8445-AB78-9FF675B70DC9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42" operator="containsText" id="{7EDDDFAD-A71D-8241-B136-7BF8F72F5B6B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AL28:AL33</xm:sqref>
        </x14:conditionalFormatting>
        <x14:conditionalFormatting xmlns:xm="http://schemas.microsoft.com/office/excel/2006/main">
          <x14:cfRule type="containsText" priority="1536" operator="containsText" id="{E257BE3F-3DAC-B54D-AC60-0C7010DF67A4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49" operator="containsText" id="{E31C9E90-5198-E740-BCC8-5783F56079E5}">
            <xm:f>NOT(ISERROR(SEARCH("-",AL28)))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AL28:AL35</xm:sqref>
        </x14:conditionalFormatting>
        <x14:conditionalFormatting xmlns:xm="http://schemas.microsoft.com/office/excel/2006/main">
          <x14:cfRule type="containsText" priority="917" operator="containsText" id="{698A4CBC-972B-DD4F-845E-E39E53E13D67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23" operator="containsText" id="{0AC3087A-581E-BF4D-8086-D79B2D726EA0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29" operator="containsText" id="{1D711C5C-ED50-6F44-8D35-F0DC432203FB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35" operator="containsText" id="{2B63F29B-6491-9A4F-8C7B-6B2B171DBE69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41" operator="containsText" id="{870BD74A-E13D-764E-B46B-8A630F364DB7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49" operator="containsText" id="{ECE0796C-1129-8549-88EE-90348AB41EB7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56" operator="containsText" id="{368AF28D-176A-6244-A410-93453086C301}">
            <xm:f>NOT(ISERROR(SEARCH("-",AL37)))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AL37:AL42</xm:sqref>
        </x14:conditionalFormatting>
        <x14:conditionalFormatting xmlns:xm="http://schemas.microsoft.com/office/excel/2006/main">
          <x14:cfRule type="containsText" priority="1759" operator="containsText" id="{21D94809-5AB1-5341-A23C-EB469EC4C2D6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71" operator="containsText" id="{A82800F8-81C3-B841-A645-D06B30D24791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AS19:AS25</xm:sqref>
        </x14:conditionalFormatting>
        <x14:conditionalFormatting xmlns:xm="http://schemas.microsoft.com/office/excel/2006/main">
          <x14:cfRule type="containsText" priority="1765" operator="containsText" id="{2060623D-5F5F-7145-BCA9-3490485E8932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78" operator="containsText" id="{B816C4AB-85A7-B74C-952D-60AEA71FC9C0}">
            <xm:f>NOT(ISERROR(SEARCH("-",AS19)))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AS19:AS26</xm:sqref>
        </x14:conditionalFormatting>
        <x14:conditionalFormatting xmlns:xm="http://schemas.microsoft.com/office/excel/2006/main">
          <x14:cfRule type="containsText" priority="1505" operator="containsText" id="{7958657E-A77B-D641-B71A-F84CC52EAC7A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17" operator="containsText" id="{E5E304A2-3681-8746-8B6C-AB564787526A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AS28:AS33</xm:sqref>
        </x14:conditionalFormatting>
        <x14:conditionalFormatting xmlns:xm="http://schemas.microsoft.com/office/excel/2006/main">
          <x14:cfRule type="containsText" priority="1511" operator="containsText" id="{2F00F749-2037-5541-AAD5-050796566690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24" operator="containsText" id="{8BD17A97-9FAD-0149-9FAB-A6AE875C5376}">
            <xm:f>NOT(ISERROR(SEARCH("-",AS28)))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AS28:AS35</xm:sqref>
        </x14:conditionalFormatting>
        <x14:conditionalFormatting xmlns:xm="http://schemas.microsoft.com/office/excel/2006/main">
          <x14:cfRule type="containsText" priority="851" operator="containsText" id="{83F5107E-43E4-1447-9F05-F0E15E13910A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57" operator="containsText" id="{83452A41-AE04-A349-ABD5-8E9B2DC36919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3" operator="containsText" id="{805774E1-D4B5-1D4C-B77F-B738B792A692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9" operator="containsText" id="{A494E311-D5E4-9245-8D5E-95ACDA24E8B5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75" operator="containsText" id="{C9145498-8C8B-E042-9365-1D711A06991D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83" operator="containsText" id="{DDBD19FD-2BD3-1B46-BE85-0DD9DDD30DF4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90" operator="containsText" id="{29C284F7-B374-304B-9E5C-DBD1946B6E29}">
            <xm:f>NOT(ISERROR(SEARCH("-",AS37)))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AS37:AS42</xm:sqref>
        </x14:conditionalFormatting>
        <x14:conditionalFormatting xmlns:xm="http://schemas.microsoft.com/office/excel/2006/main">
          <x14:cfRule type="containsText" priority="1734" operator="containsText" id="{760314DA-A647-FC47-8F5A-8E1A12464923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46" operator="containsText" id="{406B011A-8001-0D44-9655-A12B1E8FA743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AZ19:AZ25</xm:sqref>
        </x14:conditionalFormatting>
        <x14:conditionalFormatting xmlns:xm="http://schemas.microsoft.com/office/excel/2006/main">
          <x14:cfRule type="containsText" priority="1740" operator="containsText" id="{8A578161-B1ED-BC4B-9BE1-E356BFE15B83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53" operator="containsText" id="{3B239A98-9B77-2B41-843F-609289CEAAE9}">
            <xm:f>NOT(ISERROR(SEARCH("-",AZ19)))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AZ19:AZ26</xm:sqref>
        </x14:conditionalFormatting>
        <x14:conditionalFormatting xmlns:xm="http://schemas.microsoft.com/office/excel/2006/main">
          <x14:cfRule type="containsText" priority="1480" operator="containsText" id="{FA28BAE6-4DCF-2346-A452-455F8354BD19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92" operator="containsText" id="{A74AF64B-7BB5-1443-A68F-C19E74E619A8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AZ28:AZ33</xm:sqref>
        </x14:conditionalFormatting>
        <x14:conditionalFormatting xmlns:xm="http://schemas.microsoft.com/office/excel/2006/main">
          <x14:cfRule type="containsText" priority="1486" operator="containsText" id="{913C9A6D-6F80-D84B-9328-4C5F621B16CE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99" operator="containsText" id="{CE1031F5-F267-8949-A810-D64D770A1F94}">
            <xm:f>NOT(ISERROR(SEARCH("-",AZ28)))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AZ28:AZ35</xm:sqref>
        </x14:conditionalFormatting>
        <x14:conditionalFormatting xmlns:xm="http://schemas.microsoft.com/office/excel/2006/main">
          <x14:cfRule type="containsText" priority="785" operator="containsText" id="{882BD9F7-4F1F-BB45-B57A-135316D9D884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91" operator="containsText" id="{391F7257-E97A-BA4D-BDB6-2B6651671D30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97" operator="containsText" id="{78ABBD37-7A1E-704B-8991-D5B0CB76355A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03" operator="containsText" id="{7C9406CE-B013-7B44-8936-46C36D34A9A5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09" operator="containsText" id="{6CB6D13C-F335-B447-8EAB-DDA8C3374B54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17" operator="containsText" id="{22ABD372-E4CF-3F48-91C4-CEF96128F0A0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24" operator="containsText" id="{0CA5AE23-934E-584F-B282-3B240A323D5C}">
            <xm:f>NOT(ISERROR(SEARCH("-",AZ37)))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AZ37:AZ42</xm:sqref>
        </x14:conditionalFormatting>
        <x14:conditionalFormatting xmlns:xm="http://schemas.microsoft.com/office/excel/2006/main">
          <x14:cfRule type="containsText" priority="1709" operator="containsText" id="{67568B86-80E3-DE4E-9284-834D69155CCB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21" operator="containsText" id="{DA9FD308-222C-0E42-82DD-5FFACCFE3324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BG19:BG25</xm:sqref>
        </x14:conditionalFormatting>
        <x14:conditionalFormatting xmlns:xm="http://schemas.microsoft.com/office/excel/2006/main">
          <x14:cfRule type="containsText" priority="1715" operator="containsText" id="{4D1A6149-5FBA-5649-AE67-CF02BBFE1FF0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28" operator="containsText" id="{17795F37-28CC-3840-9E2E-E5A538A670E8}">
            <xm:f>NOT(ISERROR(SEARCH("-",BG19)))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BG19:BG26</xm:sqref>
        </x14:conditionalFormatting>
        <x14:conditionalFormatting xmlns:xm="http://schemas.microsoft.com/office/excel/2006/main">
          <x14:cfRule type="containsText" priority="1455" operator="containsText" id="{C2D4B47C-E83C-9649-A3E8-CFC574F3353D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67" operator="containsText" id="{7DA79256-9F8D-CE49-AFBB-99BA3E4C9648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BG28:BG33</xm:sqref>
        </x14:conditionalFormatting>
        <x14:conditionalFormatting xmlns:xm="http://schemas.microsoft.com/office/excel/2006/main">
          <x14:cfRule type="containsText" priority="1461" operator="containsText" id="{C43AA0A8-036C-B749-81E8-FB191C7EB59A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74" operator="containsText" id="{7658DE00-73E4-014C-B527-5F382B1D6146}">
            <xm:f>NOT(ISERROR(SEARCH("-",BG28)))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BG28:BG35</xm:sqref>
        </x14:conditionalFormatting>
        <x14:conditionalFormatting xmlns:xm="http://schemas.microsoft.com/office/excel/2006/main">
          <x14:cfRule type="containsText" priority="719" operator="containsText" id="{C44D2CAE-CEAB-AF47-ABA2-4A29B4811CF4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25" operator="containsText" id="{593FAB89-4E2B-4247-A72A-2F227C7E2E91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31" operator="containsText" id="{59ECB763-826E-6E42-B267-7132D864DD67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37" operator="containsText" id="{B5518B81-C4C7-6D4D-AFE8-54E6911B1264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43" operator="containsText" id="{006D23E6-5A75-3143-9553-77EABB960B12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51" operator="containsText" id="{39AA1D03-BAAB-EB49-910F-B68060691B5C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58" operator="containsText" id="{506D7AFB-46FD-0A43-8C67-55E21B63EE14}">
            <xm:f>NOT(ISERROR(SEARCH("-",BG37)))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BG37:BG42</xm:sqref>
        </x14:conditionalFormatting>
        <x14:conditionalFormatting xmlns:xm="http://schemas.microsoft.com/office/excel/2006/main">
          <x14:cfRule type="containsText" priority="653" operator="containsText" id="{3A292C57-26BF-E341-97D5-CBA5E9A85700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59" operator="containsText" id="{EBF9419A-ADCF-D04B-80C6-7CFCEBA12C08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65" operator="containsText" id="{6F94B4B1-14B3-7342-8EB3-E58C8BB00854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71" operator="containsText" id="{EF687780-00F6-EB40-9E01-0E21F92D1464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77" operator="containsText" id="{AC6820AB-CB5F-9A4A-91DD-CF6BFD15EEC9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85" operator="containsText" id="{8426090D-6E8F-0B47-94D3-1A46AF12839A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92" operator="containsText" id="{E5B4F1BF-B792-7842-88F9-4AEAF775F6D2}">
            <xm:f>NOT(ISERROR(SEARCH("-",A37)))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A37:A42</xm:sqref>
        </x14:conditionalFormatting>
        <x14:conditionalFormatting xmlns:xm="http://schemas.microsoft.com/office/excel/2006/main">
          <x14:cfRule type="containsText" priority="483" operator="containsText" id="{114BD1E9-043C-AE4E-8FDB-DA0A6D86B9ED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89" operator="containsText" id="{81ECEA5F-AAA0-6040-B20C-CC1A7AC8F228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95" operator="containsText" id="{21F24FCC-B7A1-104F-9F0D-61B715764DE6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02" operator="containsText" id="{10B72702-48B8-3340-AF1A-3749AB707B1F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C25</xm:sqref>
        </x14:conditionalFormatting>
        <x14:conditionalFormatting xmlns:xm="http://schemas.microsoft.com/office/excel/2006/main">
          <x14:cfRule type="containsText" priority="508" operator="containsText" id="{D3090D69-8F36-7942-BB53-FB04217C0F9D}">
            <xm:f>NOT(ISERROR(SEARCH("-",C25)))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C25</xm:sqref>
        </x14:conditionalFormatting>
        <x14:conditionalFormatting xmlns:xm="http://schemas.microsoft.com/office/excel/2006/main">
          <x14:cfRule type="containsText" priority="452" operator="containsText" id="{06ACD99F-37E6-C14B-B8C8-24CB4910E6D5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58" operator="containsText" id="{DB18A5AD-50D5-9846-92E8-8F8E000A2B12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64" operator="containsText" id="{C4F716D5-1D61-5C4F-A8D9-2B295F5101A4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71" operator="containsText" id="{6F397BE1-5A28-4347-B988-471BB8DC9205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477" operator="containsText" id="{83E6643C-B036-D847-8535-0320E6494FF6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421" operator="containsText" id="{86AEE68E-7798-3547-A68A-EBEF8CF00183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27" operator="containsText" id="{4ACFD884-95CD-BE46-875B-559479B9657C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33" operator="containsText" id="{8AE6F855-2544-7141-9573-5D5B0AC31254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40" operator="containsText" id="{06AA0C16-6FFB-6C4B-B033-E0C4CF0A5E3E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446" operator="containsText" id="{CB77CE49-A114-1342-80D4-911AE5EE0EC1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390" operator="containsText" id="{2049CD4C-2730-B044-AC88-7413A1BFCB08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96" operator="containsText" id="{E7C9CC7C-4333-B740-BFE1-9F3880F637E9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02" operator="containsText" id="{F36FCF6D-5C2A-004D-BB9D-DEC5B1DEC645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09" operator="containsText" id="{4B1969A0-1E48-0343-A308-C7721986D701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415" operator="containsText" id="{F7536F11-7116-7347-9D87-372D474DF24D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359" operator="containsText" id="{ADC7FC9A-014A-D74A-AF1F-8B88FE625F05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65" operator="containsText" id="{3F7FDC64-F2EE-094D-A835-E9670CFEA5E7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1" operator="containsText" id="{6C5CAF2C-3EA5-2A40-B995-6E285198AEDF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8" operator="containsText" id="{82B76E31-EB37-4747-BB1F-F99FAC7C953C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384" operator="containsText" id="{FBB02A02-E2FD-0845-A9E1-196469A63386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328" operator="containsText" id="{E99D2B71-3F47-D146-A2FD-FD9A4BDAD377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34" operator="containsText" id="{DF4ADC97-115B-724F-BD7F-F20A62672B12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0" operator="containsText" id="{697E717D-D8CC-7C44-9C28-63B65B8D2F13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47" operator="containsText" id="{B0F636C1-DA26-D84E-B283-8BA2C7281433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353" operator="containsText" id="{E365F052-6664-1B4A-888D-8972273AC378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297" operator="containsText" id="{1C7A0CC4-EF72-E54F-AEBD-8C292D956454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3" operator="containsText" id="{7A7EA47F-1DD5-214E-B4CC-0E4310D9B908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9" operator="containsText" id="{60B90633-8DAE-2840-8EAD-0E5B0F1EB57D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16" operator="containsText" id="{69DF87B2-3962-7E42-B7E0-D95C33DE52BE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322" operator="containsText" id="{A42E6329-A346-8542-AB62-A02C2D34E06D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266" operator="containsText" id="{3C37326F-59A1-8743-A5A2-90EA1DF8252B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2" operator="containsText" id="{1E754CAE-B646-9748-97CA-96E02F86F86A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78" operator="containsText" id="{B7D88E95-1A41-F645-88A5-5189F39E6687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85" operator="containsText" id="{60B97586-5C52-B94B-9511-31E842643708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  <x14:conditionalFormatting xmlns:xm="http://schemas.microsoft.com/office/excel/2006/main">
          <x14:cfRule type="containsText" priority="291" operator="containsText" id="{B01A0600-C9E2-8144-8913-ABEB523C3453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  <x14:conditionalFormatting xmlns:xm="http://schemas.microsoft.com/office/excel/2006/main">
          <x14:cfRule type="containsText" priority="235" operator="containsText" id="{9BC1F90A-11C6-F941-8CC0-A2C7C724544F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1" operator="containsText" id="{5BD9F6C1-6A3A-0149-B594-E94C15445423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7" operator="containsText" id="{3CC38659-EE56-774D-9044-7AA89B81AACC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54" operator="containsText" id="{0115B216-E4CB-1244-8529-33B532833093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BG25</xm:sqref>
        </x14:conditionalFormatting>
        <x14:conditionalFormatting xmlns:xm="http://schemas.microsoft.com/office/excel/2006/main">
          <x14:cfRule type="containsText" priority="260" operator="containsText" id="{8494D68D-4617-AC42-9173-9AFA90EF5FAD}">
            <xm:f>NOT(ISERROR(SEARCH("-",BG25)))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BG25</xm:sqref>
        </x14:conditionalFormatting>
        <x14:conditionalFormatting xmlns:xm="http://schemas.microsoft.com/office/excel/2006/main">
          <x14:cfRule type="containsText" priority="204" operator="containsText" id="{B96B4C3D-745B-A44E-A00C-07B2A8C0F446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0" operator="containsText" id="{20855AC1-F57E-824C-93F1-ACEC8E680130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16" operator="containsText" id="{484C276D-7ADB-4A48-9D28-92068BBB9E6D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23" operator="containsText" id="{36793F1E-C9D8-944E-87ED-18242CF57F8D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229" operator="containsText" id="{39B6B56C-95C7-644B-95B1-60025A8BC5E8}">
            <xm:f>NOT(ISERROR(SEARCH("-",J25)))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containsText" priority="173" operator="containsText" id="{1911CEFA-F990-F848-A0DB-A146035D54A0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9" operator="containsText" id="{6487B169-3046-0342-976A-ADCBF94AB053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85" operator="containsText" id="{9FD1426D-D140-004B-B51B-5EBEACA92E1F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92" operator="containsText" id="{C29A840E-33B4-744B-AD43-496D22A3452F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198" operator="containsText" id="{AFC38845-7872-2D42-A231-46D284F9BB1A}">
            <xm:f>NOT(ISERROR(SEARCH("-",Q25)))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Q25</xm:sqref>
        </x14:conditionalFormatting>
        <x14:conditionalFormatting xmlns:xm="http://schemas.microsoft.com/office/excel/2006/main">
          <x14:cfRule type="containsText" priority="142" operator="containsText" id="{77037F45-7F76-5C4A-BBFE-899698CE5AB3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48" operator="containsText" id="{847B17BE-D81E-9546-867E-F4982D01D627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54" operator="containsText" id="{8FA097D3-9020-CF4B-878A-28F8FFBE2E44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61" operator="containsText" id="{EF8D4132-CAE1-CA4E-B0D3-0A9AF2C5FE6E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167" operator="containsText" id="{09D13964-FBF2-CB41-901D-85B76AA52D7D}">
            <xm:f>NOT(ISERROR(SEARCH("-",X25)))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ontainsText" priority="111" operator="containsText" id="{D151283F-FF3D-954D-8847-011FB1CFD997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17" operator="containsText" id="{1A87D4EF-E750-7746-AA23-3AE96F967D3F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23" operator="containsText" id="{149770A7-43B9-4645-A6E2-28C008438794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0" operator="containsText" id="{B9972409-5FD5-BF4B-BC3B-DB6EC195B007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136" operator="containsText" id="{97CF07AA-CC36-4A4F-A415-A9F2995D5041}">
            <xm:f>NOT(ISERROR(SEARCH("-",AE25)))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AE25</xm:sqref>
        </x14:conditionalFormatting>
        <x14:conditionalFormatting xmlns:xm="http://schemas.microsoft.com/office/excel/2006/main">
          <x14:cfRule type="containsText" priority="80" operator="containsText" id="{6F5892A6-86B1-4A4B-B6A0-F25A76BED0D6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86" operator="containsText" id="{ECAF214B-C8F5-D54B-8DD1-507143E92472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2" operator="containsText" id="{B04AF3C5-F665-704B-BD66-65A02B90925F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99" operator="containsText" id="{C0B3280B-A74C-F948-ADC1-9E9958E9D696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105" operator="containsText" id="{0BC979B2-C3D7-B14D-9320-D36151F00496}">
            <xm:f>NOT(ISERROR(SEARCH("-",AL25)))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AL25</xm:sqref>
        </x14:conditionalFormatting>
        <x14:conditionalFormatting xmlns:xm="http://schemas.microsoft.com/office/excel/2006/main">
          <x14:cfRule type="containsText" priority="49" operator="containsText" id="{51C009AE-3AED-154C-A4C1-41E1F740EF02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55" operator="containsText" id="{096D0445-CA86-0848-BF01-4B34B557D57C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1" operator="containsText" id="{02E37CBC-3482-3246-816E-BA4D1F924F1E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68" operator="containsText" id="{4944C05D-71C4-BC46-BA69-53349DF55C91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74" operator="containsText" id="{37B8DBD1-2CBB-614D-854D-E50A42029874}">
            <xm:f>NOT(ISERROR(SEARCH("-",AS25)))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AS25</xm:sqref>
        </x14:conditionalFormatting>
        <x14:conditionalFormatting xmlns:xm="http://schemas.microsoft.com/office/excel/2006/main">
          <x14:cfRule type="containsText" priority="18" operator="containsText" id="{2627B276-790B-CB41-A41B-D8F9A46F1289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24" operator="containsText" id="{CA230E86-3290-044F-938C-0EE971E0DBC0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0" operator="containsText" id="{F78B6257-71FF-7047-B07A-6B114460E40B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7" operator="containsText" id="{E6608A6E-74DB-D74F-8679-469629E7E857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  <x14:conditionalFormatting xmlns:xm="http://schemas.microsoft.com/office/excel/2006/main">
          <x14:cfRule type="containsText" priority="43" operator="containsText" id="{5E5624B9-E489-FE49-887E-EB6AD694F518}">
            <xm:f>NOT(ISERROR(SEARCH("-",AZ25)))</xm:f>
            <xm:f>"-"</xm:f>
            <x14:dxf>
              <fill>
                <patternFill>
                  <bgColor theme="0" tint="-0.499984740745262"/>
                </patternFill>
              </fill>
            </x14:dxf>
          </x14:cfRule>
          <xm:sqref>AZ25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2AFA3-8D57-C043-9C10-6A49F7D36562}">
  <sheetPr codeName="Sheet1"/>
  <dimension ref="A1:J8"/>
  <sheetViews>
    <sheetView zoomScale="186" workbookViewId="0">
      <selection activeCell="A9" sqref="A9:XFD9"/>
    </sheetView>
  </sheetViews>
  <sheetFormatPr baseColWidth="10" defaultRowHeight="16" x14ac:dyDescent="0.2"/>
  <cols>
    <col min="2" max="2" width="15.6640625" customWidth="1"/>
    <col min="3" max="3" width="16" customWidth="1"/>
    <col min="4" max="4" width="12.6640625" customWidth="1"/>
    <col min="5" max="9" width="15.6640625" customWidth="1"/>
    <col min="10" max="10" width="22.6640625" customWidth="1"/>
    <col min="11" max="11" width="21.5" customWidth="1"/>
  </cols>
  <sheetData>
    <row r="1" spans="1:10" x14ac:dyDescent="0.2">
      <c r="A1" s="14" t="s">
        <v>59</v>
      </c>
      <c r="B1" t="s">
        <v>85</v>
      </c>
      <c r="C1" t="s">
        <v>86</v>
      </c>
      <c r="D1" t="s">
        <v>58</v>
      </c>
      <c r="E1" t="s">
        <v>60</v>
      </c>
      <c r="F1" t="s">
        <v>61</v>
      </c>
      <c r="G1" t="s">
        <v>62</v>
      </c>
      <c r="H1" t="s">
        <v>63</v>
      </c>
      <c r="I1" t="s">
        <v>64</v>
      </c>
      <c r="J1" t="s">
        <v>65</v>
      </c>
    </row>
    <row r="2" spans="1:10" x14ac:dyDescent="0.2">
      <c r="A2" s="14" t="s">
        <v>8</v>
      </c>
      <c r="B2">
        <v>1</v>
      </c>
      <c r="C2">
        <v>50</v>
      </c>
      <c r="D2">
        <v>0</v>
      </c>
      <c r="E2">
        <v>1</v>
      </c>
      <c r="F2">
        <v>0</v>
      </c>
      <c r="G2">
        <v>1</v>
      </c>
      <c r="H2">
        <v>0</v>
      </c>
      <c r="I2">
        <v>2</v>
      </c>
      <c r="J2">
        <v>120</v>
      </c>
    </row>
    <row r="3" spans="1:10" x14ac:dyDescent="0.2">
      <c r="A3" s="14" t="s">
        <v>11</v>
      </c>
      <c r="B3">
        <v>1</v>
      </c>
      <c r="C3">
        <v>100</v>
      </c>
      <c r="D3">
        <v>0</v>
      </c>
    </row>
    <row r="4" spans="1:10" x14ac:dyDescent="0.2">
      <c r="A4" s="14" t="s">
        <v>10</v>
      </c>
      <c r="B4">
        <v>0</v>
      </c>
      <c r="C4">
        <v>0</v>
      </c>
      <c r="D4">
        <v>0</v>
      </c>
    </row>
    <row r="5" spans="1:10" x14ac:dyDescent="0.2">
      <c r="A5" s="14" t="s">
        <v>12</v>
      </c>
      <c r="B5">
        <v>0</v>
      </c>
      <c r="C5">
        <v>0</v>
      </c>
      <c r="D5">
        <v>0</v>
      </c>
    </row>
    <row r="6" spans="1:10" x14ac:dyDescent="0.2">
      <c r="A6" s="14" t="s">
        <v>9</v>
      </c>
      <c r="B6">
        <v>0</v>
      </c>
      <c r="C6">
        <v>0</v>
      </c>
      <c r="D6">
        <v>1</v>
      </c>
    </row>
    <row r="7" spans="1:10" x14ac:dyDescent="0.2">
      <c r="A7" s="14" t="s">
        <v>7</v>
      </c>
      <c r="B7">
        <v>0</v>
      </c>
      <c r="C7">
        <v>0</v>
      </c>
      <c r="D7">
        <v>1</v>
      </c>
    </row>
    <row r="8" spans="1:10" x14ac:dyDescent="0.2">
      <c r="A8" s="14" t="s">
        <v>20</v>
      </c>
      <c r="B8">
        <v>0</v>
      </c>
      <c r="C8">
        <v>0</v>
      </c>
      <c r="D8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7709C-28F1-D34D-8ABC-B54D91CB1EC7}">
  <sheetPr codeName="Sheet3"/>
  <dimension ref="A1:BJ12"/>
  <sheetViews>
    <sheetView zoomScale="119" zoomScaleNormal="125" workbookViewId="0">
      <pane xSplit="1" topLeftCell="B1" activePane="topRight" state="frozen"/>
      <selection pane="topRight" activeCell="E18" sqref="E18"/>
    </sheetView>
  </sheetViews>
  <sheetFormatPr baseColWidth="10" defaultRowHeight="16" x14ac:dyDescent="0.2"/>
  <cols>
    <col min="1" max="1" width="19.83203125" customWidth="1"/>
  </cols>
  <sheetData>
    <row r="1" spans="1:62" s="25" customFormat="1" x14ac:dyDescent="0.2">
      <c r="A1" s="30" t="s">
        <v>0</v>
      </c>
      <c r="B1" s="24">
        <v>46033</v>
      </c>
      <c r="C1" s="25">
        <v>46064</v>
      </c>
      <c r="D1" s="25">
        <v>46092</v>
      </c>
      <c r="E1" s="25">
        <v>46123</v>
      </c>
      <c r="F1" s="25">
        <v>46153</v>
      </c>
      <c r="G1" s="25">
        <v>46184</v>
      </c>
      <c r="H1" s="24">
        <v>46214</v>
      </c>
      <c r="I1" s="24">
        <v>46245</v>
      </c>
      <c r="J1" s="25">
        <v>46276</v>
      </c>
      <c r="K1" s="25">
        <v>46306</v>
      </c>
      <c r="L1" s="25">
        <v>46337</v>
      </c>
      <c r="M1" s="25">
        <v>46367</v>
      </c>
      <c r="N1" s="25" t="s">
        <v>23</v>
      </c>
      <c r="O1" s="24" t="s">
        <v>24</v>
      </c>
      <c r="P1" s="24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5" t="s">
        <v>30</v>
      </c>
      <c r="V1" s="24" t="s">
        <v>31</v>
      </c>
      <c r="W1" s="24" t="s">
        <v>32</v>
      </c>
      <c r="X1" s="25" t="s">
        <v>33</v>
      </c>
      <c r="Y1" s="25" t="s">
        <v>34</v>
      </c>
      <c r="Z1" s="25" t="s">
        <v>35</v>
      </c>
      <c r="AA1" s="25" t="s">
        <v>36</v>
      </c>
      <c r="AB1" s="25" t="s">
        <v>37</v>
      </c>
      <c r="AC1" s="24" t="s">
        <v>38</v>
      </c>
      <c r="AD1" s="24" t="s">
        <v>39</v>
      </c>
      <c r="AE1" s="25" t="s">
        <v>40</v>
      </c>
      <c r="AF1" s="25">
        <v>46034</v>
      </c>
      <c r="AG1" s="25">
        <v>46065</v>
      </c>
      <c r="AH1" s="25">
        <v>46093</v>
      </c>
      <c r="AI1" s="25">
        <v>46124</v>
      </c>
      <c r="AJ1" s="24">
        <v>46154</v>
      </c>
      <c r="AK1" s="24">
        <v>46185</v>
      </c>
      <c r="AL1" s="25">
        <v>46215</v>
      </c>
      <c r="AM1" s="25">
        <v>46246</v>
      </c>
      <c r="AN1" s="25">
        <v>46277</v>
      </c>
      <c r="AO1" s="25">
        <v>46307</v>
      </c>
      <c r="AP1" s="25">
        <v>46338</v>
      </c>
      <c r="AQ1" s="24">
        <v>46368</v>
      </c>
      <c r="AR1" s="24" t="s">
        <v>66</v>
      </c>
      <c r="AS1" s="25" t="s">
        <v>67</v>
      </c>
      <c r="AT1" s="25" t="s">
        <v>68</v>
      </c>
      <c r="AU1" s="25" t="s">
        <v>69</v>
      </c>
      <c r="AV1" s="25" t="s">
        <v>70</v>
      </c>
      <c r="AW1" s="25" t="s">
        <v>71</v>
      </c>
      <c r="AX1" s="24" t="s">
        <v>72</v>
      </c>
      <c r="AY1" s="24" t="s">
        <v>73</v>
      </c>
      <c r="AZ1" s="25" t="s">
        <v>74</v>
      </c>
      <c r="BA1" s="25" t="s">
        <v>75</v>
      </c>
      <c r="BB1" s="25" t="s">
        <v>76</v>
      </c>
      <c r="BC1" s="25" t="s">
        <v>77</v>
      </c>
      <c r="BD1" s="25" t="s">
        <v>78</v>
      </c>
      <c r="BE1" s="24" t="s">
        <v>79</v>
      </c>
      <c r="BF1" s="24" t="s">
        <v>80</v>
      </c>
      <c r="BG1" s="25" t="s">
        <v>81</v>
      </c>
      <c r="BH1" s="25" t="s">
        <v>82</v>
      </c>
      <c r="BI1" s="25" t="s">
        <v>83</v>
      </c>
      <c r="BJ1" s="25" t="s">
        <v>84</v>
      </c>
    </row>
    <row r="2" spans="1:62" x14ac:dyDescent="0.2">
      <c r="A2" s="14" t="s">
        <v>47</v>
      </c>
      <c r="B2" s="29"/>
      <c r="C2" s="16"/>
      <c r="D2" s="16"/>
      <c r="E2" s="16"/>
      <c r="F2" s="16"/>
      <c r="G2" s="16"/>
      <c r="H2" s="29"/>
      <c r="I2" s="29"/>
      <c r="J2" s="16"/>
      <c r="K2" s="16"/>
      <c r="L2" s="16" t="s">
        <v>42</v>
      </c>
      <c r="M2" s="16" t="s">
        <v>42</v>
      </c>
      <c r="N2" t="s">
        <v>42</v>
      </c>
      <c r="O2" s="15"/>
      <c r="P2" s="15"/>
      <c r="V2" s="15"/>
      <c r="W2" s="15"/>
      <c r="AC2" s="15"/>
      <c r="AD2" s="15"/>
      <c r="AF2" s="16"/>
      <c r="AG2" s="16"/>
      <c r="AH2" s="16"/>
      <c r="AI2" s="16"/>
      <c r="AJ2" s="29"/>
      <c r="AK2" s="29"/>
      <c r="AL2" s="16"/>
      <c r="AM2" s="16"/>
      <c r="AN2" s="16"/>
      <c r="AO2" s="16"/>
      <c r="AP2" s="16"/>
      <c r="AQ2" s="29"/>
      <c r="AR2" s="15"/>
      <c r="AX2" s="15"/>
      <c r="AY2" s="15"/>
      <c r="BE2" s="15"/>
      <c r="BF2" s="15"/>
    </row>
    <row r="3" spans="1:62" x14ac:dyDescent="0.2">
      <c r="A3" s="14" t="s">
        <v>48</v>
      </c>
      <c r="B3" s="29"/>
      <c r="C3" s="16"/>
      <c r="D3" s="16"/>
      <c r="E3" s="16"/>
      <c r="F3" s="16"/>
      <c r="G3" s="16"/>
      <c r="H3" s="29"/>
      <c r="I3" s="29"/>
      <c r="J3" s="16"/>
      <c r="K3" s="16"/>
      <c r="L3" s="16"/>
      <c r="M3" s="16"/>
      <c r="O3" s="15"/>
      <c r="P3" s="15"/>
      <c r="V3" s="15"/>
      <c r="W3" s="15"/>
      <c r="AC3" s="15"/>
      <c r="AD3" s="15"/>
      <c r="AF3" s="16"/>
      <c r="AG3" s="16"/>
      <c r="AH3" s="16"/>
      <c r="AI3" s="16"/>
      <c r="AJ3" s="29"/>
      <c r="AK3" s="29"/>
      <c r="AL3" s="16"/>
      <c r="AM3" s="16"/>
      <c r="AN3" s="16"/>
      <c r="AO3" s="16"/>
      <c r="AP3" s="16"/>
      <c r="AQ3" s="29"/>
      <c r="AR3" s="15"/>
      <c r="AX3" s="15"/>
      <c r="AY3" s="15"/>
      <c r="BE3" s="15"/>
      <c r="BF3" s="15"/>
    </row>
    <row r="4" spans="1:62" x14ac:dyDescent="0.2">
      <c r="A4" s="14" t="s">
        <v>49</v>
      </c>
      <c r="B4" s="29"/>
      <c r="C4" s="16"/>
      <c r="D4" s="16"/>
      <c r="E4" s="16"/>
      <c r="F4" s="16"/>
      <c r="G4" s="16"/>
      <c r="H4" s="29" t="s">
        <v>41</v>
      </c>
      <c r="I4" s="29"/>
      <c r="J4" s="16"/>
      <c r="K4" s="16"/>
      <c r="L4" s="16"/>
      <c r="M4" s="16"/>
      <c r="O4" s="15"/>
      <c r="P4" s="15"/>
      <c r="V4" s="15"/>
      <c r="W4" s="15"/>
      <c r="X4" t="s">
        <v>42</v>
      </c>
      <c r="Y4" t="s">
        <v>42</v>
      </c>
      <c r="Z4" t="s">
        <v>42</v>
      </c>
      <c r="AA4" t="s">
        <v>42</v>
      </c>
      <c r="AB4" t="s">
        <v>42</v>
      </c>
      <c r="AC4" s="15"/>
      <c r="AD4" s="15"/>
      <c r="AF4" s="16"/>
      <c r="AG4" s="16"/>
      <c r="AH4" s="16"/>
      <c r="AI4" s="16"/>
      <c r="AJ4" s="29"/>
      <c r="AK4" s="29"/>
      <c r="AL4" s="16"/>
      <c r="AM4" s="16"/>
      <c r="AN4" s="16"/>
      <c r="AO4" s="16"/>
      <c r="AP4" s="16"/>
      <c r="AQ4" s="29"/>
      <c r="AR4" s="15"/>
      <c r="AX4" s="15"/>
      <c r="AY4" s="15"/>
      <c r="BE4" s="15"/>
      <c r="BF4" s="15"/>
    </row>
    <row r="5" spans="1:62" x14ac:dyDescent="0.2">
      <c r="A5" s="14" t="s">
        <v>50</v>
      </c>
      <c r="B5" s="29"/>
      <c r="C5" s="16" t="s">
        <v>42</v>
      </c>
      <c r="D5" s="16" t="s">
        <v>42</v>
      </c>
      <c r="E5" s="16" t="s">
        <v>42</v>
      </c>
      <c r="F5" s="16" t="s">
        <v>42</v>
      </c>
      <c r="G5" s="16"/>
      <c r="H5" s="29"/>
      <c r="I5" s="29"/>
      <c r="J5" s="16"/>
      <c r="K5" s="16"/>
      <c r="L5" s="16"/>
      <c r="M5" s="16"/>
      <c r="O5" s="15"/>
      <c r="P5" s="15"/>
      <c r="V5" s="15"/>
      <c r="W5" s="15"/>
      <c r="AC5" s="15"/>
      <c r="AD5" s="15"/>
      <c r="AF5" s="16"/>
      <c r="AG5" s="16"/>
      <c r="AH5" s="16"/>
      <c r="AI5" s="16"/>
      <c r="AJ5" s="29"/>
      <c r="AK5" s="29"/>
      <c r="AL5" s="16"/>
      <c r="AM5" s="16"/>
      <c r="AN5" s="16"/>
      <c r="AO5" s="16"/>
      <c r="AP5" s="16"/>
      <c r="AQ5" s="29"/>
      <c r="AR5" s="15"/>
      <c r="AX5" s="15"/>
      <c r="AY5" s="15"/>
      <c r="BE5" s="15"/>
      <c r="BF5" s="15"/>
    </row>
    <row r="6" spans="1:62" x14ac:dyDescent="0.2">
      <c r="A6" s="14" t="s">
        <v>51</v>
      </c>
      <c r="B6" s="29"/>
      <c r="C6" s="16"/>
      <c r="D6" s="16"/>
      <c r="E6" s="16"/>
      <c r="F6" s="16"/>
      <c r="G6" s="16"/>
      <c r="H6" s="29"/>
      <c r="I6" s="29"/>
      <c r="J6" s="16"/>
      <c r="K6" s="16"/>
      <c r="L6" s="16"/>
      <c r="M6" s="16"/>
      <c r="O6" s="15"/>
      <c r="P6" s="15"/>
      <c r="Q6" t="s">
        <v>42</v>
      </c>
      <c r="R6" t="s">
        <v>42</v>
      </c>
      <c r="S6" t="s">
        <v>42</v>
      </c>
      <c r="T6" t="s">
        <v>42</v>
      </c>
      <c r="U6" t="s">
        <v>42</v>
      </c>
      <c r="V6" s="15"/>
      <c r="W6" s="15"/>
      <c r="AC6" s="15"/>
      <c r="AD6" s="15"/>
      <c r="AF6" s="16"/>
      <c r="AG6" s="16"/>
      <c r="AH6" s="16"/>
      <c r="AI6" s="16"/>
      <c r="AJ6" s="29"/>
      <c r="AK6" s="29"/>
      <c r="AL6" s="16"/>
      <c r="AM6" s="16"/>
      <c r="AN6" s="16"/>
      <c r="AO6" s="16"/>
      <c r="AP6" s="16"/>
      <c r="AQ6" s="29"/>
      <c r="AR6" s="15"/>
      <c r="AX6" s="15"/>
      <c r="AY6" s="15"/>
      <c r="BE6" s="15"/>
      <c r="BF6" s="15"/>
    </row>
    <row r="7" spans="1:62" x14ac:dyDescent="0.2">
      <c r="A7" s="14" t="s">
        <v>52</v>
      </c>
      <c r="B7" s="29"/>
      <c r="C7" s="16"/>
      <c r="D7" s="16"/>
      <c r="E7" s="16"/>
      <c r="F7" s="16"/>
      <c r="G7" s="16" t="s">
        <v>42</v>
      </c>
      <c r="H7" s="29"/>
      <c r="I7" s="29"/>
      <c r="J7" s="16"/>
      <c r="K7" s="16"/>
      <c r="L7" s="16"/>
      <c r="M7" s="16"/>
      <c r="O7" s="15"/>
      <c r="P7" s="15"/>
      <c r="V7" s="15"/>
      <c r="W7" s="15"/>
      <c r="AC7" s="15"/>
      <c r="AD7" s="15"/>
      <c r="AF7" s="16"/>
      <c r="AG7" s="16"/>
      <c r="AH7" s="16"/>
      <c r="AI7" s="16"/>
      <c r="AJ7" s="29"/>
      <c r="AK7" s="29"/>
      <c r="AL7" s="16"/>
      <c r="AM7" s="16"/>
      <c r="AN7" s="16"/>
      <c r="AO7" s="16"/>
      <c r="AP7" s="16"/>
      <c r="AQ7" s="29"/>
      <c r="AR7" s="15"/>
      <c r="AX7" s="15"/>
      <c r="AY7" s="15"/>
      <c r="BE7" s="15"/>
      <c r="BF7" s="15"/>
    </row>
    <row r="8" spans="1:62" x14ac:dyDescent="0.2">
      <c r="A8" s="14" t="s">
        <v>53</v>
      </c>
      <c r="B8" s="29"/>
      <c r="C8" s="16"/>
      <c r="D8" s="16"/>
      <c r="E8" s="16"/>
      <c r="F8" s="16"/>
      <c r="G8" s="16"/>
      <c r="H8" s="29" t="s">
        <v>41</v>
      </c>
      <c r="I8" s="29" t="s">
        <v>41</v>
      </c>
      <c r="J8" s="16"/>
      <c r="K8" s="16" t="s">
        <v>42</v>
      </c>
      <c r="L8" s="16" t="s">
        <v>42</v>
      </c>
      <c r="M8" s="16"/>
      <c r="O8" s="15"/>
      <c r="P8" s="15"/>
      <c r="V8" s="15"/>
      <c r="W8" s="15"/>
      <c r="AA8" t="s">
        <v>42</v>
      </c>
      <c r="AB8" t="s">
        <v>42</v>
      </c>
      <c r="AC8" s="15"/>
      <c r="AD8" s="15"/>
      <c r="AE8" t="s">
        <v>42</v>
      </c>
      <c r="AF8" s="16"/>
      <c r="AG8" s="16"/>
      <c r="AH8" s="16"/>
      <c r="AI8" s="16"/>
      <c r="AJ8" s="29"/>
      <c r="AK8" s="29"/>
      <c r="AL8" s="16"/>
      <c r="AM8" s="16"/>
      <c r="AN8" s="16"/>
      <c r="AO8" s="16"/>
      <c r="AP8" s="16"/>
      <c r="AQ8" s="29"/>
      <c r="AR8" s="15"/>
      <c r="AX8" s="15"/>
      <c r="AY8" s="15"/>
      <c r="BE8" s="15"/>
      <c r="BF8" s="15"/>
    </row>
    <row r="9" spans="1:62" x14ac:dyDescent="0.2">
      <c r="A9" s="14" t="s">
        <v>54</v>
      </c>
      <c r="B9" s="29"/>
      <c r="C9" s="16"/>
      <c r="D9" s="16"/>
      <c r="E9" s="16"/>
      <c r="F9" s="16"/>
      <c r="G9" s="16"/>
      <c r="H9" s="29"/>
      <c r="I9" s="29"/>
      <c r="J9" s="16"/>
      <c r="K9" s="16"/>
      <c r="L9" s="16"/>
      <c r="M9" s="16"/>
      <c r="O9" s="15" t="s">
        <v>41</v>
      </c>
      <c r="P9" s="15" t="s">
        <v>41</v>
      </c>
      <c r="Q9" t="s">
        <v>41</v>
      </c>
      <c r="V9" s="15"/>
      <c r="W9" s="15"/>
      <c r="Z9" t="s">
        <v>42</v>
      </c>
      <c r="AC9" s="15"/>
      <c r="AD9" s="15"/>
      <c r="AF9" s="16"/>
      <c r="AG9" s="16"/>
      <c r="AH9" s="16"/>
      <c r="AI9" s="16"/>
      <c r="AJ9" s="29"/>
      <c r="AK9" s="29"/>
      <c r="AL9" s="16"/>
      <c r="AM9" s="16"/>
      <c r="AN9" s="16"/>
      <c r="AO9" s="16"/>
      <c r="AP9" s="16"/>
      <c r="AQ9" s="29"/>
      <c r="AR9" s="15"/>
      <c r="AX9" s="15"/>
      <c r="AY9" s="15"/>
      <c r="BE9" s="15"/>
      <c r="BF9" s="15"/>
    </row>
    <row r="10" spans="1:62" x14ac:dyDescent="0.2">
      <c r="A10" s="14" t="s">
        <v>55</v>
      </c>
      <c r="B10" s="29"/>
      <c r="C10" s="16"/>
      <c r="D10" s="16"/>
      <c r="E10" s="16"/>
      <c r="F10" s="16"/>
      <c r="G10" s="16"/>
      <c r="H10" s="29"/>
      <c r="I10" s="29"/>
      <c r="J10" s="16"/>
      <c r="K10" s="16"/>
      <c r="L10" s="16"/>
      <c r="M10" s="16"/>
      <c r="O10" s="15"/>
      <c r="P10" s="15"/>
      <c r="V10" s="15"/>
      <c r="W10" s="15"/>
      <c r="AC10" s="15"/>
      <c r="AD10" s="15"/>
      <c r="AF10" s="16"/>
      <c r="AG10" s="16"/>
      <c r="AH10" s="16"/>
      <c r="AI10" s="16"/>
      <c r="AJ10" s="29"/>
      <c r="AK10" s="29"/>
      <c r="AL10" s="16"/>
      <c r="AM10" s="16"/>
      <c r="AN10" s="16"/>
      <c r="AO10" s="16"/>
      <c r="AP10" s="16"/>
      <c r="AQ10" s="29"/>
      <c r="AR10" s="15"/>
      <c r="AX10" s="15"/>
      <c r="AY10" s="15"/>
      <c r="BE10" s="15"/>
      <c r="BF10" s="15"/>
    </row>
    <row r="11" spans="1:62" x14ac:dyDescent="0.2">
      <c r="A11" s="14" t="s">
        <v>56</v>
      </c>
      <c r="B11" s="29" t="s">
        <v>41</v>
      </c>
      <c r="C11" s="16"/>
      <c r="D11" s="16"/>
      <c r="E11" s="16"/>
      <c r="F11" s="16"/>
      <c r="G11" s="16"/>
      <c r="H11" s="29"/>
      <c r="I11" s="29"/>
      <c r="J11" s="16"/>
      <c r="K11" s="16"/>
      <c r="L11" s="16"/>
      <c r="M11" s="16"/>
      <c r="O11" s="15"/>
      <c r="P11" s="15"/>
      <c r="T11" t="s">
        <v>42</v>
      </c>
      <c r="U11" t="s">
        <v>42</v>
      </c>
      <c r="V11" s="15"/>
      <c r="W11" s="15"/>
      <c r="X11" t="s">
        <v>42</v>
      </c>
      <c r="AC11" s="15"/>
      <c r="AD11" s="15"/>
      <c r="AF11" s="16"/>
      <c r="AG11" s="16"/>
      <c r="AH11" s="16"/>
      <c r="AI11" s="16"/>
      <c r="AJ11" s="29"/>
      <c r="AK11" s="29"/>
      <c r="AL11" s="16"/>
      <c r="AM11" s="16"/>
      <c r="AN11" s="16"/>
      <c r="AO11" s="16"/>
      <c r="AP11" s="16"/>
      <c r="AQ11" s="29"/>
      <c r="AR11" s="15"/>
      <c r="AX11" s="15"/>
      <c r="AY11" s="15"/>
      <c r="BE11" s="15"/>
      <c r="BF11" s="15"/>
    </row>
    <row r="12" spans="1:62" x14ac:dyDescent="0.2">
      <c r="A12" s="14" t="s">
        <v>57</v>
      </c>
      <c r="B12" s="29"/>
      <c r="C12" s="16"/>
      <c r="D12" s="16"/>
      <c r="E12" s="16"/>
      <c r="F12" s="16"/>
      <c r="G12" s="16"/>
      <c r="H12" s="29"/>
      <c r="I12" s="29"/>
      <c r="J12" s="16"/>
      <c r="K12" s="16"/>
      <c r="L12" s="16"/>
      <c r="M12" s="16"/>
      <c r="O12" s="15"/>
      <c r="P12" s="15"/>
      <c r="V12" s="15"/>
      <c r="W12" s="15"/>
      <c r="AC12" s="15"/>
      <c r="AD12" s="15"/>
      <c r="AF12" s="16"/>
      <c r="AG12" s="16"/>
      <c r="AH12" s="16"/>
      <c r="AI12" s="16"/>
      <c r="AJ12" s="29"/>
      <c r="AK12" s="29"/>
      <c r="AL12" s="16"/>
      <c r="AM12" s="16"/>
      <c r="AN12" s="16"/>
      <c r="AO12" s="16"/>
      <c r="AP12" s="16"/>
      <c r="AQ12" s="29"/>
      <c r="AR12" s="15"/>
      <c r="AX12" s="15"/>
      <c r="AY12" s="15"/>
      <c r="BE12" s="15"/>
      <c r="BF12" s="15"/>
    </row>
  </sheetData>
  <conditionalFormatting sqref="B2:AE11">
    <cfRule type="cellIs" dxfId="23" priority="5" operator="equal">
      <formula>"B"</formula>
    </cfRule>
    <cfRule type="cellIs" dxfId="22" priority="6" operator="equal">
      <formula>"L"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37A78-2F98-5D41-B20E-75862B273935}">
  <sheetPr codeName="Sheet4"/>
  <dimension ref="A1:BJ12"/>
  <sheetViews>
    <sheetView zoomScale="87" workbookViewId="0">
      <selection activeCell="M28" sqref="M28"/>
    </sheetView>
  </sheetViews>
  <sheetFormatPr baseColWidth="10" defaultRowHeight="16" x14ac:dyDescent="0.2"/>
  <cols>
    <col min="1" max="1" width="10.83203125" customWidth="1"/>
  </cols>
  <sheetData>
    <row r="1" spans="1:62" s="25" customFormat="1" x14ac:dyDescent="0.2">
      <c r="A1" s="30" t="s">
        <v>0</v>
      </c>
      <c r="B1" s="24">
        <v>46033</v>
      </c>
      <c r="C1" s="25">
        <v>46064</v>
      </c>
      <c r="D1" s="25">
        <v>46092</v>
      </c>
      <c r="E1" s="25">
        <v>46123</v>
      </c>
      <c r="F1" s="25">
        <v>46153</v>
      </c>
      <c r="G1" s="25">
        <v>46184</v>
      </c>
      <c r="H1" s="24">
        <v>46214</v>
      </c>
      <c r="I1" s="24">
        <v>46245</v>
      </c>
      <c r="J1" s="25">
        <v>46276</v>
      </c>
      <c r="K1" s="25">
        <v>46306</v>
      </c>
      <c r="L1" s="25">
        <v>46337</v>
      </c>
      <c r="M1" s="25">
        <v>46367</v>
      </c>
      <c r="N1" s="25" t="s">
        <v>23</v>
      </c>
      <c r="O1" s="24" t="s">
        <v>24</v>
      </c>
      <c r="P1" s="24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5" t="s">
        <v>30</v>
      </c>
      <c r="V1" s="24" t="s">
        <v>31</v>
      </c>
      <c r="W1" s="24" t="s">
        <v>32</v>
      </c>
      <c r="X1" s="25" t="s">
        <v>33</v>
      </c>
      <c r="Y1" s="25" t="s">
        <v>34</v>
      </c>
      <c r="Z1" s="25" t="s">
        <v>35</v>
      </c>
      <c r="AA1" s="25" t="s">
        <v>36</v>
      </c>
      <c r="AB1" s="25" t="s">
        <v>37</v>
      </c>
      <c r="AC1" s="24" t="s">
        <v>38</v>
      </c>
      <c r="AD1" s="24" t="s">
        <v>39</v>
      </c>
      <c r="AE1" s="25" t="s">
        <v>40</v>
      </c>
      <c r="AF1" s="25">
        <v>46034</v>
      </c>
      <c r="AG1" s="25">
        <v>46065</v>
      </c>
      <c r="AH1" s="25">
        <v>46093</v>
      </c>
      <c r="AI1" s="25">
        <v>46124</v>
      </c>
      <c r="AJ1" s="24">
        <v>46154</v>
      </c>
      <c r="AK1" s="24">
        <v>46185</v>
      </c>
      <c r="AL1" s="25">
        <v>46215</v>
      </c>
      <c r="AM1" s="25">
        <v>46246</v>
      </c>
      <c r="AN1" s="25">
        <v>46277</v>
      </c>
      <c r="AO1" s="25">
        <v>46307</v>
      </c>
      <c r="AP1" s="25">
        <v>46338</v>
      </c>
      <c r="AQ1" s="24">
        <v>46368</v>
      </c>
      <c r="AR1" s="24" t="s">
        <v>66</v>
      </c>
      <c r="AS1" s="25" t="s">
        <v>67</v>
      </c>
      <c r="AT1" s="25" t="s">
        <v>68</v>
      </c>
      <c r="AU1" s="25" t="s">
        <v>69</v>
      </c>
      <c r="AV1" s="25" t="s">
        <v>70</v>
      </c>
      <c r="AW1" s="25" t="s">
        <v>71</v>
      </c>
      <c r="AX1" s="24" t="s">
        <v>72</v>
      </c>
      <c r="AY1" s="24" t="s">
        <v>73</v>
      </c>
      <c r="AZ1" s="25" t="s">
        <v>74</v>
      </c>
      <c r="BA1" s="25" t="s">
        <v>75</v>
      </c>
      <c r="BB1" s="25" t="s">
        <v>76</v>
      </c>
      <c r="BC1" s="25" t="s">
        <v>77</v>
      </c>
      <c r="BD1" s="25" t="s">
        <v>78</v>
      </c>
      <c r="BE1" s="24" t="s">
        <v>79</v>
      </c>
      <c r="BF1" s="24" t="s">
        <v>80</v>
      </c>
      <c r="BG1" s="25" t="s">
        <v>81</v>
      </c>
      <c r="BH1" s="25" t="s">
        <v>82</v>
      </c>
      <c r="BI1" s="25" t="s">
        <v>83</v>
      </c>
      <c r="BJ1" s="25" t="s">
        <v>84</v>
      </c>
    </row>
    <row r="2" spans="1:62" x14ac:dyDescent="0.2">
      <c r="A2" s="14" t="s">
        <v>47</v>
      </c>
    </row>
    <row r="3" spans="1:62" x14ac:dyDescent="0.2">
      <c r="A3" s="14" t="s">
        <v>48</v>
      </c>
    </row>
    <row r="4" spans="1:62" x14ac:dyDescent="0.2">
      <c r="A4" s="14" t="s">
        <v>49</v>
      </c>
    </row>
    <row r="5" spans="1:62" x14ac:dyDescent="0.2">
      <c r="A5" s="14" t="s">
        <v>50</v>
      </c>
    </row>
    <row r="6" spans="1:62" x14ac:dyDescent="0.2">
      <c r="A6" s="14" t="s">
        <v>51</v>
      </c>
    </row>
    <row r="7" spans="1:62" x14ac:dyDescent="0.2">
      <c r="A7" s="14" t="s">
        <v>52</v>
      </c>
    </row>
    <row r="8" spans="1:62" x14ac:dyDescent="0.2">
      <c r="A8" s="14" t="s">
        <v>53</v>
      </c>
    </row>
    <row r="9" spans="1:62" x14ac:dyDescent="0.2">
      <c r="A9" s="14" t="s">
        <v>54</v>
      </c>
    </row>
    <row r="10" spans="1:62" x14ac:dyDescent="0.2">
      <c r="A10" s="14" t="s">
        <v>55</v>
      </c>
    </row>
    <row r="11" spans="1:62" x14ac:dyDescent="0.2">
      <c r="A11" s="14" t="s">
        <v>56</v>
      </c>
    </row>
    <row r="12" spans="1:62" x14ac:dyDescent="0.2">
      <c r="A12" s="14" t="s">
        <v>57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94F8A-0881-2C45-9025-DFCB379B2E79}">
  <sheetPr codeName="Sheet5"/>
  <dimension ref="A1:BJ12"/>
  <sheetViews>
    <sheetView zoomScale="125" workbookViewId="0">
      <selection activeCell="B4" sqref="B4"/>
    </sheetView>
  </sheetViews>
  <sheetFormatPr baseColWidth="10" defaultRowHeight="16" x14ac:dyDescent="0.2"/>
  <cols>
    <col min="1" max="1" width="24.5" customWidth="1"/>
  </cols>
  <sheetData>
    <row r="1" spans="1:62" s="25" customFormat="1" x14ac:dyDescent="0.2">
      <c r="A1" s="30" t="s">
        <v>0</v>
      </c>
      <c r="B1" s="24">
        <v>46033</v>
      </c>
      <c r="C1" s="25">
        <v>46064</v>
      </c>
      <c r="D1" s="25">
        <v>46092</v>
      </c>
      <c r="E1" s="25">
        <v>46123</v>
      </c>
      <c r="F1" s="25">
        <v>46153</v>
      </c>
      <c r="G1" s="25">
        <v>46184</v>
      </c>
      <c r="H1" s="24">
        <v>46214</v>
      </c>
      <c r="I1" s="24">
        <v>46245</v>
      </c>
      <c r="J1" s="25">
        <v>46276</v>
      </c>
      <c r="K1" s="25">
        <v>46306</v>
      </c>
      <c r="L1" s="25">
        <v>46337</v>
      </c>
      <c r="M1" s="25">
        <v>46367</v>
      </c>
      <c r="N1" s="25" t="s">
        <v>23</v>
      </c>
      <c r="O1" s="24" t="s">
        <v>24</v>
      </c>
      <c r="P1" s="24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5" t="s">
        <v>30</v>
      </c>
      <c r="V1" s="24" t="s">
        <v>31</v>
      </c>
      <c r="W1" s="24" t="s">
        <v>32</v>
      </c>
      <c r="X1" s="25" t="s">
        <v>33</v>
      </c>
      <c r="Y1" s="25" t="s">
        <v>34</v>
      </c>
      <c r="Z1" s="25" t="s">
        <v>35</v>
      </c>
      <c r="AA1" s="25" t="s">
        <v>36</v>
      </c>
      <c r="AB1" s="25" t="s">
        <v>37</v>
      </c>
      <c r="AC1" s="24" t="s">
        <v>38</v>
      </c>
      <c r="AD1" s="24" t="s">
        <v>39</v>
      </c>
      <c r="AE1" s="25" t="s">
        <v>40</v>
      </c>
      <c r="AF1" s="25">
        <v>46034</v>
      </c>
      <c r="AG1" s="25">
        <v>46065</v>
      </c>
      <c r="AH1" s="25">
        <v>46093</v>
      </c>
      <c r="AI1" s="25">
        <v>46124</v>
      </c>
      <c r="AJ1" s="24">
        <v>46154</v>
      </c>
      <c r="AK1" s="24">
        <v>46185</v>
      </c>
      <c r="AL1" s="25">
        <v>46215</v>
      </c>
      <c r="AM1" s="25">
        <v>46246</v>
      </c>
      <c r="AN1" s="25">
        <v>46277</v>
      </c>
      <c r="AO1" s="25">
        <v>46307</v>
      </c>
      <c r="AP1" s="25">
        <v>46338</v>
      </c>
      <c r="AQ1" s="24">
        <v>46368</v>
      </c>
      <c r="AR1" s="24" t="s">
        <v>66</v>
      </c>
      <c r="AS1" s="25" t="s">
        <v>67</v>
      </c>
      <c r="AT1" s="25" t="s">
        <v>68</v>
      </c>
      <c r="AU1" s="25" t="s">
        <v>69</v>
      </c>
      <c r="AV1" s="25" t="s">
        <v>70</v>
      </c>
      <c r="AW1" s="25" t="s">
        <v>71</v>
      </c>
      <c r="AX1" s="24" t="s">
        <v>72</v>
      </c>
      <c r="AY1" s="24" t="s">
        <v>73</v>
      </c>
      <c r="AZ1" s="25" t="s">
        <v>74</v>
      </c>
      <c r="BA1" s="25" t="s">
        <v>75</v>
      </c>
      <c r="BB1" s="25" t="s">
        <v>76</v>
      </c>
      <c r="BC1" s="25" t="s">
        <v>77</v>
      </c>
      <c r="BD1" s="25" t="s">
        <v>78</v>
      </c>
      <c r="BE1" s="24" t="s">
        <v>79</v>
      </c>
      <c r="BF1" s="24" t="s">
        <v>80</v>
      </c>
      <c r="BG1" s="25" t="s">
        <v>81</v>
      </c>
      <c r="BH1" s="25" t="s">
        <v>82</v>
      </c>
      <c r="BI1" s="25" t="s">
        <v>83</v>
      </c>
      <c r="BJ1" s="25" t="s">
        <v>84</v>
      </c>
    </row>
    <row r="2" spans="1:62" x14ac:dyDescent="0.2">
      <c r="A2" s="14" t="s">
        <v>47</v>
      </c>
    </row>
    <row r="3" spans="1:62" x14ac:dyDescent="0.2">
      <c r="A3" s="14" t="s">
        <v>48</v>
      </c>
    </row>
    <row r="4" spans="1:62" x14ac:dyDescent="0.2">
      <c r="A4" s="14" t="s">
        <v>49</v>
      </c>
    </row>
    <row r="5" spans="1:62" x14ac:dyDescent="0.2">
      <c r="A5" s="14" t="s">
        <v>50</v>
      </c>
    </row>
    <row r="6" spans="1:62" x14ac:dyDescent="0.2">
      <c r="A6" s="14" t="s">
        <v>51</v>
      </c>
    </row>
    <row r="7" spans="1:62" x14ac:dyDescent="0.2">
      <c r="A7" s="14" t="s">
        <v>52</v>
      </c>
    </row>
    <row r="8" spans="1:62" x14ac:dyDescent="0.2">
      <c r="A8" s="14" t="s">
        <v>53</v>
      </c>
    </row>
    <row r="9" spans="1:62" x14ac:dyDescent="0.2">
      <c r="A9" s="14" t="s">
        <v>54</v>
      </c>
    </row>
    <row r="10" spans="1:62" x14ac:dyDescent="0.2">
      <c r="A10" s="14" t="s">
        <v>55</v>
      </c>
    </row>
    <row r="11" spans="1:62" x14ac:dyDescent="0.2">
      <c r="A11" s="14" t="s">
        <v>56</v>
      </c>
    </row>
    <row r="12" spans="1:62" x14ac:dyDescent="0.2">
      <c r="A12" s="14" t="s">
        <v>57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DF3-4EE4-574A-9AD7-D44223B44C2A}">
  <sheetPr codeName="Sheet6"/>
  <dimension ref="A1:BJ12"/>
  <sheetViews>
    <sheetView zoomScale="115" zoomScaleNormal="115" workbookViewId="0">
      <selection activeCell="B2" sqref="B2:B8"/>
    </sheetView>
  </sheetViews>
  <sheetFormatPr baseColWidth="10" defaultRowHeight="16" x14ac:dyDescent="0.2"/>
  <sheetData>
    <row r="1" spans="1:62" s="25" customFormat="1" x14ac:dyDescent="0.2">
      <c r="A1" s="30" t="s">
        <v>3</v>
      </c>
      <c r="B1" s="24">
        <v>46033</v>
      </c>
      <c r="C1" s="25">
        <v>46064</v>
      </c>
      <c r="D1" s="25">
        <v>46092</v>
      </c>
      <c r="E1" s="25">
        <v>46123</v>
      </c>
      <c r="F1" s="25">
        <v>46153</v>
      </c>
      <c r="G1" s="25">
        <v>46184</v>
      </c>
      <c r="H1" s="24">
        <v>46214</v>
      </c>
      <c r="I1" s="24">
        <v>46245</v>
      </c>
      <c r="J1" s="25">
        <v>46276</v>
      </c>
      <c r="K1" s="25">
        <v>46306</v>
      </c>
      <c r="L1" s="25">
        <v>46337</v>
      </c>
      <c r="M1" s="25">
        <v>46367</v>
      </c>
      <c r="N1" s="25" t="s">
        <v>23</v>
      </c>
      <c r="O1" s="24" t="s">
        <v>24</v>
      </c>
      <c r="P1" s="24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5" t="s">
        <v>30</v>
      </c>
      <c r="V1" s="24" t="s">
        <v>31</v>
      </c>
      <c r="W1" s="24" t="s">
        <v>32</v>
      </c>
      <c r="X1" s="25" t="s">
        <v>33</v>
      </c>
      <c r="Y1" s="25" t="s">
        <v>34</v>
      </c>
      <c r="Z1" s="25" t="s">
        <v>35</v>
      </c>
      <c r="AA1" s="25" t="s">
        <v>36</v>
      </c>
      <c r="AB1" s="25" t="s">
        <v>37</v>
      </c>
      <c r="AC1" s="24" t="s">
        <v>38</v>
      </c>
      <c r="AD1" s="24" t="s">
        <v>39</v>
      </c>
      <c r="AE1" s="25" t="s">
        <v>40</v>
      </c>
      <c r="AF1" s="25">
        <v>46034</v>
      </c>
      <c r="AG1" s="25">
        <v>46065</v>
      </c>
      <c r="AH1" s="25">
        <v>46093</v>
      </c>
      <c r="AI1" s="25">
        <v>46124</v>
      </c>
      <c r="AJ1" s="24">
        <v>46154</v>
      </c>
      <c r="AK1" s="24">
        <v>46185</v>
      </c>
      <c r="AL1" s="25">
        <v>46215</v>
      </c>
      <c r="AM1" s="25">
        <v>46246</v>
      </c>
      <c r="AN1" s="25">
        <v>46277</v>
      </c>
      <c r="AO1" s="25">
        <v>46307</v>
      </c>
      <c r="AP1" s="25">
        <v>46338</v>
      </c>
      <c r="AQ1" s="24">
        <v>46368</v>
      </c>
      <c r="AR1" s="24" t="s">
        <v>66</v>
      </c>
      <c r="AS1" s="25" t="s">
        <v>67</v>
      </c>
      <c r="AT1" s="25" t="s">
        <v>68</v>
      </c>
      <c r="AU1" s="25" t="s">
        <v>69</v>
      </c>
      <c r="AV1" s="25" t="s">
        <v>70</v>
      </c>
      <c r="AW1" s="25" t="s">
        <v>71</v>
      </c>
      <c r="AX1" s="24" t="s">
        <v>72</v>
      </c>
      <c r="AY1" s="24" t="s">
        <v>73</v>
      </c>
      <c r="AZ1" s="25" t="s">
        <v>74</v>
      </c>
      <c r="BA1" s="25" t="s">
        <v>75</v>
      </c>
      <c r="BB1" s="25" t="s">
        <v>76</v>
      </c>
      <c r="BC1" s="25" t="s">
        <v>77</v>
      </c>
      <c r="BD1" s="25" t="s">
        <v>78</v>
      </c>
      <c r="BE1" s="24" t="s">
        <v>79</v>
      </c>
      <c r="BF1" s="24" t="s">
        <v>80</v>
      </c>
      <c r="BG1" s="25" t="s">
        <v>81</v>
      </c>
      <c r="BH1" s="25" t="s">
        <v>82</v>
      </c>
      <c r="BI1" s="25" t="s">
        <v>83</v>
      </c>
      <c r="BJ1" s="25" t="s">
        <v>84</v>
      </c>
    </row>
    <row r="2" spans="1:62" x14ac:dyDescent="0.2">
      <c r="A2" s="14" t="s">
        <v>8</v>
      </c>
      <c r="B2" s="15">
        <v>0</v>
      </c>
      <c r="C2">
        <v>3</v>
      </c>
      <c r="D2">
        <v>2</v>
      </c>
      <c r="E2">
        <v>3</v>
      </c>
      <c r="F2">
        <v>3</v>
      </c>
      <c r="G2">
        <v>3</v>
      </c>
      <c r="H2" s="15">
        <v>0</v>
      </c>
      <c r="I2" s="15">
        <v>0</v>
      </c>
      <c r="J2">
        <v>3</v>
      </c>
      <c r="K2">
        <v>3</v>
      </c>
      <c r="L2">
        <v>3</v>
      </c>
      <c r="M2">
        <v>3</v>
      </c>
      <c r="N2">
        <v>3</v>
      </c>
      <c r="O2" s="15">
        <v>0</v>
      </c>
      <c r="P2" s="15">
        <v>0</v>
      </c>
      <c r="Q2">
        <v>3</v>
      </c>
      <c r="R2">
        <v>3</v>
      </c>
      <c r="S2">
        <v>3</v>
      </c>
      <c r="T2">
        <v>3</v>
      </c>
      <c r="U2">
        <v>3</v>
      </c>
      <c r="V2" s="15">
        <v>0</v>
      </c>
      <c r="W2" s="15">
        <v>0</v>
      </c>
      <c r="X2">
        <v>3</v>
      </c>
      <c r="Y2">
        <v>3</v>
      </c>
      <c r="Z2">
        <v>3</v>
      </c>
      <c r="AA2">
        <v>3</v>
      </c>
      <c r="AB2">
        <v>3</v>
      </c>
      <c r="AC2" s="15">
        <v>0</v>
      </c>
      <c r="AD2" s="15">
        <v>0</v>
      </c>
      <c r="AE2">
        <v>3</v>
      </c>
      <c r="AF2">
        <v>3</v>
      </c>
      <c r="AG2">
        <v>3</v>
      </c>
      <c r="AH2">
        <v>3</v>
      </c>
      <c r="AI2">
        <v>3</v>
      </c>
      <c r="AJ2" s="15">
        <v>0</v>
      </c>
      <c r="AK2" s="15">
        <v>0</v>
      </c>
      <c r="AL2">
        <v>3</v>
      </c>
      <c r="AM2">
        <v>3</v>
      </c>
      <c r="AN2">
        <v>3</v>
      </c>
      <c r="AO2">
        <v>3</v>
      </c>
      <c r="AP2">
        <v>3</v>
      </c>
      <c r="AQ2" s="15">
        <v>0</v>
      </c>
      <c r="AR2" s="15">
        <v>0</v>
      </c>
      <c r="AS2">
        <v>3</v>
      </c>
      <c r="AT2">
        <v>3</v>
      </c>
      <c r="AU2">
        <v>3</v>
      </c>
      <c r="AV2">
        <v>3</v>
      </c>
      <c r="AW2">
        <v>3</v>
      </c>
      <c r="AX2" s="15">
        <v>0</v>
      </c>
      <c r="AY2" s="15">
        <v>0</v>
      </c>
      <c r="AZ2">
        <v>3</v>
      </c>
      <c r="BA2">
        <v>3</v>
      </c>
      <c r="BB2">
        <v>3</v>
      </c>
      <c r="BC2">
        <v>3</v>
      </c>
      <c r="BD2">
        <v>3</v>
      </c>
      <c r="BE2" s="15">
        <v>0</v>
      </c>
      <c r="BF2" s="15">
        <v>0</v>
      </c>
      <c r="BG2">
        <v>3</v>
      </c>
      <c r="BH2">
        <v>3</v>
      </c>
      <c r="BI2">
        <v>3</v>
      </c>
      <c r="BJ2">
        <v>3</v>
      </c>
    </row>
    <row r="3" spans="1:62" x14ac:dyDescent="0.2">
      <c r="A3" s="14" t="s">
        <v>11</v>
      </c>
      <c r="B3" s="15">
        <v>0</v>
      </c>
      <c r="C3">
        <v>2</v>
      </c>
      <c r="D3">
        <v>1</v>
      </c>
      <c r="E3">
        <v>2</v>
      </c>
      <c r="F3">
        <v>2</v>
      </c>
      <c r="G3">
        <v>2</v>
      </c>
      <c r="H3" s="15">
        <v>0</v>
      </c>
      <c r="I3" s="15">
        <v>0</v>
      </c>
      <c r="J3">
        <v>2</v>
      </c>
      <c r="K3">
        <v>2</v>
      </c>
      <c r="L3">
        <v>2</v>
      </c>
      <c r="M3">
        <v>2</v>
      </c>
      <c r="N3">
        <v>2</v>
      </c>
      <c r="O3" s="15">
        <v>0</v>
      </c>
      <c r="P3" s="15">
        <v>0</v>
      </c>
      <c r="Q3">
        <v>2</v>
      </c>
      <c r="R3">
        <v>2</v>
      </c>
      <c r="S3">
        <v>2</v>
      </c>
      <c r="T3">
        <v>2</v>
      </c>
      <c r="U3">
        <v>2</v>
      </c>
      <c r="V3" s="15">
        <v>0</v>
      </c>
      <c r="W3" s="15">
        <v>0</v>
      </c>
      <c r="X3">
        <v>2</v>
      </c>
      <c r="Y3">
        <v>2</v>
      </c>
      <c r="Z3">
        <v>2</v>
      </c>
      <c r="AA3">
        <v>2</v>
      </c>
      <c r="AB3">
        <v>2</v>
      </c>
      <c r="AC3" s="15">
        <v>0</v>
      </c>
      <c r="AD3" s="15">
        <v>0</v>
      </c>
      <c r="AE3">
        <v>2</v>
      </c>
      <c r="AF3">
        <v>2</v>
      </c>
      <c r="AG3">
        <v>2</v>
      </c>
      <c r="AH3">
        <v>2</v>
      </c>
      <c r="AI3">
        <v>2</v>
      </c>
      <c r="AJ3" s="15">
        <v>0</v>
      </c>
      <c r="AK3" s="15">
        <v>0</v>
      </c>
      <c r="AL3">
        <v>2</v>
      </c>
      <c r="AM3">
        <v>2</v>
      </c>
      <c r="AN3">
        <v>2</v>
      </c>
      <c r="AO3">
        <v>2</v>
      </c>
      <c r="AP3">
        <v>2</v>
      </c>
      <c r="AQ3" s="15">
        <v>0</v>
      </c>
      <c r="AR3" s="15">
        <v>0</v>
      </c>
      <c r="AS3">
        <v>2</v>
      </c>
      <c r="AT3">
        <v>2</v>
      </c>
      <c r="AU3">
        <v>2</v>
      </c>
      <c r="AV3">
        <v>2</v>
      </c>
      <c r="AW3">
        <v>2</v>
      </c>
      <c r="AX3" s="15">
        <v>0</v>
      </c>
      <c r="AY3" s="15">
        <v>0</v>
      </c>
      <c r="AZ3">
        <v>2</v>
      </c>
      <c r="BA3">
        <v>2</v>
      </c>
      <c r="BB3">
        <v>2</v>
      </c>
      <c r="BC3">
        <v>2</v>
      </c>
      <c r="BD3">
        <v>2</v>
      </c>
      <c r="BE3" s="15">
        <v>0</v>
      </c>
      <c r="BF3" s="15">
        <v>0</v>
      </c>
      <c r="BG3">
        <v>2</v>
      </c>
      <c r="BH3">
        <v>2</v>
      </c>
      <c r="BI3">
        <v>2</v>
      </c>
      <c r="BJ3">
        <v>2</v>
      </c>
    </row>
    <row r="4" spans="1:62" x14ac:dyDescent="0.2">
      <c r="A4" s="14" t="s">
        <v>10</v>
      </c>
      <c r="B4" s="15">
        <v>0</v>
      </c>
      <c r="C4">
        <v>2</v>
      </c>
      <c r="D4">
        <v>2</v>
      </c>
      <c r="E4">
        <v>2</v>
      </c>
      <c r="F4">
        <v>2</v>
      </c>
      <c r="G4">
        <v>2</v>
      </c>
      <c r="H4" s="15">
        <v>0</v>
      </c>
      <c r="I4" s="15">
        <v>0</v>
      </c>
      <c r="J4">
        <v>2</v>
      </c>
      <c r="K4">
        <v>2</v>
      </c>
      <c r="L4">
        <v>2</v>
      </c>
      <c r="M4">
        <v>2</v>
      </c>
      <c r="N4">
        <v>2</v>
      </c>
      <c r="O4" s="15">
        <v>0</v>
      </c>
      <c r="P4" s="15">
        <v>0</v>
      </c>
      <c r="Q4">
        <v>2</v>
      </c>
      <c r="R4">
        <v>2</v>
      </c>
      <c r="S4">
        <v>2</v>
      </c>
      <c r="T4">
        <v>2</v>
      </c>
      <c r="U4">
        <v>2</v>
      </c>
      <c r="V4" s="15">
        <v>0</v>
      </c>
      <c r="W4" s="15">
        <v>0</v>
      </c>
      <c r="X4">
        <v>2</v>
      </c>
      <c r="Y4">
        <v>2</v>
      </c>
      <c r="Z4">
        <v>2</v>
      </c>
      <c r="AA4">
        <v>2</v>
      </c>
      <c r="AB4">
        <v>2</v>
      </c>
      <c r="AC4" s="15">
        <v>0</v>
      </c>
      <c r="AD4" s="15">
        <v>0</v>
      </c>
      <c r="AE4">
        <v>2</v>
      </c>
      <c r="AF4">
        <v>2</v>
      </c>
      <c r="AG4">
        <v>2</v>
      </c>
      <c r="AH4">
        <v>2</v>
      </c>
      <c r="AI4">
        <v>2</v>
      </c>
      <c r="AJ4" s="15">
        <v>0</v>
      </c>
      <c r="AK4" s="15">
        <v>0</v>
      </c>
      <c r="AL4">
        <v>2</v>
      </c>
      <c r="AM4">
        <v>2</v>
      </c>
      <c r="AN4">
        <v>2</v>
      </c>
      <c r="AO4">
        <v>2</v>
      </c>
      <c r="AP4">
        <v>2</v>
      </c>
      <c r="AQ4" s="15">
        <v>0</v>
      </c>
      <c r="AR4" s="15">
        <v>0</v>
      </c>
      <c r="AS4">
        <v>2</v>
      </c>
      <c r="AT4">
        <v>2</v>
      </c>
      <c r="AU4">
        <v>2</v>
      </c>
      <c r="AV4">
        <v>2</v>
      </c>
      <c r="AW4">
        <v>2</v>
      </c>
      <c r="AX4" s="15">
        <v>0</v>
      </c>
      <c r="AY4" s="15">
        <v>0</v>
      </c>
      <c r="AZ4">
        <v>2</v>
      </c>
      <c r="BA4">
        <v>2</v>
      </c>
      <c r="BB4">
        <v>2</v>
      </c>
      <c r="BC4">
        <v>2</v>
      </c>
      <c r="BD4">
        <v>2</v>
      </c>
      <c r="BE4" s="15">
        <v>0</v>
      </c>
      <c r="BF4" s="15">
        <v>0</v>
      </c>
      <c r="BG4">
        <v>2</v>
      </c>
      <c r="BH4">
        <v>2</v>
      </c>
      <c r="BI4">
        <v>2</v>
      </c>
      <c r="BJ4">
        <v>2</v>
      </c>
    </row>
    <row r="5" spans="1:62" x14ac:dyDescent="0.2">
      <c r="A5" s="14" t="s">
        <v>12</v>
      </c>
      <c r="B5" s="15">
        <v>0</v>
      </c>
      <c r="C5">
        <v>1</v>
      </c>
      <c r="D5">
        <v>1</v>
      </c>
      <c r="E5">
        <v>1</v>
      </c>
      <c r="F5">
        <v>1</v>
      </c>
      <c r="G5">
        <v>1</v>
      </c>
      <c r="H5" s="15">
        <v>0</v>
      </c>
      <c r="I5" s="15">
        <v>0</v>
      </c>
      <c r="J5">
        <v>1</v>
      </c>
      <c r="K5">
        <v>1</v>
      </c>
      <c r="L5">
        <v>1</v>
      </c>
      <c r="M5">
        <v>1</v>
      </c>
      <c r="N5">
        <v>1</v>
      </c>
      <c r="O5" s="15">
        <v>0</v>
      </c>
      <c r="P5" s="15">
        <v>0</v>
      </c>
      <c r="Q5">
        <v>1</v>
      </c>
      <c r="R5">
        <v>1</v>
      </c>
      <c r="S5">
        <v>1</v>
      </c>
      <c r="T5">
        <v>1</v>
      </c>
      <c r="U5">
        <v>1</v>
      </c>
      <c r="V5" s="15">
        <v>0</v>
      </c>
      <c r="W5" s="15">
        <v>0</v>
      </c>
      <c r="X5">
        <v>1</v>
      </c>
      <c r="Y5">
        <v>1</v>
      </c>
      <c r="Z5">
        <v>1</v>
      </c>
      <c r="AA5">
        <v>1</v>
      </c>
      <c r="AB5">
        <v>1</v>
      </c>
      <c r="AC5" s="15">
        <v>0</v>
      </c>
      <c r="AD5" s="15">
        <v>0</v>
      </c>
      <c r="AE5">
        <v>1</v>
      </c>
      <c r="AF5">
        <v>1</v>
      </c>
      <c r="AG5">
        <v>1</v>
      </c>
      <c r="AH5">
        <v>1</v>
      </c>
      <c r="AI5">
        <v>1</v>
      </c>
      <c r="AJ5" s="15">
        <v>0</v>
      </c>
      <c r="AK5" s="15">
        <v>0</v>
      </c>
      <c r="AL5">
        <v>1</v>
      </c>
      <c r="AM5">
        <v>1</v>
      </c>
      <c r="AN5">
        <v>1</v>
      </c>
      <c r="AO5">
        <v>1</v>
      </c>
      <c r="AP5">
        <v>1</v>
      </c>
      <c r="AQ5" s="15">
        <v>0</v>
      </c>
      <c r="AR5" s="15">
        <v>0</v>
      </c>
      <c r="AS5">
        <v>1</v>
      </c>
      <c r="AT5">
        <v>1</v>
      </c>
      <c r="AU5">
        <v>1</v>
      </c>
      <c r="AV5">
        <v>1</v>
      </c>
      <c r="AW5">
        <v>1</v>
      </c>
      <c r="AX5" s="15">
        <v>0</v>
      </c>
      <c r="AY5" s="15">
        <v>0</v>
      </c>
      <c r="AZ5">
        <v>1</v>
      </c>
      <c r="BA5">
        <v>1</v>
      </c>
      <c r="BB5">
        <v>1</v>
      </c>
      <c r="BC5">
        <v>1</v>
      </c>
      <c r="BD5">
        <v>1</v>
      </c>
      <c r="BE5" s="15">
        <v>0</v>
      </c>
      <c r="BF5" s="15">
        <v>0</v>
      </c>
      <c r="BG5">
        <v>1</v>
      </c>
      <c r="BH5">
        <v>1</v>
      </c>
      <c r="BI5">
        <v>1</v>
      </c>
      <c r="BJ5">
        <v>1</v>
      </c>
    </row>
    <row r="6" spans="1:62" x14ac:dyDescent="0.2">
      <c r="A6" s="14" t="s">
        <v>9</v>
      </c>
      <c r="B6" s="15">
        <v>0</v>
      </c>
      <c r="C6">
        <v>1</v>
      </c>
      <c r="D6">
        <v>1</v>
      </c>
      <c r="E6">
        <v>1</v>
      </c>
      <c r="F6">
        <v>1</v>
      </c>
      <c r="G6">
        <v>1</v>
      </c>
      <c r="H6" s="15">
        <v>0</v>
      </c>
      <c r="I6" s="15">
        <v>0</v>
      </c>
      <c r="J6">
        <v>1</v>
      </c>
      <c r="K6">
        <v>1</v>
      </c>
      <c r="L6">
        <v>1</v>
      </c>
      <c r="M6">
        <v>1</v>
      </c>
      <c r="N6">
        <v>1</v>
      </c>
      <c r="O6" s="15">
        <v>0</v>
      </c>
      <c r="P6" s="15">
        <v>0</v>
      </c>
      <c r="Q6">
        <v>1</v>
      </c>
      <c r="R6">
        <v>1</v>
      </c>
      <c r="S6">
        <v>1</v>
      </c>
      <c r="T6">
        <v>1</v>
      </c>
      <c r="U6">
        <v>1</v>
      </c>
      <c r="V6" s="15">
        <v>0</v>
      </c>
      <c r="W6" s="15">
        <v>0</v>
      </c>
      <c r="X6">
        <v>1</v>
      </c>
      <c r="Y6">
        <v>1</v>
      </c>
      <c r="Z6">
        <v>1</v>
      </c>
      <c r="AA6">
        <v>1</v>
      </c>
      <c r="AB6">
        <v>1</v>
      </c>
      <c r="AC6" s="15">
        <v>0</v>
      </c>
      <c r="AD6" s="15">
        <v>0</v>
      </c>
      <c r="AE6">
        <v>1</v>
      </c>
      <c r="AF6">
        <v>1</v>
      </c>
      <c r="AG6">
        <v>1</v>
      </c>
      <c r="AH6">
        <v>1</v>
      </c>
      <c r="AI6">
        <v>1</v>
      </c>
      <c r="AJ6" s="15">
        <v>0</v>
      </c>
      <c r="AK6" s="15">
        <v>0</v>
      </c>
      <c r="AL6">
        <v>1</v>
      </c>
      <c r="AM6">
        <v>1</v>
      </c>
      <c r="AN6">
        <v>1</v>
      </c>
      <c r="AO6">
        <v>1</v>
      </c>
      <c r="AP6">
        <v>1</v>
      </c>
      <c r="AQ6" s="15">
        <v>0</v>
      </c>
      <c r="AR6" s="15">
        <v>0</v>
      </c>
      <c r="AS6">
        <v>1</v>
      </c>
      <c r="AT6">
        <v>1</v>
      </c>
      <c r="AU6">
        <v>1</v>
      </c>
      <c r="AV6">
        <v>1</v>
      </c>
      <c r="AW6">
        <v>1</v>
      </c>
      <c r="AX6" s="15">
        <v>0</v>
      </c>
      <c r="AY6" s="15">
        <v>0</v>
      </c>
      <c r="AZ6">
        <v>1</v>
      </c>
      <c r="BA6">
        <v>1</v>
      </c>
      <c r="BB6">
        <v>1</v>
      </c>
      <c r="BC6">
        <v>1</v>
      </c>
      <c r="BD6">
        <v>1</v>
      </c>
      <c r="BE6" s="15">
        <v>0</v>
      </c>
      <c r="BF6" s="15">
        <v>0</v>
      </c>
      <c r="BG6">
        <v>1</v>
      </c>
      <c r="BH6">
        <v>1</v>
      </c>
      <c r="BI6">
        <v>1</v>
      </c>
      <c r="BJ6">
        <v>1</v>
      </c>
    </row>
    <row r="7" spans="1:62" x14ac:dyDescent="0.2">
      <c r="A7" s="14" t="s">
        <v>7</v>
      </c>
      <c r="B7" s="15">
        <v>0</v>
      </c>
      <c r="C7">
        <v>1</v>
      </c>
      <c r="D7">
        <v>1</v>
      </c>
      <c r="E7">
        <v>1</v>
      </c>
      <c r="F7">
        <v>1</v>
      </c>
      <c r="G7">
        <v>1</v>
      </c>
      <c r="H7" s="15">
        <v>0</v>
      </c>
      <c r="I7" s="15">
        <v>0</v>
      </c>
      <c r="J7">
        <v>1</v>
      </c>
      <c r="K7">
        <v>1</v>
      </c>
      <c r="L7">
        <v>1</v>
      </c>
      <c r="M7">
        <v>1</v>
      </c>
      <c r="N7">
        <v>1</v>
      </c>
      <c r="O7" s="15">
        <v>0</v>
      </c>
      <c r="P7" s="15">
        <v>0</v>
      </c>
      <c r="Q7">
        <v>1</v>
      </c>
      <c r="R7">
        <v>1</v>
      </c>
      <c r="S7">
        <v>1</v>
      </c>
      <c r="T7">
        <v>1</v>
      </c>
      <c r="U7">
        <v>1</v>
      </c>
      <c r="V7" s="15">
        <v>0</v>
      </c>
      <c r="W7" s="15">
        <v>0</v>
      </c>
      <c r="X7">
        <v>1</v>
      </c>
      <c r="Y7">
        <v>1</v>
      </c>
      <c r="Z7">
        <v>1</v>
      </c>
      <c r="AA7">
        <v>1</v>
      </c>
      <c r="AB7">
        <v>1</v>
      </c>
      <c r="AC7" s="15">
        <v>0</v>
      </c>
      <c r="AD7" s="15">
        <v>0</v>
      </c>
      <c r="AE7">
        <v>1</v>
      </c>
      <c r="AF7">
        <v>1</v>
      </c>
      <c r="AG7">
        <v>1</v>
      </c>
      <c r="AH7">
        <v>1</v>
      </c>
      <c r="AI7">
        <v>1</v>
      </c>
      <c r="AJ7" s="15">
        <v>0</v>
      </c>
      <c r="AK7" s="15">
        <v>0</v>
      </c>
      <c r="AL7">
        <v>1</v>
      </c>
      <c r="AM7">
        <v>1</v>
      </c>
      <c r="AN7">
        <v>1</v>
      </c>
      <c r="AO7">
        <v>1</v>
      </c>
      <c r="AP7">
        <v>1</v>
      </c>
      <c r="AQ7" s="15">
        <v>0</v>
      </c>
      <c r="AR7" s="15">
        <v>0</v>
      </c>
      <c r="AS7">
        <v>1</v>
      </c>
      <c r="AT7">
        <v>1</v>
      </c>
      <c r="AU7">
        <v>1</v>
      </c>
      <c r="AV7">
        <v>1</v>
      </c>
      <c r="AW7">
        <v>1</v>
      </c>
      <c r="AX7" s="15">
        <v>0</v>
      </c>
      <c r="AY7" s="15">
        <v>0</v>
      </c>
      <c r="AZ7">
        <v>1</v>
      </c>
      <c r="BA7">
        <v>1</v>
      </c>
      <c r="BB7">
        <v>1</v>
      </c>
      <c r="BC7">
        <v>1</v>
      </c>
      <c r="BD7">
        <v>1</v>
      </c>
      <c r="BE7" s="15">
        <v>0</v>
      </c>
      <c r="BF7" s="15">
        <v>0</v>
      </c>
      <c r="BG7">
        <v>1</v>
      </c>
      <c r="BH7">
        <v>1</v>
      </c>
      <c r="BI7">
        <v>1</v>
      </c>
      <c r="BJ7">
        <v>1</v>
      </c>
    </row>
    <row r="8" spans="1:62" x14ac:dyDescent="0.2">
      <c r="A8" s="14" t="s">
        <v>20</v>
      </c>
      <c r="B8" s="15">
        <v>0</v>
      </c>
      <c r="C8">
        <v>1</v>
      </c>
      <c r="D8">
        <v>1</v>
      </c>
      <c r="E8">
        <v>1</v>
      </c>
      <c r="F8">
        <v>1</v>
      </c>
      <c r="G8">
        <v>1</v>
      </c>
      <c r="H8" s="15">
        <v>0</v>
      </c>
      <c r="I8" s="15">
        <v>0</v>
      </c>
      <c r="J8">
        <v>1</v>
      </c>
      <c r="K8">
        <v>1</v>
      </c>
      <c r="L8">
        <v>1</v>
      </c>
      <c r="M8">
        <v>1</v>
      </c>
      <c r="N8">
        <v>1</v>
      </c>
      <c r="O8" s="15">
        <v>0</v>
      </c>
      <c r="P8" s="15">
        <v>0</v>
      </c>
      <c r="Q8">
        <v>1</v>
      </c>
      <c r="R8">
        <v>1</v>
      </c>
      <c r="S8">
        <v>1</v>
      </c>
      <c r="T8">
        <v>1</v>
      </c>
      <c r="U8">
        <v>1</v>
      </c>
      <c r="V8" s="15">
        <v>0</v>
      </c>
      <c r="W8" s="15">
        <v>0</v>
      </c>
      <c r="X8">
        <v>1</v>
      </c>
      <c r="Y8">
        <v>1</v>
      </c>
      <c r="Z8">
        <v>1</v>
      </c>
      <c r="AA8">
        <v>1</v>
      </c>
      <c r="AB8">
        <v>1</v>
      </c>
      <c r="AC8" s="15">
        <v>0</v>
      </c>
      <c r="AD8" s="15">
        <v>0</v>
      </c>
      <c r="AE8">
        <v>1</v>
      </c>
      <c r="AF8">
        <v>1</v>
      </c>
      <c r="AG8">
        <v>1</v>
      </c>
      <c r="AH8">
        <v>1</v>
      </c>
      <c r="AI8">
        <v>1</v>
      </c>
      <c r="AJ8" s="15">
        <v>0</v>
      </c>
      <c r="AK8" s="15">
        <v>0</v>
      </c>
      <c r="AL8">
        <v>1</v>
      </c>
      <c r="AM8">
        <v>1</v>
      </c>
      <c r="AN8">
        <v>1</v>
      </c>
      <c r="AO8">
        <v>1</v>
      </c>
      <c r="AP8">
        <v>1</v>
      </c>
      <c r="AQ8" s="15">
        <v>0</v>
      </c>
      <c r="AR8" s="15">
        <v>0</v>
      </c>
      <c r="AS8">
        <v>1</v>
      </c>
      <c r="AT8">
        <v>1</v>
      </c>
      <c r="AU8">
        <v>1</v>
      </c>
      <c r="AV8">
        <v>1</v>
      </c>
      <c r="AW8">
        <v>1</v>
      </c>
      <c r="AX8" s="15">
        <v>0</v>
      </c>
      <c r="AY8" s="15">
        <v>0</v>
      </c>
      <c r="AZ8">
        <v>1</v>
      </c>
      <c r="BA8">
        <v>1</v>
      </c>
      <c r="BB8">
        <v>1</v>
      </c>
      <c r="BC8">
        <v>1</v>
      </c>
      <c r="BD8">
        <v>1</v>
      </c>
      <c r="BE8" s="15">
        <v>0</v>
      </c>
      <c r="BF8" s="15">
        <v>0</v>
      </c>
      <c r="BG8">
        <v>1</v>
      </c>
      <c r="BH8">
        <v>1</v>
      </c>
      <c r="BI8">
        <v>1</v>
      </c>
      <c r="BJ8">
        <v>1</v>
      </c>
    </row>
    <row r="9" spans="1:62" x14ac:dyDescent="0.2">
      <c r="A9" s="14"/>
      <c r="B9" s="14"/>
    </row>
    <row r="10" spans="1:62" x14ac:dyDescent="0.2">
      <c r="A10" s="14"/>
    </row>
    <row r="11" spans="1:62" x14ac:dyDescent="0.2">
      <c r="A11" s="14"/>
    </row>
    <row r="12" spans="1:62" x14ac:dyDescent="0.2">
      <c r="A12" s="14"/>
    </row>
  </sheetData>
  <conditionalFormatting sqref="A9:A12 C2:G8">
    <cfRule type="cellIs" dxfId="21" priority="31" operator="equal">
      <formula>"B"</formula>
    </cfRule>
    <cfRule type="cellIs" dxfId="20" priority="32" operator="equal">
      <formula>"L"</formula>
    </cfRule>
  </conditionalFormatting>
  <conditionalFormatting sqref="H2:N8">
    <cfRule type="cellIs" dxfId="19" priority="17" operator="equal">
      <formula>"B"</formula>
    </cfRule>
    <cfRule type="cellIs" dxfId="18" priority="18" operator="equal">
      <formula>"L"</formula>
    </cfRule>
  </conditionalFormatting>
  <conditionalFormatting sqref="O2:U8">
    <cfRule type="cellIs" dxfId="17" priority="15" operator="equal">
      <formula>"B"</formula>
    </cfRule>
    <cfRule type="cellIs" dxfId="16" priority="16" operator="equal">
      <formula>"L"</formula>
    </cfRule>
  </conditionalFormatting>
  <conditionalFormatting sqref="V2:AB8">
    <cfRule type="cellIs" dxfId="15" priority="13" operator="equal">
      <formula>"B"</formula>
    </cfRule>
    <cfRule type="cellIs" dxfId="14" priority="14" operator="equal">
      <formula>"L"</formula>
    </cfRule>
  </conditionalFormatting>
  <conditionalFormatting sqref="AC2:AI8">
    <cfRule type="cellIs" dxfId="13" priority="11" operator="equal">
      <formula>"B"</formula>
    </cfRule>
    <cfRule type="cellIs" dxfId="12" priority="12" operator="equal">
      <formula>"L"</formula>
    </cfRule>
  </conditionalFormatting>
  <conditionalFormatting sqref="AJ2:AP8">
    <cfRule type="cellIs" dxfId="11" priority="9" operator="equal">
      <formula>"B"</formula>
    </cfRule>
    <cfRule type="cellIs" dxfId="10" priority="10" operator="equal">
      <formula>"L"</formula>
    </cfRule>
  </conditionalFormatting>
  <conditionalFormatting sqref="AQ2:AW8">
    <cfRule type="cellIs" dxfId="9" priority="7" operator="equal">
      <formula>"B"</formula>
    </cfRule>
    <cfRule type="cellIs" dxfId="8" priority="8" operator="equal">
      <formula>"L"</formula>
    </cfRule>
  </conditionalFormatting>
  <conditionalFormatting sqref="AX2:BD8">
    <cfRule type="cellIs" dxfId="7" priority="5" operator="equal">
      <formula>"B"</formula>
    </cfRule>
    <cfRule type="cellIs" dxfId="6" priority="6" operator="equal">
      <formula>"L"</formula>
    </cfRule>
  </conditionalFormatting>
  <conditionalFormatting sqref="BE2:BK8">
    <cfRule type="cellIs" dxfId="5" priority="3" operator="equal">
      <formula>"B"</formula>
    </cfRule>
    <cfRule type="cellIs" dxfId="4" priority="4" operator="equal">
      <formula>"L"</formula>
    </cfRule>
  </conditionalFormatting>
  <conditionalFormatting sqref="B2:B8">
    <cfRule type="cellIs" dxfId="1" priority="1" operator="equal">
      <formula>"B"</formula>
    </cfRule>
    <cfRule type="cellIs" dxfId="0" priority="2" operator="equal">
      <formula>"L"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710E6-D78B-B34A-AA29-586A1CC59A95}">
  <sheetPr codeName="Sheet7"/>
  <dimension ref="A1:BM12"/>
  <sheetViews>
    <sheetView zoomScale="75" workbookViewId="0">
      <selection activeCell="N13" sqref="N13"/>
    </sheetView>
  </sheetViews>
  <sheetFormatPr baseColWidth="10" defaultRowHeight="16" x14ac:dyDescent="0.2"/>
  <cols>
    <col min="1" max="1" width="24.5" customWidth="1"/>
  </cols>
  <sheetData>
    <row r="1" spans="1:65" s="25" customFormat="1" x14ac:dyDescent="0.2">
      <c r="A1" s="30"/>
      <c r="B1" s="24">
        <v>46033</v>
      </c>
      <c r="C1" s="25">
        <v>46064</v>
      </c>
      <c r="D1" s="25">
        <v>46092</v>
      </c>
      <c r="E1" s="25">
        <v>46123</v>
      </c>
      <c r="F1" s="25">
        <v>46153</v>
      </c>
      <c r="G1" s="25">
        <v>46184</v>
      </c>
      <c r="H1" s="24">
        <v>46214</v>
      </c>
      <c r="I1" s="24">
        <v>46245</v>
      </c>
      <c r="J1" s="25">
        <v>46276</v>
      </c>
      <c r="K1" s="25">
        <v>46306</v>
      </c>
      <c r="L1" s="25">
        <v>46337</v>
      </c>
      <c r="M1" s="25">
        <v>46367</v>
      </c>
      <c r="N1" s="25" t="s">
        <v>23</v>
      </c>
      <c r="O1" s="24" t="s">
        <v>24</v>
      </c>
      <c r="P1" s="24" t="s">
        <v>25</v>
      </c>
      <c r="Q1" s="25" t="s">
        <v>26</v>
      </c>
      <c r="R1" s="25" t="s">
        <v>27</v>
      </c>
      <c r="S1" s="25" t="s">
        <v>28</v>
      </c>
      <c r="T1" s="25" t="s">
        <v>29</v>
      </c>
      <c r="U1" s="25" t="s">
        <v>30</v>
      </c>
      <c r="V1" s="24" t="s">
        <v>31</v>
      </c>
      <c r="W1" s="24" t="s">
        <v>32</v>
      </c>
      <c r="X1" s="25" t="s">
        <v>33</v>
      </c>
      <c r="Y1" s="25" t="s">
        <v>34</v>
      </c>
      <c r="Z1" s="25" t="s">
        <v>35</v>
      </c>
      <c r="AA1" s="25" t="s">
        <v>36</v>
      </c>
      <c r="AB1" s="25" t="s">
        <v>37</v>
      </c>
      <c r="AC1" s="24" t="s">
        <v>38</v>
      </c>
      <c r="AD1" s="24" t="s">
        <v>39</v>
      </c>
      <c r="AE1" s="25" t="s">
        <v>40</v>
      </c>
      <c r="AF1" s="25">
        <v>46034</v>
      </c>
      <c r="AG1" s="25">
        <v>46065</v>
      </c>
      <c r="AH1" s="25">
        <v>46093</v>
      </c>
      <c r="AI1" s="25">
        <v>46124</v>
      </c>
      <c r="AJ1" s="24">
        <v>46154</v>
      </c>
      <c r="AK1" s="24">
        <v>46185</v>
      </c>
      <c r="AL1" s="25">
        <v>46215</v>
      </c>
      <c r="AM1" s="25">
        <v>46246</v>
      </c>
      <c r="AN1" s="25">
        <v>46277</v>
      </c>
      <c r="AO1" s="25">
        <v>46307</v>
      </c>
      <c r="AP1" s="25">
        <v>46338</v>
      </c>
      <c r="AQ1" s="24">
        <v>46368</v>
      </c>
      <c r="AR1" s="24" t="s">
        <v>66</v>
      </c>
      <c r="AS1" s="25" t="s">
        <v>67</v>
      </c>
      <c r="AT1" s="25" t="s">
        <v>68</v>
      </c>
      <c r="AU1" s="25" t="s">
        <v>69</v>
      </c>
      <c r="AV1" s="25" t="s">
        <v>70</v>
      </c>
      <c r="AW1" s="25" t="s">
        <v>71</v>
      </c>
      <c r="AX1" s="24" t="s">
        <v>72</v>
      </c>
      <c r="AY1" s="24" t="s">
        <v>73</v>
      </c>
      <c r="AZ1" s="25" t="s">
        <v>74</v>
      </c>
      <c r="BA1" s="25" t="s">
        <v>75</v>
      </c>
      <c r="BB1" s="25" t="s">
        <v>76</v>
      </c>
      <c r="BC1" s="25" t="s">
        <v>77</v>
      </c>
      <c r="BD1" s="25" t="s">
        <v>78</v>
      </c>
      <c r="BE1" s="24" t="s">
        <v>79</v>
      </c>
      <c r="BF1" s="24" t="s">
        <v>80</v>
      </c>
      <c r="BG1" s="25" t="s">
        <v>81</v>
      </c>
      <c r="BH1" s="25" t="s">
        <v>82</v>
      </c>
      <c r="BI1" s="25" t="s">
        <v>83</v>
      </c>
      <c r="BJ1" s="25" t="s">
        <v>84</v>
      </c>
    </row>
    <row r="2" spans="1:65" x14ac:dyDescent="0.2">
      <c r="A2" s="14" t="s">
        <v>43</v>
      </c>
      <c r="B2" s="15">
        <v>1</v>
      </c>
      <c r="C2">
        <v>1</v>
      </c>
      <c r="D2">
        <v>1</v>
      </c>
      <c r="E2">
        <v>1</v>
      </c>
      <c r="F2">
        <v>1</v>
      </c>
      <c r="G2">
        <v>2</v>
      </c>
      <c r="H2" s="15">
        <v>3</v>
      </c>
      <c r="I2" s="15">
        <v>1</v>
      </c>
      <c r="J2">
        <v>1</v>
      </c>
      <c r="K2">
        <v>1</v>
      </c>
      <c r="L2">
        <v>1</v>
      </c>
      <c r="M2">
        <v>1</v>
      </c>
      <c r="N2">
        <v>2</v>
      </c>
      <c r="O2" s="15">
        <v>3</v>
      </c>
      <c r="P2" s="15">
        <v>1</v>
      </c>
      <c r="Q2">
        <v>1</v>
      </c>
      <c r="R2">
        <v>1</v>
      </c>
      <c r="S2">
        <v>1</v>
      </c>
      <c r="T2">
        <v>1</v>
      </c>
      <c r="U2">
        <v>2</v>
      </c>
      <c r="V2" s="15">
        <v>3</v>
      </c>
      <c r="W2" s="15">
        <v>1</v>
      </c>
      <c r="X2">
        <v>1</v>
      </c>
      <c r="Y2">
        <v>1</v>
      </c>
      <c r="Z2">
        <v>1</v>
      </c>
      <c r="AA2">
        <v>1</v>
      </c>
      <c r="AB2">
        <v>2</v>
      </c>
      <c r="AC2" s="15">
        <v>3</v>
      </c>
      <c r="AD2" s="15">
        <v>1</v>
      </c>
      <c r="AE2">
        <v>1</v>
      </c>
      <c r="AF2">
        <v>1</v>
      </c>
      <c r="AG2">
        <v>1</v>
      </c>
      <c r="AH2">
        <v>1</v>
      </c>
      <c r="AI2">
        <v>2</v>
      </c>
      <c r="AJ2" s="15">
        <v>3</v>
      </c>
      <c r="AK2" s="15">
        <v>1</v>
      </c>
      <c r="AL2">
        <v>1</v>
      </c>
      <c r="AM2">
        <v>1</v>
      </c>
      <c r="AN2">
        <v>1</v>
      </c>
      <c r="AO2">
        <v>1</v>
      </c>
      <c r="AP2">
        <v>2</v>
      </c>
      <c r="AQ2" s="15">
        <v>3</v>
      </c>
      <c r="AR2" s="15">
        <v>1</v>
      </c>
      <c r="AS2">
        <v>1</v>
      </c>
      <c r="AT2">
        <v>1</v>
      </c>
      <c r="AU2">
        <v>1</v>
      </c>
      <c r="AV2">
        <v>1</v>
      </c>
      <c r="AW2">
        <v>2</v>
      </c>
      <c r="AX2" s="15">
        <v>3</v>
      </c>
      <c r="AY2" s="15">
        <v>1</v>
      </c>
      <c r="AZ2">
        <v>1</v>
      </c>
      <c r="BA2">
        <v>1</v>
      </c>
      <c r="BB2">
        <v>1</v>
      </c>
      <c r="BC2">
        <v>1</v>
      </c>
      <c r="BD2">
        <v>2</v>
      </c>
      <c r="BE2" s="15">
        <v>3</v>
      </c>
      <c r="BF2" s="15">
        <v>1</v>
      </c>
      <c r="BG2">
        <v>1</v>
      </c>
      <c r="BH2">
        <v>1</v>
      </c>
      <c r="BI2">
        <v>1</v>
      </c>
      <c r="BJ2">
        <v>1</v>
      </c>
      <c r="BL2" s="15"/>
      <c r="BM2" s="15"/>
    </row>
    <row r="3" spans="1:65" x14ac:dyDescent="0.2">
      <c r="A3" s="14"/>
    </row>
    <row r="4" spans="1:65" x14ac:dyDescent="0.2">
      <c r="A4" s="14"/>
    </row>
    <row r="5" spans="1:65" x14ac:dyDescent="0.2">
      <c r="A5" s="14"/>
    </row>
    <row r="6" spans="1:65" x14ac:dyDescent="0.2">
      <c r="A6" s="14"/>
    </row>
    <row r="7" spans="1:65" x14ac:dyDescent="0.2">
      <c r="A7" s="14"/>
    </row>
    <row r="8" spans="1:65" x14ac:dyDescent="0.2">
      <c r="A8" s="14"/>
    </row>
    <row r="9" spans="1:65" x14ac:dyDescent="0.2">
      <c r="A9" s="14"/>
    </row>
    <row r="10" spans="1:65" x14ac:dyDescent="0.2">
      <c r="A10" s="14"/>
    </row>
    <row r="11" spans="1:65" x14ac:dyDescent="0.2">
      <c r="A11" s="14"/>
    </row>
    <row r="12" spans="1:65" x14ac:dyDescent="0.2">
      <c r="A12" s="14"/>
    </row>
  </sheetData>
  <conditionalFormatting sqref="A9:A12 B2:BR2">
    <cfRule type="cellIs" dxfId="3" priority="5" operator="equal">
      <formula>"B"</formula>
    </cfRule>
    <cfRule type="cellIs" dxfId="2" priority="6" operator="equal">
      <formula>"L"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output_roster</vt:lpstr>
      <vt:lpstr>input_general_parameters</vt:lpstr>
      <vt:lpstr>input_leaves_blockouts</vt:lpstr>
      <vt:lpstr>input_teams</vt:lpstr>
      <vt:lpstr>input_calls</vt:lpstr>
      <vt:lpstr>input_team_requirements</vt:lpstr>
      <vt:lpstr>input_call_requirements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Xuyuan Tang</dc:creator>
  <cp:lastModifiedBy>Xuyuan Tang</cp:lastModifiedBy>
  <cp:lastPrinted>2026-09-21T06:19:05Z</cp:lastPrinted>
  <dcterms:created xsi:type="dcterms:W3CDTF">2026-09-21T06:19:58Z</dcterms:created>
  <dcterms:modified xsi:type="dcterms:W3CDTF">2026-10-08T14:37:51Z</dcterms:modified>
</cp:coreProperties>
</file>