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3837F0C8-1B37-3342-AEBF-7DA084688740}" xr6:coauthVersionLast="47" xr6:coauthVersionMax="47" xr10:uidLastSave="{00000000-0000-0000-0000-000000000000}"/>
  <bookViews>
    <workbookView xWindow="0" yWindow="600" windowWidth="28800" windowHeight="17400" activeTab="3" xr2:uid="{21295E27-03F2-7648-A894-650B76265762}"/>
  </bookViews>
  <sheets>
    <sheet name="output_roster" sheetId="1" r:id="rId1"/>
    <sheet name="input_leaves_blockouts" sheetId="5" r:id="rId2"/>
    <sheet name="input_general_parameters" sheetId="14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<sst xmlns="http://schemas.openxmlformats.org/spreadsheetml/2006/main" count="989" uniqueCount="126">
  <si>
    <t>Staff</t>
  </si>
  <si>
    <t>post_call_cover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</si>
  <si>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</si>
  <si>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</si>
  <si>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</si>
  <si>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</si>
  <si>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</si>
  <si>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</si>
  <si>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</si>
  <si>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</si>
  <si>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</si>
  <si>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</si>
  <si>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</si>
  <si>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</si>
  <si>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</si>
  <si>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</si>
  <si>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</si>
  <si>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</si>
  <si>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</si>
  <si>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</si>
  <si>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</si>
  <si>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</si>
  <si>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</si>
  <si>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</si>
  <si>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</si>
  <si>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</si>
  <si>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</si>
  <si>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</si>
  <si>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</si>
  <si>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</si>
  <si>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</si>
  <si>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</si>
  <si>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</si>
  <si>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</si>
  <si>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</si>
  <si>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</si>
  <si>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</si>
  <si>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</si>
  <si>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</si>
  <si>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</si>
  <si>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</si>
  <si>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</si>
  <si>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</si>
  <si>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</si>
  <si>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</si>
  <si>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</si>
  <si>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</si>
  <si>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</si>
  <si>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</si>
  <si>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</si>
  <si>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</si>
  <si>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</si>
  <si>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</si>
  <si>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</si>
  <si>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</si>
  <si>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</si>
  <si>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</si>
  <si>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</si>
  <si>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</si>
  <si>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</si>
  <si>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</si>
  <si>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</si>
  <si>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</si>
  <si>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</si>
  <si>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</si>
  <si>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</si>
  <si>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</si>
  <si>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</si>
  <si>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</si>
  <si>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</si>
  <si>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31/10/2026</t>
  </si>
  <si>
    <t>30/10/2026</t>
  </si>
  <si>
    <t>29/10/2026</t>
  </si>
  <si>
    <t>13/10/2026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</si>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</sst>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0" fontId="0" fillId="0" borderId="0" xfId="0" applyFill="1"/>
    <xf numFmtId="14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5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C1" activePane="topRight" state="frozen"/>
      <selection pane="topRight" activeCell="J8" sqref="J8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8" t="s">
        <v>48</v>
      </c>
      <c r="B1" s="27" t="s">
        <v>0</v>
      </c>
      <c r="C1" s="26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6">
        <v>46214</v>
      </c>
      <c r="J1" s="26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25</v>
      </c>
      <c r="P1" s="1" t="s">
        <v>26</v>
      </c>
      <c r="Q1" s="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s="1" t="s">
        <v>33</v>
      </c>
      <c r="X1" s="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s="1" t="s">
        <v>40</v>
      </c>
      <c r="AE1" s="1" t="s">
        <v>41</v>
      </c>
      <c r="AF1" t="s">
        <v>42</v>
      </c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J1" s="19" t="s">
        <v>5</v>
      </c>
      <c r="BK1" s="19" t="s">
        <v>6</v>
      </c>
    </row>
    <row r="2" spans="1:63" x14ac:dyDescent="0.2">
      <c r="B2" t="s">
        <v>49</v>
      </c>
      <c r="D2" t="s">
        <v>10</v>
      </c>
      <c r="E2" t="s">
        <v>10</v>
      </c>
      <c r="F2" t="s">
        <v>10</v>
      </c>
      <c r="G2" t="s">
        <v>10</v>
      </c>
      <c r="H2" t="s">
        <v>18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s="1" t="s">
        <v>46</v>
      </c>
      <c r="R2" t="s">
        <v>22</v>
      </c>
      <c r="S2" t="s">
        <v>22</v>
      </c>
      <c r="T2" t="s">
        <v>22</v>
      </c>
      <c r="U2" t="s">
        <v>22</v>
      </c>
      <c r="V2" t="s">
        <v>24</v>
      </c>
      <c r="Y2" t="s">
        <v>13</v>
      </c>
      <c r="Z2" t="s">
        <v>13</v>
      </c>
      <c r="AA2" t="s">
        <v>13</v>
      </c>
      <c r="AB2" t="s">
        <v>13</v>
      </c>
      <c r="AC2" t="s">
        <v>13</v>
      </c>
      <c r="AD2" s="1" t="s">
        <v>46</v>
      </c>
      <c r="AF2" t="s">
        <v>9</v>
      </c>
      <c r="BJ2" s="13">
        <f t="shared" ref="BJ2:BJ12" si="0">COUNTIF($A2:$BH2, "*(call)*")</f>
        <v>4</v>
      </c>
      <c r="BK2" s="13">
        <f t="shared" ref="BK2:BK12" si="1">COUNTIF($A2:$BH2, "leave")</f>
        <v>0</v>
      </c>
    </row>
    <row r="3" spans="1:63" x14ac:dyDescent="0.2">
      <c r="B3" t="s">
        <v>50</v>
      </c>
      <c r="D3" t="s">
        <v>22</v>
      </c>
      <c r="E3" t="s">
        <v>22</v>
      </c>
      <c r="F3" t="s">
        <v>22</v>
      </c>
      <c r="G3" t="s">
        <v>22</v>
      </c>
      <c r="H3" t="s">
        <v>22</v>
      </c>
      <c r="J3" s="1" t="s">
        <v>46</v>
      </c>
      <c r="K3" t="s">
        <v>10</v>
      </c>
      <c r="L3" t="s">
        <v>10</v>
      </c>
      <c r="M3" t="s">
        <v>2</v>
      </c>
      <c r="N3" t="s">
        <v>2</v>
      </c>
      <c r="O3" t="s">
        <v>2</v>
      </c>
      <c r="R3" t="s">
        <v>17</v>
      </c>
      <c r="S3" t="s">
        <v>12</v>
      </c>
      <c r="T3" t="s">
        <v>12</v>
      </c>
      <c r="U3" t="s">
        <v>12</v>
      </c>
      <c r="V3" t="s">
        <v>12</v>
      </c>
      <c r="Y3" t="s">
        <v>11</v>
      </c>
      <c r="Z3" t="s">
        <v>15</v>
      </c>
      <c r="AA3" t="s">
        <v>11</v>
      </c>
      <c r="AB3" t="s">
        <v>11</v>
      </c>
      <c r="AC3" t="s">
        <v>11</v>
      </c>
      <c r="AF3" t="s">
        <v>13</v>
      </c>
      <c r="BJ3" s="13">
        <f t="shared" si="0"/>
        <v>3</v>
      </c>
      <c r="BK3" s="13">
        <f t="shared" si="1"/>
        <v>3</v>
      </c>
    </row>
    <row r="4" spans="1:63" x14ac:dyDescent="0.2">
      <c r="B4" t="s">
        <v>51</v>
      </c>
      <c r="D4" t="s">
        <v>12</v>
      </c>
      <c r="E4" t="s">
        <v>12</v>
      </c>
      <c r="F4" t="s">
        <v>12</v>
      </c>
      <c r="G4" t="s">
        <v>12</v>
      </c>
      <c r="H4" t="s">
        <v>12</v>
      </c>
      <c r="I4" s="1" t="s">
        <v>46</v>
      </c>
      <c r="K4" t="s">
        <v>10</v>
      </c>
      <c r="L4" t="s">
        <v>10</v>
      </c>
      <c r="M4" t="s">
        <v>18</v>
      </c>
      <c r="N4" t="s">
        <v>10</v>
      </c>
      <c r="O4" t="s">
        <v>10</v>
      </c>
      <c r="R4" t="s">
        <v>13</v>
      </c>
      <c r="S4" t="s">
        <v>13</v>
      </c>
      <c r="T4" t="s">
        <v>16</v>
      </c>
      <c r="U4" t="s">
        <v>13</v>
      </c>
      <c r="V4" t="s">
        <v>13</v>
      </c>
      <c r="Y4" t="s">
        <v>9</v>
      </c>
      <c r="Z4" t="s">
        <v>9</v>
      </c>
      <c r="AA4" t="s">
        <v>19</v>
      </c>
      <c r="AB4" t="s">
        <v>9</v>
      </c>
      <c r="AC4" t="s">
        <v>9</v>
      </c>
      <c r="AF4" t="s">
        <v>11</v>
      </c>
      <c r="BJ4" s="13">
        <f t="shared" si="0"/>
        <v>4</v>
      </c>
      <c r="BK4" s="13">
        <f t="shared" si="1"/>
        <v>0</v>
      </c>
    </row>
    <row r="5" spans="1:63" x14ac:dyDescent="0.2">
      <c r="B5" t="s">
        <v>52</v>
      </c>
      <c r="C5" s="1" t="s">
        <v>46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K5" t="s">
        <v>14</v>
      </c>
      <c r="L5" t="s">
        <v>20</v>
      </c>
      <c r="M5" t="s">
        <v>14</v>
      </c>
      <c r="N5" t="s">
        <v>14</v>
      </c>
      <c r="O5" t="s">
        <v>14</v>
      </c>
      <c r="R5" t="s">
        <v>10</v>
      </c>
      <c r="S5" t="s">
        <v>10</v>
      </c>
      <c r="T5" t="s">
        <v>10</v>
      </c>
      <c r="U5" t="s">
        <v>10</v>
      </c>
      <c r="V5" t="s">
        <v>18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F5" t="s">
        <v>17</v>
      </c>
      <c r="BJ5" s="13">
        <f t="shared" si="0"/>
        <v>4</v>
      </c>
      <c r="BK5" s="13">
        <f t="shared" si="1"/>
        <v>5</v>
      </c>
    </row>
    <row r="6" spans="1:63" x14ac:dyDescent="0.2">
      <c r="B6" t="s">
        <v>53</v>
      </c>
      <c r="D6" t="s">
        <v>2</v>
      </c>
      <c r="E6" t="s">
        <v>2</v>
      </c>
      <c r="F6" t="s">
        <v>2</v>
      </c>
      <c r="G6" t="s">
        <v>2</v>
      </c>
      <c r="H6" t="s">
        <v>11</v>
      </c>
      <c r="I6" s="1" t="s">
        <v>46</v>
      </c>
      <c r="K6" t="s">
        <v>9</v>
      </c>
      <c r="L6" t="s">
        <v>9</v>
      </c>
      <c r="M6" t="s">
        <v>9</v>
      </c>
      <c r="N6" t="s">
        <v>9</v>
      </c>
      <c r="O6" t="s">
        <v>9</v>
      </c>
      <c r="P6" s="1" t="s">
        <v>46</v>
      </c>
      <c r="R6" t="s">
        <v>10</v>
      </c>
      <c r="S6" t="s">
        <v>10</v>
      </c>
      <c r="T6" t="s">
        <v>10</v>
      </c>
      <c r="U6" t="s">
        <v>18</v>
      </c>
      <c r="V6" t="s">
        <v>10</v>
      </c>
      <c r="Y6" t="s">
        <v>14</v>
      </c>
      <c r="Z6" t="s">
        <v>14</v>
      </c>
      <c r="AA6" t="s">
        <v>14</v>
      </c>
      <c r="AB6" t="s">
        <v>20</v>
      </c>
      <c r="AC6" t="s">
        <v>14</v>
      </c>
      <c r="AF6" t="s">
        <v>13</v>
      </c>
      <c r="BJ6" s="13">
        <f t="shared" si="0"/>
        <v>4</v>
      </c>
      <c r="BK6" s="13">
        <f t="shared" si="1"/>
        <v>4</v>
      </c>
    </row>
    <row r="7" spans="1:63" x14ac:dyDescent="0.2">
      <c r="B7" t="s">
        <v>54</v>
      </c>
      <c r="D7" t="s">
        <v>13</v>
      </c>
      <c r="E7" t="s">
        <v>16</v>
      </c>
      <c r="F7" t="s">
        <v>13</v>
      </c>
      <c r="G7" t="s">
        <v>13</v>
      </c>
      <c r="H7" t="s">
        <v>13</v>
      </c>
      <c r="K7" t="s">
        <v>22</v>
      </c>
      <c r="L7" t="s">
        <v>22</v>
      </c>
      <c r="M7" t="s">
        <v>22</v>
      </c>
      <c r="N7" t="s">
        <v>22</v>
      </c>
      <c r="O7" t="s">
        <v>24</v>
      </c>
      <c r="R7" t="s">
        <v>2</v>
      </c>
      <c r="S7" t="s">
        <v>2</v>
      </c>
      <c r="T7" t="s">
        <v>2</v>
      </c>
      <c r="U7" t="s">
        <v>2</v>
      </c>
      <c r="V7" t="s">
        <v>2</v>
      </c>
      <c r="Y7" t="s">
        <v>17</v>
      </c>
      <c r="Z7" t="s">
        <v>12</v>
      </c>
      <c r="AA7" t="s">
        <v>12</v>
      </c>
      <c r="AB7" t="s">
        <v>12</v>
      </c>
      <c r="AC7" t="s">
        <v>12</v>
      </c>
      <c r="AE7" s="1" t="s">
        <v>46</v>
      </c>
      <c r="AF7" t="s">
        <v>10</v>
      </c>
      <c r="BJ7" s="13">
        <f t="shared" si="0"/>
        <v>4</v>
      </c>
      <c r="BK7" s="13">
        <f t="shared" si="1"/>
        <v>5</v>
      </c>
    </row>
    <row r="8" spans="1:63" x14ac:dyDescent="0.2">
      <c r="B8" t="s">
        <v>55</v>
      </c>
      <c r="D8" t="s">
        <v>11</v>
      </c>
      <c r="E8" t="s">
        <v>11</v>
      </c>
      <c r="F8" t="s">
        <v>11</v>
      </c>
      <c r="G8" t="s">
        <v>11</v>
      </c>
      <c r="H8" t="s">
        <v>2</v>
      </c>
      <c r="K8" t="s">
        <v>18</v>
      </c>
      <c r="L8" t="s">
        <v>10</v>
      </c>
      <c r="M8" t="s">
        <v>10</v>
      </c>
      <c r="N8" t="s">
        <v>10</v>
      </c>
      <c r="O8" t="s">
        <v>10</v>
      </c>
      <c r="Q8" s="1" t="s">
        <v>46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s="1" t="s">
        <v>46</v>
      </c>
      <c r="Y8" t="s">
        <v>12</v>
      </c>
      <c r="Z8" t="s">
        <v>12</v>
      </c>
      <c r="AA8" t="s">
        <v>12</v>
      </c>
      <c r="AB8" t="s">
        <v>12</v>
      </c>
      <c r="AC8" t="s">
        <v>17</v>
      </c>
      <c r="AF8" t="s">
        <v>14</v>
      </c>
      <c r="BJ8" s="13">
        <f t="shared" si="0"/>
        <v>4</v>
      </c>
      <c r="BK8" s="13">
        <f t="shared" si="1"/>
        <v>1</v>
      </c>
    </row>
    <row r="9" spans="1:63" x14ac:dyDescent="0.2">
      <c r="B9" t="s">
        <v>56</v>
      </c>
      <c r="D9" t="s">
        <v>20</v>
      </c>
      <c r="E9" t="s">
        <v>14</v>
      </c>
      <c r="F9" t="s">
        <v>14</v>
      </c>
      <c r="G9" t="s">
        <v>20</v>
      </c>
      <c r="H9" t="s">
        <v>14</v>
      </c>
      <c r="K9" t="s">
        <v>13</v>
      </c>
      <c r="L9" t="s">
        <v>2</v>
      </c>
      <c r="M9" t="s">
        <v>2</v>
      </c>
      <c r="N9" t="s">
        <v>13</v>
      </c>
      <c r="O9" t="s">
        <v>13</v>
      </c>
      <c r="P9" s="1" t="s">
        <v>46</v>
      </c>
      <c r="R9" t="s">
        <v>12</v>
      </c>
      <c r="S9" t="s">
        <v>12</v>
      </c>
      <c r="T9" t="s">
        <v>12</v>
      </c>
      <c r="U9" t="s">
        <v>12</v>
      </c>
      <c r="V9" t="s">
        <v>12</v>
      </c>
      <c r="X9" s="1" t="s">
        <v>46</v>
      </c>
      <c r="Y9" t="s">
        <v>10</v>
      </c>
      <c r="Z9" t="s">
        <v>10</v>
      </c>
      <c r="AA9" t="s">
        <v>10</v>
      </c>
      <c r="AB9" t="s">
        <v>2</v>
      </c>
      <c r="AC9" t="s">
        <v>2</v>
      </c>
      <c r="AF9" t="s">
        <v>2</v>
      </c>
      <c r="BJ9" s="13">
        <f t="shared" si="0"/>
        <v>4</v>
      </c>
      <c r="BK9" s="13">
        <f t="shared" si="1"/>
        <v>5</v>
      </c>
    </row>
    <row r="10" spans="1:63" x14ac:dyDescent="0.2">
      <c r="B10" t="s">
        <v>57</v>
      </c>
      <c r="D10" t="s">
        <v>12</v>
      </c>
      <c r="E10" t="s">
        <v>12</v>
      </c>
      <c r="F10" t="s">
        <v>17</v>
      </c>
      <c r="G10" t="s">
        <v>12</v>
      </c>
      <c r="H10" t="s">
        <v>12</v>
      </c>
      <c r="K10" t="s">
        <v>11</v>
      </c>
      <c r="L10" t="s">
        <v>11</v>
      </c>
      <c r="M10" t="s">
        <v>11</v>
      </c>
      <c r="N10" t="s">
        <v>15</v>
      </c>
      <c r="O10" t="s">
        <v>11</v>
      </c>
      <c r="R10" t="s">
        <v>14</v>
      </c>
      <c r="S10" t="s">
        <v>14</v>
      </c>
      <c r="T10" t="s">
        <v>14</v>
      </c>
      <c r="U10" t="s">
        <v>14</v>
      </c>
      <c r="V10" t="s">
        <v>14</v>
      </c>
      <c r="W10" s="1" t="s">
        <v>46</v>
      </c>
      <c r="Y10" t="s">
        <v>10</v>
      </c>
      <c r="Z10" t="s">
        <v>10</v>
      </c>
      <c r="AA10" t="s">
        <v>2</v>
      </c>
      <c r="AB10" t="s">
        <v>10</v>
      </c>
      <c r="AC10" t="s">
        <v>10</v>
      </c>
      <c r="AD10" s="1" t="s">
        <v>46</v>
      </c>
      <c r="AF10" t="s">
        <v>22</v>
      </c>
      <c r="BJ10" s="13">
        <f t="shared" si="0"/>
        <v>4</v>
      </c>
      <c r="BK10" s="13">
        <f t="shared" si="1"/>
        <v>1</v>
      </c>
    </row>
    <row r="11" spans="1:63" x14ac:dyDescent="0.2">
      <c r="B11" t="s">
        <v>58</v>
      </c>
      <c r="D11" t="s">
        <v>10</v>
      </c>
      <c r="E11" t="s">
        <v>10</v>
      </c>
      <c r="F11" t="s">
        <v>10</v>
      </c>
      <c r="G11" t="s">
        <v>10</v>
      </c>
      <c r="H11" t="s">
        <v>18</v>
      </c>
      <c r="K11" t="s">
        <v>13</v>
      </c>
      <c r="L11" t="s">
        <v>13</v>
      </c>
      <c r="M11" t="s">
        <v>13</v>
      </c>
      <c r="N11" t="s">
        <v>13</v>
      </c>
      <c r="O11" t="s">
        <v>16</v>
      </c>
      <c r="R11" t="s">
        <v>11</v>
      </c>
      <c r="S11" t="s">
        <v>11</v>
      </c>
      <c r="T11" t="s">
        <v>11</v>
      </c>
      <c r="U11" t="s">
        <v>11</v>
      </c>
      <c r="V11" t="s">
        <v>11</v>
      </c>
      <c r="W11" s="1" t="s">
        <v>46</v>
      </c>
      <c r="Y11" t="s">
        <v>22</v>
      </c>
      <c r="Z11" t="s">
        <v>22</v>
      </c>
      <c r="AA11" t="s">
        <v>22</v>
      </c>
      <c r="AB11" t="s">
        <v>22</v>
      </c>
      <c r="AC11" t="s">
        <v>22</v>
      </c>
      <c r="AD11" s="1" t="s">
        <v>46</v>
      </c>
      <c r="AF11" t="s">
        <v>12</v>
      </c>
      <c r="BJ11" s="13">
        <f t="shared" si="0"/>
        <v>4</v>
      </c>
      <c r="BK11" s="13">
        <f t="shared" si="1"/>
        <v>0</v>
      </c>
    </row>
    <row r="12" spans="1:63" x14ac:dyDescent="0.2">
      <c r="B12" t="s">
        <v>59</v>
      </c>
      <c r="D12" t="s">
        <v>9</v>
      </c>
      <c r="E12" t="s">
        <v>9</v>
      </c>
      <c r="F12" t="s">
        <v>9</v>
      </c>
      <c r="G12" t="s">
        <v>9</v>
      </c>
      <c r="H12" t="s">
        <v>9</v>
      </c>
      <c r="I12" s="1" t="s">
        <v>46</v>
      </c>
      <c r="K12" t="s">
        <v>12</v>
      </c>
      <c r="L12" t="s">
        <v>12</v>
      </c>
      <c r="M12" t="s">
        <v>12</v>
      </c>
      <c r="N12" t="s">
        <v>12</v>
      </c>
      <c r="O12" t="s">
        <v>12</v>
      </c>
      <c r="R12" t="s">
        <v>13</v>
      </c>
      <c r="S12" t="s">
        <v>16</v>
      </c>
      <c r="T12" t="s">
        <v>13</v>
      </c>
      <c r="U12" t="s">
        <v>2</v>
      </c>
      <c r="V12" t="s">
        <v>2</v>
      </c>
      <c r="Y12" t="s">
        <v>2</v>
      </c>
      <c r="Z12" t="s">
        <v>10</v>
      </c>
      <c r="AA12" t="s">
        <v>10</v>
      </c>
      <c r="AB12" t="s">
        <v>10</v>
      </c>
      <c r="AC12" t="s">
        <v>18</v>
      </c>
      <c r="AF12" t="s">
        <v>10</v>
      </c>
      <c r="BJ12" s="13">
        <f t="shared" si="0"/>
        <v>3</v>
      </c>
      <c r="BK12" s="13">
        <f t="shared" si="1"/>
        <v>3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21</v>
      </c>
      <c r="D18" s="22" t="s">
        <v>47</v>
      </c>
      <c r="K18" s="22" t="s">
        <v>47</v>
      </c>
      <c r="R18" s="22" t="s">
        <v>47</v>
      </c>
      <c r="Y18" s="22" t="s">
        <v>47</v>
      </c>
      <c r="AF18" s="22" t="s">
        <v>47</v>
      </c>
      <c r="AM18" s="22" t="s">
        <v>47</v>
      </c>
      <c r="AT18" s="22" t="s">
        <v>47</v>
      </c>
      <c r="BA18" s="22" t="s">
        <v>47</v>
      </c>
      <c r="BJ18" s="23"/>
      <c r="BK18" s="23"/>
    </row>
    <row r="19" spans="1:63" s="1" customFormat="1" x14ac:dyDescent="0.2">
      <c r="A19" s="17" t="s">
        <v>10</v>
      </c>
      <c r="B19">
        <v>3</v>
      </c>
      <c r="C19" s="5" t="s">
        <v>10</v>
      </c>
      <c r="D19" s="1">
        <f t="shared" ref="D19:H25" si="2">-COUNTIF(D$2:D$12,$A19 &amp; "*") +$B19</f>
        <v>1</v>
      </c>
      <c r="E19" s="1">
        <f t="shared" si="2"/>
        <v>1</v>
      </c>
      <c r="F19" s="1">
        <f t="shared" si="2"/>
        <v>1</v>
      </c>
      <c r="G19" s="1">
        <f t="shared" si="2"/>
        <v>1</v>
      </c>
      <c r="H19" s="1">
        <f t="shared" si="2"/>
        <v>1</v>
      </c>
      <c r="J19" s="5" t="s">
        <v>10</v>
      </c>
      <c r="K19" s="1">
        <f t="shared" ref="K19:O25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10</v>
      </c>
      <c r="R19" s="1">
        <f t="shared" ref="R19:V25" si="4">-COUNTIF(R$2:R$12,$A19 &amp; "*") +$B19</f>
        <v>1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10</v>
      </c>
      <c r="Y19" s="1">
        <f t="shared" ref="Y19:AC25" si="5">-COUNTIF(Y$2:Y$12,$A19 &amp; "*") +$B19</f>
        <v>1</v>
      </c>
      <c r="Z19" s="1">
        <f t="shared" si="5"/>
        <v>0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10</v>
      </c>
      <c r="AF19" s="1">
        <f t="shared" ref="AF19:AJ25" si="6">-COUNTIF(AF$2:AF$12,$A19 &amp; "*") +$B19</f>
        <v>1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10</v>
      </c>
      <c r="AM19" s="1">
        <f t="shared" ref="AM19:AQ25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10</v>
      </c>
      <c r="AT19" s="1">
        <f t="shared" ref="AT19:AX25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10</v>
      </c>
      <c r="BA19" s="1">
        <f t="shared" ref="BA19:BE25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10</v>
      </c>
      <c r="BH19" s="1">
        <f t="shared" ref="BH19:BH25" si="10">-COUNTIF(BH$2:BH$12,$A19 &amp; "*") +$B19</f>
        <v>3</v>
      </c>
      <c r="BJ19" s="7"/>
      <c r="BK19" s="7"/>
    </row>
    <row r="20" spans="1:63" s="1" customFormat="1" x14ac:dyDescent="0.2">
      <c r="A20" s="17" t="s">
        <v>13</v>
      </c>
      <c r="B20">
        <v>2</v>
      </c>
      <c r="C20" s="5" t="s">
        <v>13</v>
      </c>
      <c r="D20" s="1">
        <f t="shared" si="2"/>
        <v>0</v>
      </c>
      <c r="E20" s="1">
        <f t="shared" si="2"/>
        <v>0</v>
      </c>
      <c r="F20" s="1">
        <f t="shared" si="2"/>
        <v>0</v>
      </c>
      <c r="G20" s="1">
        <f t="shared" si="2"/>
        <v>0</v>
      </c>
      <c r="H20" s="1">
        <f t="shared" si="2"/>
        <v>0</v>
      </c>
      <c r="J20" s="5" t="s">
        <v>13</v>
      </c>
      <c r="K20" s="1">
        <f t="shared" si="3"/>
        <v>0</v>
      </c>
      <c r="L20" s="1">
        <f t="shared" si="3"/>
        <v>1</v>
      </c>
      <c r="M20" s="1">
        <f t="shared" si="3"/>
        <v>1</v>
      </c>
      <c r="N20" s="1">
        <f t="shared" si="3"/>
        <v>0</v>
      </c>
      <c r="O20" s="1">
        <f t="shared" si="3"/>
        <v>0</v>
      </c>
      <c r="Q20" s="5" t="s">
        <v>13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1</v>
      </c>
      <c r="V20" s="1">
        <f t="shared" si="4"/>
        <v>1</v>
      </c>
      <c r="X20" s="5" t="s">
        <v>13</v>
      </c>
      <c r="Y20" s="1">
        <f t="shared" si="5"/>
        <v>1</v>
      </c>
      <c r="Z20" s="1">
        <f t="shared" si="5"/>
        <v>1</v>
      </c>
      <c r="AA20" s="1">
        <f t="shared" si="5"/>
        <v>1</v>
      </c>
      <c r="AB20" s="1">
        <f t="shared" si="5"/>
        <v>1</v>
      </c>
      <c r="AC20" s="1">
        <f t="shared" si="5"/>
        <v>1</v>
      </c>
      <c r="AE20" s="5" t="s">
        <v>13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13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13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13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13</v>
      </c>
      <c r="BH20" s="1">
        <f t="shared" si="10"/>
        <v>2</v>
      </c>
      <c r="BJ20" s="7"/>
      <c r="BK20" s="7"/>
    </row>
    <row r="21" spans="1:63" s="1" customFormat="1" x14ac:dyDescent="0.2">
      <c r="A21" s="17" t="s">
        <v>12</v>
      </c>
      <c r="B21">
        <v>2</v>
      </c>
      <c r="C21" s="5" t="s">
        <v>12</v>
      </c>
      <c r="D21" s="1">
        <f t="shared" si="2"/>
        <v>0</v>
      </c>
      <c r="E21" s="1">
        <f t="shared" si="2"/>
        <v>0</v>
      </c>
      <c r="F21" s="1">
        <f t="shared" si="2"/>
        <v>0</v>
      </c>
      <c r="G21" s="1">
        <f t="shared" si="2"/>
        <v>0</v>
      </c>
      <c r="H21" s="1">
        <f t="shared" si="2"/>
        <v>0</v>
      </c>
      <c r="J21" s="5" t="s">
        <v>12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12</v>
      </c>
      <c r="R21" s="1">
        <f t="shared" si="4"/>
        <v>0</v>
      </c>
      <c r="S21" s="1">
        <f t="shared" si="4"/>
        <v>0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12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12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12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12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12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12</v>
      </c>
      <c r="BH21" s="1">
        <f t="shared" si="10"/>
        <v>2</v>
      </c>
      <c r="BJ21" s="7"/>
      <c r="BK21" s="7"/>
    </row>
    <row r="22" spans="1:63" x14ac:dyDescent="0.2">
      <c r="A22" s="17" t="s">
        <v>9</v>
      </c>
      <c r="B22">
        <v>1</v>
      </c>
      <c r="C22" s="5" t="s">
        <v>9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9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9</v>
      </c>
      <c r="R22" s="1">
        <f t="shared" si="4"/>
        <v>0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9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9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9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9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9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9</v>
      </c>
      <c r="BH22" s="1">
        <f t="shared" si="10"/>
        <v>1</v>
      </c>
    </row>
    <row r="23" spans="1:63" x14ac:dyDescent="0.2">
      <c r="A23" s="17" t="s">
        <v>14</v>
      </c>
      <c r="B23">
        <v>1</v>
      </c>
      <c r="C23" s="5" t="s">
        <v>14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14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14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14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14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14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14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14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14</v>
      </c>
      <c r="BH23" s="1">
        <f t="shared" si="10"/>
        <v>1</v>
      </c>
    </row>
    <row r="24" spans="1:63" x14ac:dyDescent="0.2">
      <c r="A24" s="17" t="s">
        <v>11</v>
      </c>
      <c r="B24">
        <v>1</v>
      </c>
      <c r="C24" s="5" t="s">
        <v>11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11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11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11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11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11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11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11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11</v>
      </c>
      <c r="BH24" s="1">
        <f t="shared" si="10"/>
        <v>1</v>
      </c>
    </row>
    <row r="25" spans="1:63" x14ac:dyDescent="0.2">
      <c r="A25" s="18" t="s">
        <v>22</v>
      </c>
      <c r="B25" s="18">
        <v>1</v>
      </c>
      <c r="C25" s="10" t="s">
        <v>22</v>
      </c>
      <c r="D25" s="1">
        <f t="shared" ref="D25:K25" si="11">-COUNTIF(D$2:D$12,$A25 &amp; "*") +$B25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J25" s="10" t="s">
        <v>22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10" t="s">
        <v>22</v>
      </c>
      <c r="R25" s="1">
        <f t="shared" si="4"/>
        <v>0</v>
      </c>
      <c r="S25" s="1">
        <f t="shared" si="4"/>
        <v>0</v>
      </c>
      <c r="T25" s="1">
        <f t="shared" si="4"/>
        <v>0</v>
      </c>
      <c r="U25" s="1">
        <f t="shared" si="4"/>
        <v>0</v>
      </c>
      <c r="V25" s="1">
        <f t="shared" si="4"/>
        <v>0</v>
      </c>
      <c r="X25" s="10" t="s">
        <v>22</v>
      </c>
      <c r="Y25" s="1">
        <f t="shared" si="5"/>
        <v>0</v>
      </c>
      <c r="Z25" s="1">
        <f t="shared" si="5"/>
        <v>0</v>
      </c>
      <c r="AA25" s="1">
        <f t="shared" si="5"/>
        <v>0</v>
      </c>
      <c r="AB25" s="1">
        <f t="shared" si="5"/>
        <v>0</v>
      </c>
      <c r="AC25" s="1">
        <f t="shared" si="5"/>
        <v>0</v>
      </c>
      <c r="AE25" s="10" t="s">
        <v>22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18" t="s">
        <v>22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18" t="s">
        <v>22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18" t="s">
        <v>22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18" t="s">
        <v>22</v>
      </c>
      <c r="BH25" s="1">
        <f t="shared" si="10"/>
        <v>1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2">COUNTIF(E$2:E$12,$A26 &amp; "*")</f>
        <v>1</v>
      </c>
      <c r="F26" s="1">
        <f t="shared" si="12"/>
        <v>1</v>
      </c>
      <c r="G26" s="1">
        <f t="shared" si="12"/>
        <v>1</v>
      </c>
      <c r="H26" s="1">
        <f t="shared" si="12"/>
        <v>1</v>
      </c>
      <c r="J26" s="11" t="s">
        <v>2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1</v>
      </c>
      <c r="O26" s="1">
        <f t="shared" si="13"/>
        <v>1</v>
      </c>
      <c r="Q26" s="11" t="s">
        <v>2</v>
      </c>
      <c r="R26" s="1">
        <f>COUNTIF(R$2:R$12,$A26 &amp; "*")</f>
        <v>1</v>
      </c>
      <c r="S26" s="1">
        <f t="shared" ref="S26:V26" si="14">COUNTIF(S$2:S$12,$A26 &amp; "*")</f>
        <v>1</v>
      </c>
      <c r="T26" s="1">
        <f t="shared" si="14"/>
        <v>1</v>
      </c>
      <c r="U26" s="1">
        <f t="shared" si="14"/>
        <v>2</v>
      </c>
      <c r="V26" s="1">
        <f t="shared" si="14"/>
        <v>2</v>
      </c>
      <c r="X26" s="11" t="s">
        <v>2</v>
      </c>
      <c r="Y26" s="1">
        <f>COUNTIF(Y$2:Y$12,$A26 &amp; "*")</f>
        <v>2</v>
      </c>
      <c r="Z26" s="1">
        <f t="shared" ref="Z26:AC26" si="15">COUNTIF(Z$2:Z$12,$A26 &amp; "*")</f>
        <v>1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1" t="s">
        <v>2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1" t="s">
        <v>2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1" t="s">
        <v>2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1" t="s">
        <v>2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1" t="s">
        <v>2</v>
      </c>
      <c r="BH26" s="1">
        <f t="shared" ref="BH26" si="20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8</v>
      </c>
      <c r="C27" s="6"/>
      <c r="D27" s="3" t="s">
        <v>7</v>
      </c>
      <c r="I27" s="4"/>
      <c r="J27" s="6"/>
      <c r="K27" s="3" t="s">
        <v>7</v>
      </c>
      <c r="P27" s="4"/>
      <c r="Q27" s="6"/>
      <c r="R27" s="3" t="s">
        <v>7</v>
      </c>
      <c r="W27" s="4"/>
      <c r="X27" s="6"/>
      <c r="Y27" s="3" t="s">
        <v>7</v>
      </c>
      <c r="AD27" s="4"/>
      <c r="AE27" s="6"/>
      <c r="AF27" s="3" t="s">
        <v>7</v>
      </c>
      <c r="AK27" s="4"/>
      <c r="AL27" s="6"/>
      <c r="AM27" s="3" t="s">
        <v>7</v>
      </c>
      <c r="AR27" s="4"/>
      <c r="AS27" s="6"/>
      <c r="AT27" s="3" t="s">
        <v>7</v>
      </c>
      <c r="AY27" s="4"/>
      <c r="AZ27" s="6"/>
      <c r="BA27" s="3" t="s">
        <v>7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10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10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10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10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10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10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10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10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10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13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13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13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13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13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13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13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13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13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12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12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12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12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12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12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12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12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12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9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9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9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9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9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9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9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9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9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14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14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14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14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14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14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14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14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14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11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11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11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11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11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11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11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11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11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23</v>
      </c>
      <c r="K36" s="22" t="s">
        <v>23</v>
      </c>
      <c r="R36" s="22" t="s">
        <v>23</v>
      </c>
      <c r="Y36" s="22" t="s">
        <v>23</v>
      </c>
      <c r="AF36" s="22" t="s">
        <v>23</v>
      </c>
      <c r="AM36" s="22" t="s">
        <v>23</v>
      </c>
      <c r="AT36" s="22" t="s">
        <v>23</v>
      </c>
      <c r="BA36" s="22" t="s">
        <v>23</v>
      </c>
    </row>
    <row r="37" spans="1:63" x14ac:dyDescent="0.2">
      <c r="A37" s="17" t="s">
        <v>10</v>
      </c>
      <c r="C37" s="5" t="s">
        <v>10</v>
      </c>
      <c r="D37" s="1">
        <f t="shared" ref="D37:H42" si="21">COUNTIF(D$2:D$12,$A37 &amp; " (call)")</f>
        <v>0</v>
      </c>
      <c r="E37" s="1">
        <f t="shared" si="21"/>
        <v>0</v>
      </c>
      <c r="F37" s="1">
        <f t="shared" si="21"/>
        <v>0</v>
      </c>
      <c r="G37" s="1">
        <f t="shared" si="21"/>
        <v>0</v>
      </c>
      <c r="H37" s="1">
        <f t="shared" si="21"/>
        <v>2</v>
      </c>
      <c r="J37" s="5" t="s">
        <v>10</v>
      </c>
      <c r="K37" s="1">
        <f t="shared" ref="K37:O42" si="22">COUNTIF(K$2:K$12,$A37 &amp; " (call)")</f>
        <v>1</v>
      </c>
      <c r="L37" s="1">
        <f t="shared" si="22"/>
        <v>0</v>
      </c>
      <c r="M37" s="1">
        <f t="shared" si="22"/>
        <v>1</v>
      </c>
      <c r="N37" s="1">
        <f t="shared" si="22"/>
        <v>0</v>
      </c>
      <c r="O37" s="1">
        <f t="shared" si="22"/>
        <v>0</v>
      </c>
      <c r="Q37" s="5" t="s">
        <v>10</v>
      </c>
      <c r="R37" s="1">
        <f t="shared" ref="R37:V42" si="23">COUNTIF(R$2:R$12,$A37 &amp; " (call)")</f>
        <v>0</v>
      </c>
      <c r="S37" s="1">
        <f t="shared" si="23"/>
        <v>0</v>
      </c>
      <c r="T37" s="1">
        <f t="shared" si="23"/>
        <v>0</v>
      </c>
      <c r="U37" s="1">
        <f t="shared" si="23"/>
        <v>1</v>
      </c>
      <c r="V37" s="1">
        <f t="shared" si="23"/>
        <v>1</v>
      </c>
      <c r="X37" s="5" t="s">
        <v>10</v>
      </c>
      <c r="Y37" s="1">
        <f t="shared" ref="Y37:AC42" si="24">COUNTIF(Y$2:Y$12,$A37 &amp; " (call)")</f>
        <v>0</v>
      </c>
      <c r="Z37" s="1">
        <f t="shared" si="24"/>
        <v>0</v>
      </c>
      <c r="AA37" s="1">
        <f t="shared" si="24"/>
        <v>0</v>
      </c>
      <c r="AB37" s="1">
        <f t="shared" si="24"/>
        <v>0</v>
      </c>
      <c r="AC37" s="1">
        <f t="shared" si="24"/>
        <v>1</v>
      </c>
      <c r="AE37" s="5" t="s">
        <v>10</v>
      </c>
      <c r="AF37" s="1">
        <f t="shared" ref="AF37:AJ42" si="25">COUNTIF(AF$2:AF$12,$A37 &amp; " (call)")</f>
        <v>0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10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10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10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10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17" t="s">
        <v>13</v>
      </c>
      <c r="C38" s="5" t="s">
        <v>13</v>
      </c>
      <c r="D38" s="1">
        <f t="shared" si="21"/>
        <v>0</v>
      </c>
      <c r="E38" s="1">
        <f t="shared" si="21"/>
        <v>1</v>
      </c>
      <c r="F38" s="1">
        <f t="shared" si="21"/>
        <v>0</v>
      </c>
      <c r="G38" s="1">
        <f t="shared" si="21"/>
        <v>0</v>
      </c>
      <c r="H38" s="1">
        <f t="shared" si="21"/>
        <v>0</v>
      </c>
      <c r="J38" s="5" t="s">
        <v>13</v>
      </c>
      <c r="K38" s="1">
        <f t="shared" si="22"/>
        <v>0</v>
      </c>
      <c r="L38" s="1">
        <f t="shared" si="22"/>
        <v>0</v>
      </c>
      <c r="M38" s="1">
        <f t="shared" si="22"/>
        <v>0</v>
      </c>
      <c r="N38" s="1">
        <f t="shared" si="22"/>
        <v>0</v>
      </c>
      <c r="O38" s="1">
        <f t="shared" si="22"/>
        <v>1</v>
      </c>
      <c r="Q38" s="5" t="s">
        <v>13</v>
      </c>
      <c r="R38" s="1">
        <f t="shared" si="23"/>
        <v>0</v>
      </c>
      <c r="S38" s="1">
        <f t="shared" si="23"/>
        <v>1</v>
      </c>
      <c r="T38" s="1">
        <f t="shared" si="23"/>
        <v>1</v>
      </c>
      <c r="U38" s="1">
        <f t="shared" si="23"/>
        <v>0</v>
      </c>
      <c r="V38" s="1">
        <f t="shared" si="23"/>
        <v>0</v>
      </c>
      <c r="X38" s="5" t="s">
        <v>13</v>
      </c>
      <c r="Y38" s="1">
        <f t="shared" si="24"/>
        <v>0</v>
      </c>
      <c r="Z38" s="1">
        <f t="shared" si="24"/>
        <v>0</v>
      </c>
      <c r="AA38" s="1">
        <f t="shared" si="24"/>
        <v>0</v>
      </c>
      <c r="AB38" s="1">
        <f t="shared" si="24"/>
        <v>0</v>
      </c>
      <c r="AC38" s="1">
        <f t="shared" si="24"/>
        <v>0</v>
      </c>
      <c r="AE38" s="5" t="s">
        <v>13</v>
      </c>
      <c r="AF38" s="1">
        <f t="shared" si="25"/>
        <v>0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13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13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13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13</v>
      </c>
      <c r="BH38" s="1">
        <f t="shared" si="29"/>
        <v>0</v>
      </c>
      <c r="BJ38"/>
      <c r="BK38"/>
    </row>
    <row r="39" spans="1:63" x14ac:dyDescent="0.2">
      <c r="A39" s="17" t="s">
        <v>12</v>
      </c>
      <c r="C39" s="5" t="s">
        <v>12</v>
      </c>
      <c r="D39" s="1">
        <f t="shared" si="21"/>
        <v>0</v>
      </c>
      <c r="E39" s="1">
        <f t="shared" si="21"/>
        <v>0</v>
      </c>
      <c r="F39" s="1">
        <f t="shared" si="21"/>
        <v>1</v>
      </c>
      <c r="G39" s="1">
        <f t="shared" si="21"/>
        <v>0</v>
      </c>
      <c r="H39" s="1">
        <f t="shared" si="21"/>
        <v>0</v>
      </c>
      <c r="J39" s="5" t="s">
        <v>12</v>
      </c>
      <c r="K39" s="1">
        <f t="shared" si="22"/>
        <v>0</v>
      </c>
      <c r="L39" s="1">
        <f t="shared" si="22"/>
        <v>0</v>
      </c>
      <c r="M39" s="1">
        <f t="shared" si="22"/>
        <v>0</v>
      </c>
      <c r="N39" s="1">
        <f t="shared" si="22"/>
        <v>0</v>
      </c>
      <c r="O39" s="1">
        <f t="shared" si="22"/>
        <v>0</v>
      </c>
      <c r="Q39" s="5" t="s">
        <v>12</v>
      </c>
      <c r="R39" s="1">
        <f t="shared" si="23"/>
        <v>1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0</v>
      </c>
      <c r="X39" s="5" t="s">
        <v>12</v>
      </c>
      <c r="Y39" s="1">
        <f t="shared" si="24"/>
        <v>1</v>
      </c>
      <c r="Z39" s="1">
        <f t="shared" si="24"/>
        <v>0</v>
      </c>
      <c r="AA39" s="1">
        <f t="shared" si="24"/>
        <v>0</v>
      </c>
      <c r="AB39" s="1">
        <f t="shared" si="24"/>
        <v>0</v>
      </c>
      <c r="AC39" s="1">
        <f t="shared" si="24"/>
        <v>1</v>
      </c>
      <c r="AE39" s="5" t="s">
        <v>12</v>
      </c>
      <c r="AF39" s="1">
        <f t="shared" si="25"/>
        <v>1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12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12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12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12</v>
      </c>
      <c r="BH39" s="1">
        <f t="shared" si="29"/>
        <v>0</v>
      </c>
      <c r="BJ39"/>
      <c r="BK39"/>
    </row>
    <row r="40" spans="1:63" x14ac:dyDescent="0.2">
      <c r="A40" s="17" t="s">
        <v>9</v>
      </c>
      <c r="C40" s="5" t="s">
        <v>9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0</v>
      </c>
      <c r="J40" s="5" t="s">
        <v>9</v>
      </c>
      <c r="K40" s="1">
        <f t="shared" si="22"/>
        <v>0</v>
      </c>
      <c r="L40" s="1">
        <f t="shared" si="22"/>
        <v>0</v>
      </c>
      <c r="M40" s="1">
        <f t="shared" si="22"/>
        <v>0</v>
      </c>
      <c r="N40" s="1">
        <f t="shared" si="22"/>
        <v>0</v>
      </c>
      <c r="O40" s="1">
        <f t="shared" si="22"/>
        <v>0</v>
      </c>
      <c r="Q40" s="5" t="s">
        <v>9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0</v>
      </c>
      <c r="X40" s="5" t="s">
        <v>9</v>
      </c>
      <c r="Y40" s="1">
        <f t="shared" si="24"/>
        <v>0</v>
      </c>
      <c r="Z40" s="1">
        <f t="shared" si="24"/>
        <v>0</v>
      </c>
      <c r="AA40" s="1">
        <f t="shared" si="24"/>
        <v>1</v>
      </c>
      <c r="AB40" s="1">
        <f t="shared" si="24"/>
        <v>0</v>
      </c>
      <c r="AC40" s="1">
        <f t="shared" si="24"/>
        <v>0</v>
      </c>
      <c r="AE40" s="5" t="s">
        <v>9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9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9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9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9</v>
      </c>
      <c r="BH40" s="1">
        <f t="shared" si="29"/>
        <v>0</v>
      </c>
      <c r="BJ40"/>
      <c r="BK40"/>
    </row>
    <row r="41" spans="1:63" x14ac:dyDescent="0.2">
      <c r="A41" s="17" t="s">
        <v>14</v>
      </c>
      <c r="C41" s="5" t="s">
        <v>14</v>
      </c>
      <c r="D41" s="1">
        <f t="shared" si="21"/>
        <v>1</v>
      </c>
      <c r="E41" s="1">
        <f t="shared" si="21"/>
        <v>0</v>
      </c>
      <c r="F41" s="1">
        <f t="shared" si="21"/>
        <v>0</v>
      </c>
      <c r="G41" s="1">
        <f t="shared" si="21"/>
        <v>1</v>
      </c>
      <c r="H41" s="1">
        <f t="shared" si="21"/>
        <v>0</v>
      </c>
      <c r="J41" s="5" t="s">
        <v>14</v>
      </c>
      <c r="K41" s="1">
        <f t="shared" si="22"/>
        <v>0</v>
      </c>
      <c r="L41" s="1">
        <f t="shared" si="22"/>
        <v>1</v>
      </c>
      <c r="M41" s="1">
        <f t="shared" si="22"/>
        <v>0</v>
      </c>
      <c r="N41" s="1">
        <f t="shared" si="22"/>
        <v>0</v>
      </c>
      <c r="O41" s="1">
        <f t="shared" si="22"/>
        <v>0</v>
      </c>
      <c r="Q41" s="5" t="s">
        <v>14</v>
      </c>
      <c r="R41" s="1">
        <f t="shared" si="23"/>
        <v>0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X41" s="5" t="s">
        <v>14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1</v>
      </c>
      <c r="AC41" s="1">
        <f t="shared" si="24"/>
        <v>0</v>
      </c>
      <c r="AE41" s="5" t="s">
        <v>14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14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14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14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14</v>
      </c>
      <c r="BH41" s="1">
        <f t="shared" si="29"/>
        <v>0</v>
      </c>
      <c r="BJ41"/>
      <c r="BK41"/>
    </row>
    <row r="42" spans="1:63" x14ac:dyDescent="0.2">
      <c r="A42" s="17" t="s">
        <v>11</v>
      </c>
      <c r="C42" s="5" t="s">
        <v>11</v>
      </c>
      <c r="D42" s="1">
        <f t="shared" si="21"/>
        <v>0</v>
      </c>
      <c r="E42" s="1">
        <f t="shared" si="21"/>
        <v>0</v>
      </c>
      <c r="F42" s="1">
        <f t="shared" si="21"/>
        <v>0</v>
      </c>
      <c r="G42" s="1">
        <f t="shared" si="21"/>
        <v>0</v>
      </c>
      <c r="H42" s="1">
        <f t="shared" si="21"/>
        <v>0</v>
      </c>
      <c r="J42" s="5" t="s">
        <v>11</v>
      </c>
      <c r="K42" s="1">
        <f t="shared" si="22"/>
        <v>0</v>
      </c>
      <c r="L42" s="1">
        <f t="shared" si="22"/>
        <v>0</v>
      </c>
      <c r="M42" s="1">
        <f t="shared" si="22"/>
        <v>0</v>
      </c>
      <c r="N42" s="1">
        <f t="shared" si="22"/>
        <v>1</v>
      </c>
      <c r="O42" s="1">
        <f t="shared" si="22"/>
        <v>0</v>
      </c>
      <c r="Q42" s="5" t="s">
        <v>11</v>
      </c>
      <c r="R42" s="1">
        <f t="shared" si="23"/>
        <v>0</v>
      </c>
      <c r="S42" s="1">
        <f t="shared" si="23"/>
        <v>0</v>
      </c>
      <c r="T42" s="1">
        <f t="shared" si="23"/>
        <v>0</v>
      </c>
      <c r="U42" s="1">
        <f t="shared" si="23"/>
        <v>0</v>
      </c>
      <c r="V42" s="1">
        <f t="shared" si="23"/>
        <v>0</v>
      </c>
      <c r="X42" s="5" t="s">
        <v>11</v>
      </c>
      <c r="Y42" s="1">
        <f t="shared" si="24"/>
        <v>0</v>
      </c>
      <c r="Z42" s="1">
        <f t="shared" si="24"/>
        <v>1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E42" s="5" t="s">
        <v>11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11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11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11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11</v>
      </c>
      <c r="BH42" s="1">
        <f t="shared" si="29"/>
        <v>0</v>
      </c>
      <c r="BJ42"/>
      <c r="BK42"/>
    </row>
  </sheetData>
  <conditionalFormatting sqref="A19:A25">
    <cfRule type="containsText" dxfId="1744" priority="1359" operator="containsText" text="9ab">
      <formula>NOT(ISERROR(SEARCH("9ab",A19)))</formula>
    </cfRule>
    <cfRule type="cellIs" dxfId="1743" priority="1360" stopIfTrue="1" operator="equal">
      <formula>"leave"</formula>
    </cfRule>
    <cfRule type="containsText" dxfId="1742" priority="1361" operator="containsText" text="ds">
      <formula>NOT(ISERROR(SEARCH("ds",A19)))</formula>
    </cfRule>
    <cfRule type="containsText" dxfId="1741" priority="1362" operator="containsText" text="subobs">
      <formula>NOT(ISERROR(SEARCH("subobs",A19)))</formula>
    </cfRule>
    <cfRule type="containsText" dxfId="1740" priority="1363" operator="containsText" text="Call">
      <formula>NOT(ISERROR(SEARCH("Call",A19)))</formula>
    </cfRule>
    <cfRule type="containsText" dxfId="1739" priority="1365" operator="containsText" text="9ab">
      <formula>NOT(ISERROR(SEARCH("9ab",A19)))</formula>
    </cfRule>
    <cfRule type="cellIs" dxfId="1738" priority="1366" stopIfTrue="1" operator="equal">
      <formula>"leave"</formula>
    </cfRule>
    <cfRule type="containsText" dxfId="1737" priority="1367" operator="containsText" text="ds">
      <formula>NOT(ISERROR(SEARCH("ds",A19)))</formula>
    </cfRule>
    <cfRule type="containsText" dxfId="1736" priority="1368" operator="containsText" text="subobs">
      <formula>NOT(ISERROR(SEARCH("subobs",A19)))</formula>
    </cfRule>
    <cfRule type="containsText" dxfId="1735" priority="1369" stopIfTrue="1" operator="containsText" text="(Call)">
      <formula>NOT(ISERROR(SEARCH("(Call)",A19)))</formula>
    </cfRule>
    <cfRule type="containsText" dxfId="1734" priority="1371" operator="containsText" text="9ab">
      <formula>NOT(ISERROR(SEARCH("9ab",A19)))</formula>
    </cfRule>
    <cfRule type="cellIs" dxfId="1733" priority="1372" stopIfTrue="1" operator="equal">
      <formula>"leave"</formula>
    </cfRule>
    <cfRule type="containsText" dxfId="1732" priority="1373" operator="containsText" text="ds">
      <formula>NOT(ISERROR(SEARCH("ds",A19)))</formula>
    </cfRule>
    <cfRule type="containsText" dxfId="1731" priority="1374" operator="containsText" text="subobs">
      <formula>NOT(ISERROR(SEARCH("subobs",A19)))</formula>
    </cfRule>
    <cfRule type="containsText" dxfId="1730" priority="1375" operator="containsText" text="Call">
      <formula>NOT(ISERROR(SEARCH("Call",A19)))</formula>
    </cfRule>
    <cfRule type="cellIs" dxfId="1729" priority="1377" operator="equal">
      <formula>0</formula>
    </cfRule>
    <cfRule type="containsText" dxfId="1728" priority="1378" operator="containsText" text="9ab">
      <formula>NOT(ISERROR(SEARCH("9ab",A19)))</formula>
    </cfRule>
    <cfRule type="cellIs" dxfId="1727" priority="1379" stopIfTrue="1" operator="equal">
      <formula>"leave"</formula>
    </cfRule>
    <cfRule type="containsText" dxfId="1726" priority="1380" operator="containsText" text="ds">
      <formula>NOT(ISERROR(SEARCH("ds",A19)))</formula>
    </cfRule>
    <cfRule type="containsText" dxfId="1725" priority="1381" operator="containsText" text="subobs">
      <formula>NOT(ISERROR(SEARCH("subobs",A19)))</formula>
    </cfRule>
    <cfRule type="containsText" dxfId="1724" priority="1382" operator="containsText" text="Call">
      <formula>NOT(ISERROR(SEARCH("Call",A19)))</formula>
    </cfRule>
  </conditionalFormatting>
  <conditionalFormatting sqref="A19:A25">
    <cfRule type="containsText" dxfId="1723" priority="1929" operator="containsText" text="9ab">
      <formula>NOT(ISERROR(SEARCH("9ab",A19)))</formula>
    </cfRule>
    <cfRule type="cellIs" dxfId="1722" priority="1930" stopIfTrue="1" operator="equal">
      <formula>"leave"</formula>
    </cfRule>
    <cfRule type="containsText" dxfId="1721" priority="1931" operator="containsText" text="ds">
      <formula>NOT(ISERROR(SEARCH("ds",A19)))</formula>
    </cfRule>
    <cfRule type="containsText" dxfId="1720" priority="1932" operator="containsText" text="subobs">
      <formula>NOT(ISERROR(SEARCH("subobs",A19)))</formula>
    </cfRule>
    <cfRule type="containsText" dxfId="1719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718" priority="1358" operator="containsText" text="(Call)">
      <formula>NOT(ISERROR(SEARCH("(Call)",A1)))</formula>
    </cfRule>
    <cfRule type="cellIs" dxfId="1717" priority="1902" operator="equal">
      <formula>0</formula>
    </cfRule>
    <cfRule type="containsText" dxfId="1716" priority="1954" stopIfTrue="1" operator="containsText" text="9ab">
      <formula>NOT(ISERROR(SEARCH("9ab",A1)))</formula>
    </cfRule>
    <cfRule type="containsText" dxfId="1715" priority="1956" stopIfTrue="1" operator="containsText" text="ds">
      <formula>NOT(ISERROR(SEARCH("ds",A1)))</formula>
    </cfRule>
    <cfRule type="containsText" dxfId="1714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713" priority="1955" stopIfTrue="1" operator="equal">
      <formula>"leave"</formula>
    </cfRule>
  </conditionalFormatting>
  <conditionalFormatting sqref="BJ2:BK17 C1:BJ16 A1:A16 C26:BL26 A27:BJ27 A28:BL35 A19:BL25 A17:BJ18">
    <cfRule type="containsText" dxfId="1712" priority="1921" stopIfTrue="1" operator="containsText" text="go">
      <formula>NOT(ISERROR(SEARCH("go",A1)))</formula>
    </cfRule>
    <cfRule type="cellIs" dxfId="1711" priority="1953" operator="equal">
      <formula>"ps_cover"</formula>
    </cfRule>
  </conditionalFormatting>
  <conditionalFormatting sqref="BJ2:BK17 C1:BJ16 A1:A16 C26:BL26 A28:BL35 A27:BJ27 A19:BL25 A17:BJ18">
    <cfRule type="containsText" dxfId="1710" priority="1901" operator="containsText" text="b1">
      <formula>NOT(ISERROR(SEARCH("b1",A1)))</formula>
    </cfRule>
  </conditionalFormatting>
  <conditionalFormatting sqref="C28:AC35">
    <cfRule type="cellIs" dxfId="1709" priority="1665" operator="equal">
      <formula>0</formula>
    </cfRule>
  </conditionalFormatting>
  <conditionalFormatting sqref="C28:C33">
    <cfRule type="containsText" dxfId="1708" priority="1635" operator="containsText" text="9ab">
      <formula>NOT(ISERROR(SEARCH("9ab",C28)))</formula>
    </cfRule>
    <cfRule type="cellIs" dxfId="1707" priority="1636" stopIfTrue="1" operator="equal">
      <formula>"leave"</formula>
    </cfRule>
    <cfRule type="containsText" dxfId="1706" priority="1637" operator="containsText" text="ds">
      <formula>NOT(ISERROR(SEARCH("ds",C28)))</formula>
    </cfRule>
    <cfRule type="containsText" dxfId="1705" priority="1638" operator="containsText" text="subobs">
      <formula>NOT(ISERROR(SEARCH("subobs",C28)))</formula>
    </cfRule>
    <cfRule type="containsText" dxfId="1704" priority="1639" operator="containsText" text="Call">
      <formula>NOT(ISERROR(SEARCH("Call",C28)))</formula>
    </cfRule>
    <cfRule type="containsText" dxfId="1703" priority="1653" operator="containsText" text="9ab">
      <formula>NOT(ISERROR(SEARCH("9ab",C28)))</formula>
    </cfRule>
    <cfRule type="cellIs" dxfId="1702" priority="1654" stopIfTrue="1" operator="equal">
      <formula>"leave"</formula>
    </cfRule>
    <cfRule type="containsText" dxfId="1701" priority="1655" operator="containsText" text="ds">
      <formula>NOT(ISERROR(SEARCH("ds",C28)))</formula>
    </cfRule>
    <cfRule type="containsText" dxfId="1700" priority="1656" operator="containsText" text="subobs">
      <formula>NOT(ISERROR(SEARCH("subobs",C28)))</formula>
    </cfRule>
    <cfRule type="containsText" dxfId="1699" priority="1657" operator="containsText" text="Call">
      <formula>NOT(ISERROR(SEARCH("Call",C28)))</formula>
    </cfRule>
  </conditionalFormatting>
  <conditionalFormatting sqref="C28:C35">
    <cfRule type="containsText" dxfId="1698" priority="1641" operator="containsText" text="9ab">
      <formula>NOT(ISERROR(SEARCH("9ab",C28)))</formula>
    </cfRule>
    <cfRule type="cellIs" dxfId="1697" priority="1642" stopIfTrue="1" operator="equal">
      <formula>"leave"</formula>
    </cfRule>
    <cfRule type="containsText" dxfId="1696" priority="1643" operator="containsText" text="ds">
      <formula>NOT(ISERROR(SEARCH("ds",C28)))</formula>
    </cfRule>
    <cfRule type="containsText" dxfId="1695" priority="1644" operator="containsText" text="subobs">
      <formula>NOT(ISERROR(SEARCH("subobs",C28)))</formula>
    </cfRule>
    <cfRule type="containsText" dxfId="1694" priority="1645" stopIfTrue="1" operator="containsText" text="(Call)">
      <formula>NOT(ISERROR(SEARCH("(Call)",C28)))</formula>
    </cfRule>
  </conditionalFormatting>
  <conditionalFormatting sqref="C37:C42">
    <cfRule type="containsText" dxfId="1693" priority="1242" operator="containsText" text="9ab">
      <formula>NOT(ISERROR(SEARCH("9ab",C37)))</formula>
    </cfRule>
    <cfRule type="cellIs" dxfId="1692" priority="1243" stopIfTrue="1" operator="equal">
      <formula>"leave"</formula>
    </cfRule>
    <cfRule type="containsText" dxfId="1691" priority="1244" operator="containsText" text="ds">
      <formula>NOT(ISERROR(SEARCH("ds",C37)))</formula>
    </cfRule>
    <cfRule type="containsText" dxfId="1690" priority="1245" operator="containsText" text="subobs">
      <formula>NOT(ISERROR(SEARCH("subobs",C37)))</formula>
    </cfRule>
    <cfRule type="containsText" dxfId="1689" priority="1246" operator="containsText" text="Call">
      <formula>NOT(ISERROR(SEARCH("Call",C37)))</formula>
    </cfRule>
    <cfRule type="containsText" dxfId="1688" priority="1248" operator="containsText" text="9ab">
      <formula>NOT(ISERROR(SEARCH("9ab",C37)))</formula>
    </cfRule>
    <cfRule type="cellIs" dxfId="1687" priority="1249" stopIfTrue="1" operator="equal">
      <formula>"leave"</formula>
    </cfRule>
    <cfRule type="containsText" dxfId="1686" priority="1250" operator="containsText" text="ds">
      <formula>NOT(ISERROR(SEARCH("ds",C37)))</formula>
    </cfRule>
    <cfRule type="containsText" dxfId="1685" priority="1251" operator="containsText" text="subobs">
      <formula>NOT(ISERROR(SEARCH("subobs",C37)))</formula>
    </cfRule>
    <cfRule type="containsText" dxfId="1684" priority="1252" stopIfTrue="1" operator="containsText" text="(Call)">
      <formula>NOT(ISERROR(SEARCH("(Call)",C37)))</formula>
    </cfRule>
    <cfRule type="containsText" dxfId="1683" priority="1254" operator="containsText" text="9ab">
      <formula>NOT(ISERROR(SEARCH("9ab",C37)))</formula>
    </cfRule>
    <cfRule type="cellIs" dxfId="1682" priority="1255" stopIfTrue="1" operator="equal">
      <formula>"leave"</formula>
    </cfRule>
    <cfRule type="containsText" dxfId="1681" priority="1256" operator="containsText" text="ds">
      <formula>NOT(ISERROR(SEARCH("ds",C37)))</formula>
    </cfRule>
    <cfRule type="containsText" dxfId="1680" priority="1257" operator="containsText" text="subobs">
      <formula>NOT(ISERROR(SEARCH("subobs",C37)))</formula>
    </cfRule>
    <cfRule type="containsText" dxfId="1679" priority="1258" operator="containsText" text="Call">
      <formula>NOT(ISERROR(SEARCH("Call",C37)))</formula>
    </cfRule>
    <cfRule type="containsText" dxfId="1678" priority="1260" operator="containsText" text="9ab">
      <formula>NOT(ISERROR(SEARCH("9ab",C37)))</formula>
    </cfRule>
    <cfRule type="cellIs" dxfId="1677" priority="1261" stopIfTrue="1" operator="equal">
      <formula>"leave"</formula>
    </cfRule>
    <cfRule type="containsText" dxfId="1676" priority="1262" operator="containsText" text="ds">
      <formula>NOT(ISERROR(SEARCH("ds",C37)))</formula>
    </cfRule>
    <cfRule type="containsText" dxfId="1675" priority="1263" operator="containsText" text="subobs">
      <formula>NOT(ISERROR(SEARCH("subobs",C37)))</formula>
    </cfRule>
    <cfRule type="containsText" dxfId="1674" priority="1264" operator="containsText" text="Call">
      <formula>NOT(ISERROR(SEARCH("Call",C37)))</formula>
    </cfRule>
    <cfRule type="containsText" dxfId="1673" priority="1266" operator="containsText" text="9ab">
      <formula>NOT(ISERROR(SEARCH("9ab",C37)))</formula>
    </cfRule>
    <cfRule type="cellIs" dxfId="1672" priority="1267" stopIfTrue="1" operator="equal">
      <formula>"leave"</formula>
    </cfRule>
    <cfRule type="containsText" dxfId="1671" priority="1268" operator="containsText" text="ds">
      <formula>NOT(ISERROR(SEARCH("ds",C37)))</formula>
    </cfRule>
    <cfRule type="containsText" dxfId="1670" priority="1269" operator="containsText" text="subobs">
      <formula>NOT(ISERROR(SEARCH("subobs",C37)))</formula>
    </cfRule>
    <cfRule type="containsText" dxfId="1669" priority="1270" operator="containsText" text="Call">
      <formula>NOT(ISERROR(SEARCH("Call",C37)))</formula>
    </cfRule>
    <cfRule type="containsText" dxfId="1668" priority="1274" operator="containsText" text="9ab">
      <formula>NOT(ISERROR(SEARCH("9ab",C37)))</formula>
    </cfRule>
    <cfRule type="cellIs" dxfId="1667" priority="1275" stopIfTrue="1" operator="equal">
      <formula>"leave"</formula>
    </cfRule>
    <cfRule type="containsText" dxfId="1666" priority="1276" operator="containsText" text="ds">
      <formula>NOT(ISERROR(SEARCH("ds",C37)))</formula>
    </cfRule>
    <cfRule type="containsText" dxfId="1665" priority="1277" operator="containsText" text="subobs">
      <formula>NOT(ISERROR(SEARCH("subobs",C37)))</formula>
    </cfRule>
    <cfRule type="containsText" dxfId="1664" priority="1278" operator="containsText" text="Call">
      <formula>NOT(ISERROR(SEARCH("Call",C37)))</formula>
    </cfRule>
    <cfRule type="containsText" dxfId="1663" priority="1281" operator="containsText" text="9ab">
      <formula>NOT(ISERROR(SEARCH("9ab",C37)))</formula>
    </cfRule>
    <cfRule type="cellIs" dxfId="1662" priority="1282" stopIfTrue="1" operator="equal">
      <formula>"leave"</formula>
    </cfRule>
    <cfRule type="containsText" dxfId="1661" priority="1283" operator="containsText" text="ds">
      <formula>NOT(ISERROR(SEARCH("ds",C37)))</formula>
    </cfRule>
    <cfRule type="containsText" dxfId="1660" priority="1284" operator="containsText" text="subobs">
      <formula>NOT(ISERROR(SEARCH("subobs",C37)))</formula>
    </cfRule>
    <cfRule type="containsText" dxfId="1659" priority="1285" stopIfTrue="1" operator="containsText" text="(Call)">
      <formula>NOT(ISERROR(SEARCH("(Call)",C37)))</formula>
    </cfRule>
  </conditionalFormatting>
  <conditionalFormatting sqref="C36:D42 D37:H42">
    <cfRule type="containsText" dxfId="1658" priority="1272" operator="containsText" text="b1">
      <formula>NOT(ISERROR(SEARCH("b1",C36)))</formula>
    </cfRule>
    <cfRule type="cellIs" dxfId="1657" priority="1273" operator="equal">
      <formula>0</formula>
    </cfRule>
    <cfRule type="containsText" dxfId="1656" priority="1280" stopIfTrue="1" operator="containsText" text="go">
      <formula>NOT(ISERROR(SEARCH("go",C36)))</formula>
    </cfRule>
    <cfRule type="cellIs" dxfId="1655" priority="1287" operator="equal">
      <formula>"ps_cover"</formula>
    </cfRule>
    <cfRule type="containsText" dxfId="1654" priority="1288" stopIfTrue="1" operator="containsText" text="9ab">
      <formula>NOT(ISERROR(SEARCH("9ab",C36)))</formula>
    </cfRule>
    <cfRule type="containsText" dxfId="1653" priority="1289" stopIfTrue="1" operator="containsText" text="ds">
      <formula>NOT(ISERROR(SEARCH("ds",C36)))</formula>
    </cfRule>
    <cfRule type="containsText" dxfId="1652" priority="1290" stopIfTrue="1" operator="containsText" text="subobs">
      <formula>NOT(ISERROR(SEARCH("subobs",C36)))</formula>
    </cfRule>
  </conditionalFormatting>
  <conditionalFormatting sqref="C36:H42">
    <cfRule type="containsText" dxfId="1651" priority="1225" operator="containsText" text="(Call)">
      <formula>NOT(ISERROR(SEARCH("(Call)",C36)))</formula>
    </cfRule>
  </conditionalFormatting>
  <conditionalFormatting sqref="E36:H42">
    <cfRule type="containsText" dxfId="1650" priority="1226" operator="containsText" text="b1">
      <formula>NOT(ISERROR(SEARCH("b1",E36)))</formula>
    </cfRule>
    <cfRule type="cellIs" dxfId="1649" priority="1227" operator="equal">
      <formula>0</formula>
    </cfRule>
    <cfRule type="containsText" dxfId="1648" priority="1228" stopIfTrue="1" operator="containsText" text="go">
      <formula>NOT(ISERROR(SEARCH("go",E36)))</formula>
    </cfRule>
    <cfRule type="cellIs" dxfId="1647" priority="1229" operator="equal">
      <formula>"ps_cover"</formula>
    </cfRule>
    <cfRule type="containsText" dxfId="1646" priority="1230" stopIfTrue="1" operator="containsText" text="9ab">
      <formula>NOT(ISERROR(SEARCH("9ab",E36)))</formula>
    </cfRule>
    <cfRule type="containsText" dxfId="1645" priority="1231" stopIfTrue="1" operator="containsText" text="ds">
      <formula>NOT(ISERROR(SEARCH("ds",E36)))</formula>
    </cfRule>
    <cfRule type="containsText" dxfId="1644" priority="1232" stopIfTrue="1" operator="containsText" text="subobs">
      <formula>NOT(ISERROR(SEARCH("subobs",E36)))</formula>
    </cfRule>
  </conditionalFormatting>
  <conditionalFormatting sqref="J19:J25">
    <cfRule type="containsText" dxfId="1643" priority="1877" operator="containsText" text="9ab">
      <formula>NOT(ISERROR(SEARCH("9ab",J19)))</formula>
    </cfRule>
    <cfRule type="cellIs" dxfId="1642" priority="1878" stopIfTrue="1" operator="equal">
      <formula>"leave"</formula>
    </cfRule>
    <cfRule type="containsText" dxfId="1641" priority="1879" operator="containsText" text="ds">
      <formula>NOT(ISERROR(SEARCH("ds",J19)))</formula>
    </cfRule>
    <cfRule type="containsText" dxfId="1640" priority="1880" operator="containsText" text="subobs">
      <formula>NOT(ISERROR(SEARCH("subobs",J19)))</formula>
    </cfRule>
    <cfRule type="containsText" dxfId="1639" priority="1881" operator="containsText" text="Call">
      <formula>NOT(ISERROR(SEARCH("Call",J19)))</formula>
    </cfRule>
    <cfRule type="containsText" dxfId="1638" priority="1903" operator="containsText" text="9ab">
      <formula>NOT(ISERROR(SEARCH("9ab",J19)))</formula>
    </cfRule>
    <cfRule type="cellIs" dxfId="1637" priority="1904" stopIfTrue="1" operator="equal">
      <formula>"leave"</formula>
    </cfRule>
    <cfRule type="containsText" dxfId="1636" priority="1905" operator="containsText" text="ds">
      <formula>NOT(ISERROR(SEARCH("ds",J19)))</formula>
    </cfRule>
    <cfRule type="containsText" dxfId="1635" priority="1906" operator="containsText" text="subobs">
      <formula>NOT(ISERROR(SEARCH("subobs",J19)))</formula>
    </cfRule>
    <cfRule type="containsText" dxfId="1634" priority="1907" operator="containsText" text="Call">
      <formula>NOT(ISERROR(SEARCH("Call",J19)))</formula>
    </cfRule>
  </conditionalFormatting>
  <conditionalFormatting sqref="J19:J26">
    <cfRule type="containsText" dxfId="1633" priority="1883" operator="containsText" text="9ab">
      <formula>NOT(ISERROR(SEARCH("9ab",J19)))</formula>
    </cfRule>
    <cfRule type="cellIs" dxfId="1632" priority="1884" stopIfTrue="1" operator="equal">
      <formula>"leave"</formula>
    </cfRule>
    <cfRule type="containsText" dxfId="1631" priority="1885" operator="containsText" text="ds">
      <formula>NOT(ISERROR(SEARCH("ds",J19)))</formula>
    </cfRule>
    <cfRule type="containsText" dxfId="1630" priority="1886" operator="containsText" text="subobs">
      <formula>NOT(ISERROR(SEARCH("subobs",J19)))</formula>
    </cfRule>
    <cfRule type="containsText" dxfId="1629" priority="1887" stopIfTrue="1" operator="containsText" text="(Call)">
      <formula>NOT(ISERROR(SEARCH("(Call)",J19)))</formula>
    </cfRule>
    <cfRule type="containsText" dxfId="1628" priority="1947" operator="containsText" text="9ab">
      <formula>NOT(ISERROR(SEARCH("9ab",J19)))</formula>
    </cfRule>
    <cfRule type="cellIs" dxfId="1627" priority="1948" stopIfTrue="1" operator="equal">
      <formula>"leave"</formula>
    </cfRule>
    <cfRule type="containsText" dxfId="1626" priority="1949" operator="containsText" text="ds">
      <formula>NOT(ISERROR(SEARCH("ds",J19)))</formula>
    </cfRule>
    <cfRule type="containsText" dxfId="1625" priority="1950" operator="containsText" text="subobs">
      <formula>NOT(ISERROR(SEARCH("subobs",J19)))</formula>
    </cfRule>
    <cfRule type="containsText" dxfId="1624" priority="1951" operator="containsText" text="Call">
      <formula>NOT(ISERROR(SEARCH("Call",J19)))</formula>
    </cfRule>
  </conditionalFormatting>
  <conditionalFormatting sqref="J28:J33">
    <cfRule type="containsText" dxfId="1623" priority="1623" operator="containsText" text="9ab">
      <formula>NOT(ISERROR(SEARCH("9ab",J28)))</formula>
    </cfRule>
    <cfRule type="cellIs" dxfId="1622" priority="1624" stopIfTrue="1" operator="equal">
      <formula>"leave"</formula>
    </cfRule>
    <cfRule type="containsText" dxfId="1621" priority="1625" operator="containsText" text="ds">
      <formula>NOT(ISERROR(SEARCH("ds",J28)))</formula>
    </cfRule>
    <cfRule type="containsText" dxfId="1620" priority="1626" operator="containsText" text="subobs">
      <formula>NOT(ISERROR(SEARCH("subobs",J28)))</formula>
    </cfRule>
    <cfRule type="containsText" dxfId="1619" priority="1627" operator="containsText" text="Call">
      <formula>NOT(ISERROR(SEARCH("Call",J28)))</formula>
    </cfRule>
    <cfRule type="containsText" dxfId="1618" priority="1647" operator="containsText" text="9ab">
      <formula>NOT(ISERROR(SEARCH("9ab",J28)))</formula>
    </cfRule>
    <cfRule type="cellIs" dxfId="1617" priority="1648" stopIfTrue="1" operator="equal">
      <formula>"leave"</formula>
    </cfRule>
    <cfRule type="containsText" dxfId="1616" priority="1649" operator="containsText" text="ds">
      <formula>NOT(ISERROR(SEARCH("ds",J28)))</formula>
    </cfRule>
    <cfRule type="containsText" dxfId="1615" priority="1650" operator="containsText" text="subobs">
      <formula>NOT(ISERROR(SEARCH("subobs",J28)))</formula>
    </cfRule>
    <cfRule type="containsText" dxfId="1614" priority="1651" operator="containsText" text="Call">
      <formula>NOT(ISERROR(SEARCH("Call",J28)))</formula>
    </cfRule>
  </conditionalFormatting>
  <conditionalFormatting sqref="J28:J35">
    <cfRule type="containsText" dxfId="1613" priority="1629" operator="containsText" text="9ab">
      <formula>NOT(ISERROR(SEARCH("9ab",J28)))</formula>
    </cfRule>
    <cfRule type="cellIs" dxfId="1612" priority="1630" stopIfTrue="1" operator="equal">
      <formula>"leave"</formula>
    </cfRule>
    <cfRule type="containsText" dxfId="1611" priority="1631" operator="containsText" text="ds">
      <formula>NOT(ISERROR(SEARCH("ds",J28)))</formula>
    </cfRule>
    <cfRule type="containsText" dxfId="1610" priority="1632" operator="containsText" text="subobs">
      <formula>NOT(ISERROR(SEARCH("subobs",J28)))</formula>
    </cfRule>
    <cfRule type="containsText" dxfId="1609" priority="1633" stopIfTrue="1" operator="containsText" text="(Call)">
      <formula>NOT(ISERROR(SEARCH("(Call)",J28)))</formula>
    </cfRule>
    <cfRule type="containsText" dxfId="1608" priority="1690" operator="containsText" text="9ab">
      <formula>NOT(ISERROR(SEARCH("9ab",J28)))</formula>
    </cfRule>
    <cfRule type="cellIs" dxfId="1607" priority="1691" stopIfTrue="1" operator="equal">
      <formula>"leave"</formula>
    </cfRule>
    <cfRule type="containsText" dxfId="1606" priority="1692" operator="containsText" text="ds">
      <formula>NOT(ISERROR(SEARCH("ds",J28)))</formula>
    </cfRule>
    <cfRule type="containsText" dxfId="1605" priority="1693" operator="containsText" text="subobs">
      <formula>NOT(ISERROR(SEARCH("subobs",J28)))</formula>
    </cfRule>
    <cfRule type="containsText" dxfId="1604" priority="1694" operator="containsText" text="Call">
      <formula>NOT(ISERROR(SEARCH("Call",J28)))</formula>
    </cfRule>
  </conditionalFormatting>
  <conditionalFormatting sqref="J37:J42">
    <cfRule type="containsText" dxfId="1603" priority="1176" operator="containsText" text="9ab">
      <formula>NOT(ISERROR(SEARCH("9ab",J37)))</formula>
    </cfRule>
    <cfRule type="cellIs" dxfId="1602" priority="1177" stopIfTrue="1" operator="equal">
      <formula>"leave"</formula>
    </cfRule>
    <cfRule type="containsText" dxfId="1601" priority="1178" operator="containsText" text="ds">
      <formula>NOT(ISERROR(SEARCH("ds",J37)))</formula>
    </cfRule>
    <cfRule type="containsText" dxfId="1600" priority="1179" operator="containsText" text="subobs">
      <formula>NOT(ISERROR(SEARCH("subobs",J37)))</formula>
    </cfRule>
    <cfRule type="containsText" dxfId="1599" priority="1180" operator="containsText" text="Call">
      <formula>NOT(ISERROR(SEARCH("Call",J37)))</formula>
    </cfRule>
    <cfRule type="containsText" dxfId="1598" priority="1182" operator="containsText" text="9ab">
      <formula>NOT(ISERROR(SEARCH("9ab",J37)))</formula>
    </cfRule>
    <cfRule type="cellIs" dxfId="1597" priority="1183" stopIfTrue="1" operator="equal">
      <formula>"leave"</formula>
    </cfRule>
    <cfRule type="containsText" dxfId="1596" priority="1184" operator="containsText" text="ds">
      <formula>NOT(ISERROR(SEARCH("ds",J37)))</formula>
    </cfRule>
    <cfRule type="containsText" dxfId="1595" priority="1185" operator="containsText" text="subobs">
      <formula>NOT(ISERROR(SEARCH("subobs",J37)))</formula>
    </cfRule>
    <cfRule type="containsText" dxfId="1594" priority="1186" stopIfTrue="1" operator="containsText" text="(Call)">
      <formula>NOT(ISERROR(SEARCH("(Call)",J37)))</formula>
    </cfRule>
    <cfRule type="containsText" dxfId="1593" priority="1188" operator="containsText" text="9ab">
      <formula>NOT(ISERROR(SEARCH("9ab",J37)))</formula>
    </cfRule>
    <cfRule type="cellIs" dxfId="1592" priority="1189" stopIfTrue="1" operator="equal">
      <formula>"leave"</formula>
    </cfRule>
    <cfRule type="containsText" dxfId="1591" priority="1190" operator="containsText" text="ds">
      <formula>NOT(ISERROR(SEARCH("ds",J37)))</formula>
    </cfRule>
    <cfRule type="containsText" dxfId="1590" priority="1191" operator="containsText" text="subobs">
      <formula>NOT(ISERROR(SEARCH("subobs",J37)))</formula>
    </cfRule>
    <cfRule type="containsText" dxfId="1589" priority="1192" operator="containsText" text="Call">
      <formula>NOT(ISERROR(SEARCH("Call",J37)))</formula>
    </cfRule>
    <cfRule type="containsText" dxfId="1588" priority="1194" operator="containsText" text="9ab">
      <formula>NOT(ISERROR(SEARCH("9ab",J37)))</formula>
    </cfRule>
    <cfRule type="cellIs" dxfId="1587" priority="1195" stopIfTrue="1" operator="equal">
      <formula>"leave"</formula>
    </cfRule>
    <cfRule type="containsText" dxfId="1586" priority="1196" operator="containsText" text="ds">
      <formula>NOT(ISERROR(SEARCH("ds",J37)))</formula>
    </cfRule>
    <cfRule type="containsText" dxfId="1585" priority="1197" operator="containsText" text="subobs">
      <formula>NOT(ISERROR(SEARCH("subobs",J37)))</formula>
    </cfRule>
    <cfRule type="containsText" dxfId="1584" priority="1198" operator="containsText" text="Call">
      <formula>NOT(ISERROR(SEARCH("Call",J37)))</formula>
    </cfRule>
    <cfRule type="containsText" dxfId="1583" priority="1200" operator="containsText" text="9ab">
      <formula>NOT(ISERROR(SEARCH("9ab",J37)))</formula>
    </cfRule>
    <cfRule type="cellIs" dxfId="1582" priority="1201" stopIfTrue="1" operator="equal">
      <formula>"leave"</formula>
    </cfRule>
    <cfRule type="containsText" dxfId="1581" priority="1202" operator="containsText" text="ds">
      <formula>NOT(ISERROR(SEARCH("ds",J37)))</formula>
    </cfRule>
    <cfRule type="containsText" dxfId="1580" priority="1203" operator="containsText" text="subobs">
      <formula>NOT(ISERROR(SEARCH("subobs",J37)))</formula>
    </cfRule>
    <cfRule type="containsText" dxfId="1579" priority="1204" operator="containsText" text="Call">
      <formula>NOT(ISERROR(SEARCH("Call",J37)))</formula>
    </cfRule>
    <cfRule type="containsText" dxfId="1578" priority="1208" operator="containsText" text="9ab">
      <formula>NOT(ISERROR(SEARCH("9ab",J37)))</formula>
    </cfRule>
    <cfRule type="cellIs" dxfId="1577" priority="1209" stopIfTrue="1" operator="equal">
      <formula>"leave"</formula>
    </cfRule>
    <cfRule type="containsText" dxfId="1576" priority="1210" operator="containsText" text="ds">
      <formula>NOT(ISERROR(SEARCH("ds",J37)))</formula>
    </cfRule>
    <cfRule type="containsText" dxfId="1575" priority="1211" operator="containsText" text="subobs">
      <formula>NOT(ISERROR(SEARCH("subobs",J37)))</formula>
    </cfRule>
    <cfRule type="containsText" dxfId="1574" priority="1212" operator="containsText" text="Call">
      <formula>NOT(ISERROR(SEARCH("Call",J37)))</formula>
    </cfRule>
    <cfRule type="containsText" dxfId="1573" priority="1215" operator="containsText" text="9ab">
      <formula>NOT(ISERROR(SEARCH("9ab",J37)))</formula>
    </cfRule>
    <cfRule type="cellIs" dxfId="1572" priority="1216" stopIfTrue="1" operator="equal">
      <formula>"leave"</formula>
    </cfRule>
    <cfRule type="containsText" dxfId="1571" priority="1217" operator="containsText" text="ds">
      <formula>NOT(ISERROR(SEARCH("ds",J37)))</formula>
    </cfRule>
    <cfRule type="containsText" dxfId="1570" priority="1218" operator="containsText" text="subobs">
      <formula>NOT(ISERROR(SEARCH("subobs",J37)))</formula>
    </cfRule>
    <cfRule type="containsText" dxfId="1569" priority="1219" stopIfTrue="1" operator="containsText" text="(Call)">
      <formula>NOT(ISERROR(SEARCH("(Call)",J37)))</formula>
    </cfRule>
  </conditionalFormatting>
  <conditionalFormatting sqref="J36:K42">
    <cfRule type="containsText" dxfId="1568" priority="1206" operator="containsText" text="b1">
      <formula>NOT(ISERROR(SEARCH("b1",J36)))</formula>
    </cfRule>
    <cfRule type="cellIs" dxfId="1567" priority="1207" operator="equal">
      <formula>0</formula>
    </cfRule>
    <cfRule type="containsText" dxfId="1566" priority="1214" stopIfTrue="1" operator="containsText" text="go">
      <formula>NOT(ISERROR(SEARCH("go",J36)))</formula>
    </cfRule>
    <cfRule type="cellIs" dxfId="1565" priority="1221" operator="equal">
      <formula>"ps_cover"</formula>
    </cfRule>
    <cfRule type="containsText" dxfId="1564" priority="1222" stopIfTrue="1" operator="containsText" text="9ab">
      <formula>NOT(ISERROR(SEARCH("9ab",J36)))</formula>
    </cfRule>
    <cfRule type="containsText" dxfId="1563" priority="1223" stopIfTrue="1" operator="containsText" text="ds">
      <formula>NOT(ISERROR(SEARCH("ds",J36)))</formula>
    </cfRule>
    <cfRule type="containsText" dxfId="1562" priority="1224" stopIfTrue="1" operator="containsText" text="subobs">
      <formula>NOT(ISERROR(SEARCH("subobs",J36)))</formula>
    </cfRule>
  </conditionalFormatting>
  <conditionalFormatting sqref="J36:O42">
    <cfRule type="containsText" dxfId="1561" priority="1159" operator="containsText" text="(Call)">
      <formula>NOT(ISERROR(SEARCH("(Call)",J36)))</formula>
    </cfRule>
  </conditionalFormatting>
  <conditionalFormatting sqref="L36:O42">
    <cfRule type="containsText" dxfId="1560" priority="1160" operator="containsText" text="b1">
      <formula>NOT(ISERROR(SEARCH("b1",L36)))</formula>
    </cfRule>
    <cfRule type="cellIs" dxfId="1559" priority="1161" operator="equal">
      <formula>0</formula>
    </cfRule>
    <cfRule type="containsText" dxfId="1558" priority="1162" stopIfTrue="1" operator="containsText" text="go">
      <formula>NOT(ISERROR(SEARCH("go",L36)))</formula>
    </cfRule>
    <cfRule type="cellIs" dxfId="1557" priority="1163" operator="equal">
      <formula>"ps_cover"</formula>
    </cfRule>
    <cfRule type="containsText" dxfId="1556" priority="1164" stopIfTrue="1" operator="containsText" text="9ab">
      <formula>NOT(ISERROR(SEARCH("9ab",L36)))</formula>
    </cfRule>
    <cfRule type="containsText" dxfId="1555" priority="1165" stopIfTrue="1" operator="containsText" text="ds">
      <formula>NOT(ISERROR(SEARCH("ds",L36)))</formula>
    </cfRule>
    <cfRule type="containsText" dxfId="1554" priority="1166" stopIfTrue="1" operator="containsText" text="subobs">
      <formula>NOT(ISERROR(SEARCH("subobs",L36)))</formula>
    </cfRule>
  </conditionalFormatting>
  <conditionalFormatting sqref="Q19:Q25">
    <cfRule type="containsText" dxfId="1553" priority="1853" operator="containsText" text="9ab">
      <formula>NOT(ISERROR(SEARCH("9ab",Q19)))</formula>
    </cfRule>
    <cfRule type="cellIs" dxfId="1552" priority="1854" stopIfTrue="1" operator="equal">
      <formula>"leave"</formula>
    </cfRule>
    <cfRule type="containsText" dxfId="1551" priority="1855" operator="containsText" text="ds">
      <formula>NOT(ISERROR(SEARCH("ds",Q19)))</formula>
    </cfRule>
    <cfRule type="containsText" dxfId="1550" priority="1856" operator="containsText" text="subobs">
      <formula>NOT(ISERROR(SEARCH("subobs",Q19)))</formula>
    </cfRule>
    <cfRule type="containsText" dxfId="1549" priority="1857" operator="containsText" text="Call">
      <formula>NOT(ISERROR(SEARCH("Call",Q19)))</formula>
    </cfRule>
    <cfRule type="containsText" dxfId="1548" priority="1865" operator="containsText" text="9ab">
      <formula>NOT(ISERROR(SEARCH("9ab",Q19)))</formula>
    </cfRule>
    <cfRule type="cellIs" dxfId="1547" priority="1866" stopIfTrue="1" operator="equal">
      <formula>"leave"</formula>
    </cfRule>
    <cfRule type="containsText" dxfId="1546" priority="1867" operator="containsText" text="ds">
      <formula>NOT(ISERROR(SEARCH("ds",Q19)))</formula>
    </cfRule>
    <cfRule type="containsText" dxfId="1545" priority="1868" operator="containsText" text="subobs">
      <formula>NOT(ISERROR(SEARCH("subobs",Q19)))</formula>
    </cfRule>
    <cfRule type="containsText" dxfId="1544" priority="1869" operator="containsText" text="Call">
      <formula>NOT(ISERROR(SEARCH("Call",Q19)))</formula>
    </cfRule>
  </conditionalFormatting>
  <conditionalFormatting sqref="Q19:Q26">
    <cfRule type="containsText" dxfId="1543" priority="1859" operator="containsText" text="9ab">
      <formula>NOT(ISERROR(SEARCH("9ab",Q19)))</formula>
    </cfRule>
    <cfRule type="cellIs" dxfId="1542" priority="1860" stopIfTrue="1" operator="equal">
      <formula>"leave"</formula>
    </cfRule>
    <cfRule type="containsText" dxfId="1541" priority="1861" operator="containsText" text="ds">
      <formula>NOT(ISERROR(SEARCH("ds",Q19)))</formula>
    </cfRule>
    <cfRule type="containsText" dxfId="1540" priority="1862" operator="containsText" text="subobs">
      <formula>NOT(ISERROR(SEARCH("subobs",Q19)))</formula>
    </cfRule>
    <cfRule type="containsText" dxfId="1539" priority="1863" stopIfTrue="1" operator="containsText" text="(Call)">
      <formula>NOT(ISERROR(SEARCH("(Call)",Q19)))</formula>
    </cfRule>
    <cfRule type="containsText" dxfId="1538" priority="1871" operator="containsText" text="9ab">
      <formula>NOT(ISERROR(SEARCH("9ab",Q19)))</formula>
    </cfRule>
    <cfRule type="cellIs" dxfId="1537" priority="1872" stopIfTrue="1" operator="equal">
      <formula>"leave"</formula>
    </cfRule>
    <cfRule type="containsText" dxfId="1536" priority="1873" operator="containsText" text="ds">
      <formula>NOT(ISERROR(SEARCH("ds",Q19)))</formula>
    </cfRule>
    <cfRule type="containsText" dxfId="1535" priority="1874" operator="containsText" text="subobs">
      <formula>NOT(ISERROR(SEARCH("subobs",Q19)))</formula>
    </cfRule>
    <cfRule type="containsText" dxfId="1534" priority="1875" operator="containsText" text="Call">
      <formula>NOT(ISERROR(SEARCH("Call",Q19)))</formula>
    </cfRule>
    <cfRule type="containsText" dxfId="1533" priority="1941" operator="containsText" text="9ab">
      <formula>NOT(ISERROR(SEARCH("9ab",Q19)))</formula>
    </cfRule>
    <cfRule type="cellIs" dxfId="1532" priority="1942" stopIfTrue="1" operator="equal">
      <formula>"leave"</formula>
    </cfRule>
    <cfRule type="containsText" dxfId="1531" priority="1943" operator="containsText" text="ds">
      <formula>NOT(ISERROR(SEARCH("ds",Q19)))</formula>
    </cfRule>
    <cfRule type="containsText" dxfId="1530" priority="1944" operator="containsText" text="subobs">
      <formula>NOT(ISERROR(SEARCH("subobs",Q19)))</formula>
    </cfRule>
    <cfRule type="containsText" dxfId="1529" priority="1945" operator="containsText" text="Call">
      <formula>NOT(ISERROR(SEARCH("Call",Q19)))</formula>
    </cfRule>
  </conditionalFormatting>
  <conditionalFormatting sqref="Q28:Q33">
    <cfRule type="containsText" dxfId="1528" priority="1599" operator="containsText" text="9ab">
      <formula>NOT(ISERROR(SEARCH("9ab",Q28)))</formula>
    </cfRule>
    <cfRule type="cellIs" dxfId="1527" priority="1600" stopIfTrue="1" operator="equal">
      <formula>"leave"</formula>
    </cfRule>
    <cfRule type="containsText" dxfId="1526" priority="1601" operator="containsText" text="ds">
      <formula>NOT(ISERROR(SEARCH("ds",Q28)))</formula>
    </cfRule>
    <cfRule type="containsText" dxfId="1525" priority="1602" operator="containsText" text="subobs">
      <formula>NOT(ISERROR(SEARCH("subobs",Q28)))</formula>
    </cfRule>
    <cfRule type="containsText" dxfId="1524" priority="1603" operator="containsText" text="Call">
      <formula>NOT(ISERROR(SEARCH("Call",Q28)))</formula>
    </cfRule>
    <cfRule type="containsText" dxfId="1523" priority="1611" operator="containsText" text="9ab">
      <formula>NOT(ISERROR(SEARCH("9ab",Q28)))</formula>
    </cfRule>
    <cfRule type="cellIs" dxfId="1522" priority="1612" stopIfTrue="1" operator="equal">
      <formula>"leave"</formula>
    </cfRule>
    <cfRule type="containsText" dxfId="1521" priority="1613" operator="containsText" text="ds">
      <formula>NOT(ISERROR(SEARCH("ds",Q28)))</formula>
    </cfRule>
    <cfRule type="containsText" dxfId="1520" priority="1614" operator="containsText" text="subobs">
      <formula>NOT(ISERROR(SEARCH("subobs",Q28)))</formula>
    </cfRule>
    <cfRule type="containsText" dxfId="1519" priority="1615" operator="containsText" text="Call">
      <formula>NOT(ISERROR(SEARCH("Call",Q28)))</formula>
    </cfRule>
  </conditionalFormatting>
  <conditionalFormatting sqref="Q28:Q35">
    <cfRule type="containsText" dxfId="1518" priority="1605" operator="containsText" text="9ab">
      <formula>NOT(ISERROR(SEARCH("9ab",Q28)))</formula>
    </cfRule>
    <cfRule type="cellIs" dxfId="1517" priority="1606" stopIfTrue="1" operator="equal">
      <formula>"leave"</formula>
    </cfRule>
    <cfRule type="containsText" dxfId="1516" priority="1607" operator="containsText" text="ds">
      <formula>NOT(ISERROR(SEARCH("ds",Q28)))</formula>
    </cfRule>
    <cfRule type="containsText" dxfId="1515" priority="1608" operator="containsText" text="subobs">
      <formula>NOT(ISERROR(SEARCH("subobs",Q28)))</formula>
    </cfRule>
    <cfRule type="containsText" dxfId="1514" priority="1609" stopIfTrue="1" operator="containsText" text="(Call)">
      <formula>NOT(ISERROR(SEARCH("(Call)",Q28)))</formula>
    </cfRule>
    <cfRule type="containsText" dxfId="1513" priority="1617" operator="containsText" text="9ab">
      <formula>NOT(ISERROR(SEARCH("9ab",Q28)))</formula>
    </cfRule>
    <cfRule type="cellIs" dxfId="1512" priority="1618" stopIfTrue="1" operator="equal">
      <formula>"leave"</formula>
    </cfRule>
    <cfRule type="containsText" dxfId="1511" priority="1619" operator="containsText" text="ds">
      <formula>NOT(ISERROR(SEARCH("ds",Q28)))</formula>
    </cfRule>
    <cfRule type="containsText" dxfId="1510" priority="1620" operator="containsText" text="subobs">
      <formula>NOT(ISERROR(SEARCH("subobs",Q28)))</formula>
    </cfRule>
    <cfRule type="containsText" dxfId="1509" priority="1621" operator="containsText" text="Call">
      <formula>NOT(ISERROR(SEARCH("Call",Q28)))</formula>
    </cfRule>
    <cfRule type="containsText" dxfId="1508" priority="1684" operator="containsText" text="9ab">
      <formula>NOT(ISERROR(SEARCH("9ab",Q28)))</formula>
    </cfRule>
    <cfRule type="cellIs" dxfId="1507" priority="1685" stopIfTrue="1" operator="equal">
      <formula>"leave"</formula>
    </cfRule>
    <cfRule type="containsText" dxfId="1506" priority="1686" operator="containsText" text="ds">
      <formula>NOT(ISERROR(SEARCH("ds",Q28)))</formula>
    </cfRule>
    <cfRule type="containsText" dxfId="1505" priority="1687" operator="containsText" text="subobs">
      <formula>NOT(ISERROR(SEARCH("subobs",Q28)))</formula>
    </cfRule>
    <cfRule type="containsText" dxfId="1504" priority="1688" operator="containsText" text="Call">
      <formula>NOT(ISERROR(SEARCH("Call",Q28)))</formula>
    </cfRule>
  </conditionalFormatting>
  <conditionalFormatting sqref="Q37:Q42">
    <cfRule type="containsText" dxfId="1503" priority="1110" operator="containsText" text="9ab">
      <formula>NOT(ISERROR(SEARCH("9ab",Q37)))</formula>
    </cfRule>
    <cfRule type="cellIs" dxfId="1502" priority="1111" stopIfTrue="1" operator="equal">
      <formula>"leave"</formula>
    </cfRule>
    <cfRule type="containsText" dxfId="1501" priority="1112" operator="containsText" text="ds">
      <formula>NOT(ISERROR(SEARCH("ds",Q37)))</formula>
    </cfRule>
    <cfRule type="containsText" dxfId="1500" priority="1113" operator="containsText" text="subobs">
      <formula>NOT(ISERROR(SEARCH("subobs",Q37)))</formula>
    </cfRule>
    <cfRule type="containsText" dxfId="1499" priority="1114" operator="containsText" text="Call">
      <formula>NOT(ISERROR(SEARCH("Call",Q37)))</formula>
    </cfRule>
    <cfRule type="containsText" dxfId="1498" priority="1116" operator="containsText" text="9ab">
      <formula>NOT(ISERROR(SEARCH("9ab",Q37)))</formula>
    </cfRule>
    <cfRule type="cellIs" dxfId="1497" priority="1117" stopIfTrue="1" operator="equal">
      <formula>"leave"</formula>
    </cfRule>
    <cfRule type="containsText" dxfId="1496" priority="1118" operator="containsText" text="ds">
      <formula>NOT(ISERROR(SEARCH("ds",Q37)))</formula>
    </cfRule>
    <cfRule type="containsText" dxfId="1495" priority="1119" operator="containsText" text="subobs">
      <formula>NOT(ISERROR(SEARCH("subobs",Q37)))</formula>
    </cfRule>
    <cfRule type="containsText" dxfId="1494" priority="1120" stopIfTrue="1" operator="containsText" text="(Call)">
      <formula>NOT(ISERROR(SEARCH("(Call)",Q37)))</formula>
    </cfRule>
    <cfRule type="containsText" dxfId="1493" priority="1122" operator="containsText" text="9ab">
      <formula>NOT(ISERROR(SEARCH("9ab",Q37)))</formula>
    </cfRule>
    <cfRule type="cellIs" dxfId="1492" priority="1123" stopIfTrue="1" operator="equal">
      <formula>"leave"</formula>
    </cfRule>
    <cfRule type="containsText" dxfId="1491" priority="1124" operator="containsText" text="ds">
      <formula>NOT(ISERROR(SEARCH("ds",Q37)))</formula>
    </cfRule>
    <cfRule type="containsText" dxfId="1490" priority="1125" operator="containsText" text="subobs">
      <formula>NOT(ISERROR(SEARCH("subobs",Q37)))</formula>
    </cfRule>
    <cfRule type="containsText" dxfId="1489" priority="1126" operator="containsText" text="Call">
      <formula>NOT(ISERROR(SEARCH("Call",Q37)))</formula>
    </cfRule>
    <cfRule type="containsText" dxfId="1488" priority="1128" operator="containsText" text="9ab">
      <formula>NOT(ISERROR(SEARCH("9ab",Q37)))</formula>
    </cfRule>
    <cfRule type="cellIs" dxfId="1487" priority="1129" stopIfTrue="1" operator="equal">
      <formula>"leave"</formula>
    </cfRule>
    <cfRule type="containsText" dxfId="1486" priority="1130" operator="containsText" text="ds">
      <formula>NOT(ISERROR(SEARCH("ds",Q37)))</formula>
    </cfRule>
    <cfRule type="containsText" dxfId="1485" priority="1131" operator="containsText" text="subobs">
      <formula>NOT(ISERROR(SEARCH("subobs",Q37)))</formula>
    </cfRule>
    <cfRule type="containsText" dxfId="1484" priority="1132" operator="containsText" text="Call">
      <formula>NOT(ISERROR(SEARCH("Call",Q37)))</formula>
    </cfRule>
    <cfRule type="containsText" dxfId="1483" priority="1134" operator="containsText" text="9ab">
      <formula>NOT(ISERROR(SEARCH("9ab",Q37)))</formula>
    </cfRule>
    <cfRule type="cellIs" dxfId="1482" priority="1135" stopIfTrue="1" operator="equal">
      <formula>"leave"</formula>
    </cfRule>
    <cfRule type="containsText" dxfId="1481" priority="1136" operator="containsText" text="ds">
      <formula>NOT(ISERROR(SEARCH("ds",Q37)))</formula>
    </cfRule>
    <cfRule type="containsText" dxfId="1480" priority="1137" operator="containsText" text="subobs">
      <formula>NOT(ISERROR(SEARCH("subobs",Q37)))</formula>
    </cfRule>
    <cfRule type="containsText" dxfId="1479" priority="1138" operator="containsText" text="Call">
      <formula>NOT(ISERROR(SEARCH("Call",Q37)))</formula>
    </cfRule>
    <cfRule type="containsText" dxfId="1478" priority="1142" operator="containsText" text="9ab">
      <formula>NOT(ISERROR(SEARCH("9ab",Q37)))</formula>
    </cfRule>
    <cfRule type="cellIs" dxfId="1477" priority="1143" stopIfTrue="1" operator="equal">
      <formula>"leave"</formula>
    </cfRule>
    <cfRule type="containsText" dxfId="1476" priority="1144" operator="containsText" text="ds">
      <formula>NOT(ISERROR(SEARCH("ds",Q37)))</formula>
    </cfRule>
    <cfRule type="containsText" dxfId="1475" priority="1145" operator="containsText" text="subobs">
      <formula>NOT(ISERROR(SEARCH("subobs",Q37)))</formula>
    </cfRule>
    <cfRule type="containsText" dxfId="1474" priority="1146" operator="containsText" text="Call">
      <formula>NOT(ISERROR(SEARCH("Call",Q37)))</formula>
    </cfRule>
    <cfRule type="containsText" dxfId="1473" priority="1149" operator="containsText" text="9ab">
      <formula>NOT(ISERROR(SEARCH("9ab",Q37)))</formula>
    </cfRule>
    <cfRule type="cellIs" dxfId="1472" priority="1150" stopIfTrue="1" operator="equal">
      <formula>"leave"</formula>
    </cfRule>
    <cfRule type="containsText" dxfId="1471" priority="1151" operator="containsText" text="ds">
      <formula>NOT(ISERROR(SEARCH("ds",Q37)))</formula>
    </cfRule>
    <cfRule type="containsText" dxfId="1470" priority="1152" operator="containsText" text="subobs">
      <formula>NOT(ISERROR(SEARCH("subobs",Q37)))</formula>
    </cfRule>
    <cfRule type="containsText" dxfId="1469" priority="1153" stopIfTrue="1" operator="containsText" text="(Call)">
      <formula>NOT(ISERROR(SEARCH("(Call)",Q37)))</formula>
    </cfRule>
  </conditionalFormatting>
  <conditionalFormatting sqref="Q36:R42">
    <cfRule type="containsText" dxfId="1468" priority="1140" operator="containsText" text="b1">
      <formula>NOT(ISERROR(SEARCH("b1",Q36)))</formula>
    </cfRule>
    <cfRule type="cellIs" dxfId="1467" priority="1141" operator="equal">
      <formula>0</formula>
    </cfRule>
    <cfRule type="containsText" dxfId="1466" priority="1148" stopIfTrue="1" operator="containsText" text="go">
      <formula>NOT(ISERROR(SEARCH("go",Q36)))</formula>
    </cfRule>
    <cfRule type="cellIs" dxfId="1465" priority="1155" operator="equal">
      <formula>"ps_cover"</formula>
    </cfRule>
    <cfRule type="containsText" dxfId="1464" priority="1156" stopIfTrue="1" operator="containsText" text="9ab">
      <formula>NOT(ISERROR(SEARCH("9ab",Q36)))</formula>
    </cfRule>
    <cfRule type="containsText" dxfId="1463" priority="1157" stopIfTrue="1" operator="containsText" text="ds">
      <formula>NOT(ISERROR(SEARCH("ds",Q36)))</formula>
    </cfRule>
    <cfRule type="containsText" dxfId="1462" priority="1158" stopIfTrue="1" operator="containsText" text="subobs">
      <formula>NOT(ISERROR(SEARCH("subobs",Q36)))</formula>
    </cfRule>
  </conditionalFormatting>
  <conditionalFormatting sqref="Q36:V42">
    <cfRule type="containsText" dxfId="1461" priority="1093" operator="containsText" text="(Call)">
      <formula>NOT(ISERROR(SEARCH("(Call)",Q36)))</formula>
    </cfRule>
  </conditionalFormatting>
  <conditionalFormatting sqref="S36:V42">
    <cfRule type="containsText" dxfId="1460" priority="1094" operator="containsText" text="b1">
      <formula>NOT(ISERROR(SEARCH("b1",S36)))</formula>
    </cfRule>
    <cfRule type="cellIs" dxfId="1459" priority="1095" operator="equal">
      <formula>0</formula>
    </cfRule>
    <cfRule type="containsText" dxfId="1458" priority="1096" stopIfTrue="1" operator="containsText" text="go">
      <formula>NOT(ISERROR(SEARCH("go",S36)))</formula>
    </cfRule>
    <cfRule type="cellIs" dxfId="1457" priority="1097" operator="equal">
      <formula>"ps_cover"</formula>
    </cfRule>
    <cfRule type="containsText" dxfId="1456" priority="1098" stopIfTrue="1" operator="containsText" text="9ab">
      <formula>NOT(ISERROR(SEARCH("9ab",S36)))</formula>
    </cfRule>
    <cfRule type="containsText" dxfId="1455" priority="1099" stopIfTrue="1" operator="containsText" text="ds">
      <formula>NOT(ISERROR(SEARCH("ds",S36)))</formula>
    </cfRule>
    <cfRule type="containsText" dxfId="1454" priority="1100" stopIfTrue="1" operator="containsText" text="subobs">
      <formula>NOT(ISERROR(SEARCH("subobs",S36)))</formula>
    </cfRule>
  </conditionalFormatting>
  <conditionalFormatting sqref="X19:X25">
    <cfRule type="containsText" dxfId="1453" priority="1829" operator="containsText" text="9ab">
      <formula>NOT(ISERROR(SEARCH("9ab",X19)))</formula>
    </cfRule>
    <cfRule type="cellIs" dxfId="1452" priority="1830" stopIfTrue="1" operator="equal">
      <formula>"leave"</formula>
    </cfRule>
    <cfRule type="containsText" dxfId="1451" priority="1831" operator="containsText" text="ds">
      <formula>NOT(ISERROR(SEARCH("ds",X19)))</formula>
    </cfRule>
    <cfRule type="containsText" dxfId="1450" priority="1832" operator="containsText" text="subobs">
      <formula>NOT(ISERROR(SEARCH("subobs",X19)))</formula>
    </cfRule>
    <cfRule type="containsText" dxfId="1449" priority="1833" operator="containsText" text="Call">
      <formula>NOT(ISERROR(SEARCH("Call",X19)))</formula>
    </cfRule>
    <cfRule type="containsText" dxfId="1448" priority="1841" operator="containsText" text="9ab">
      <formula>NOT(ISERROR(SEARCH("9ab",X19)))</formula>
    </cfRule>
    <cfRule type="cellIs" dxfId="1447" priority="1842" stopIfTrue="1" operator="equal">
      <formula>"leave"</formula>
    </cfRule>
    <cfRule type="containsText" dxfId="1446" priority="1843" operator="containsText" text="ds">
      <formula>NOT(ISERROR(SEARCH("ds",X19)))</formula>
    </cfRule>
    <cfRule type="containsText" dxfId="1445" priority="1844" operator="containsText" text="subobs">
      <formula>NOT(ISERROR(SEARCH("subobs",X19)))</formula>
    </cfRule>
    <cfRule type="containsText" dxfId="1444" priority="1845" operator="containsText" text="Call">
      <formula>NOT(ISERROR(SEARCH("Call",X19)))</formula>
    </cfRule>
  </conditionalFormatting>
  <conditionalFormatting sqref="X19:X26">
    <cfRule type="containsText" dxfId="1443" priority="1835" operator="containsText" text="9ab">
      <formula>NOT(ISERROR(SEARCH("9ab",X19)))</formula>
    </cfRule>
    <cfRule type="cellIs" dxfId="1442" priority="1836" stopIfTrue="1" operator="equal">
      <formula>"leave"</formula>
    </cfRule>
    <cfRule type="containsText" dxfId="1441" priority="1837" operator="containsText" text="ds">
      <formula>NOT(ISERROR(SEARCH("ds",X19)))</formula>
    </cfRule>
    <cfRule type="containsText" dxfId="1440" priority="1838" operator="containsText" text="subobs">
      <formula>NOT(ISERROR(SEARCH("subobs",X19)))</formula>
    </cfRule>
    <cfRule type="containsText" dxfId="1439" priority="1839" stopIfTrue="1" operator="containsText" text="(Call)">
      <formula>NOT(ISERROR(SEARCH("(Call)",X19)))</formula>
    </cfRule>
    <cfRule type="containsText" dxfId="1438" priority="1847" operator="containsText" text="9ab">
      <formula>NOT(ISERROR(SEARCH("9ab",X19)))</formula>
    </cfRule>
    <cfRule type="cellIs" dxfId="1437" priority="1848" stopIfTrue="1" operator="equal">
      <formula>"leave"</formula>
    </cfRule>
    <cfRule type="containsText" dxfId="1436" priority="1849" operator="containsText" text="ds">
      <formula>NOT(ISERROR(SEARCH("ds",X19)))</formula>
    </cfRule>
    <cfRule type="containsText" dxfId="1435" priority="1850" operator="containsText" text="subobs">
      <formula>NOT(ISERROR(SEARCH("subobs",X19)))</formula>
    </cfRule>
    <cfRule type="containsText" dxfId="1434" priority="1851" operator="containsText" text="Call">
      <formula>NOT(ISERROR(SEARCH("Call",X19)))</formula>
    </cfRule>
    <cfRule type="containsText" dxfId="1433" priority="1935" operator="containsText" text="9ab">
      <formula>NOT(ISERROR(SEARCH("9ab",X19)))</formula>
    </cfRule>
    <cfRule type="cellIs" dxfId="1432" priority="1936" stopIfTrue="1" operator="equal">
      <formula>"leave"</formula>
    </cfRule>
    <cfRule type="containsText" dxfId="1431" priority="1937" operator="containsText" text="ds">
      <formula>NOT(ISERROR(SEARCH("ds",X19)))</formula>
    </cfRule>
    <cfRule type="containsText" dxfId="1430" priority="1938" operator="containsText" text="subobs">
      <formula>NOT(ISERROR(SEARCH("subobs",X19)))</formula>
    </cfRule>
    <cfRule type="containsText" dxfId="1429" priority="1939" operator="containsText" text="Call">
      <formula>NOT(ISERROR(SEARCH("Call",X19)))</formula>
    </cfRule>
  </conditionalFormatting>
  <conditionalFormatting sqref="X28:X33">
    <cfRule type="containsText" dxfId="1428" priority="1575" operator="containsText" text="9ab">
      <formula>NOT(ISERROR(SEARCH("9ab",X28)))</formula>
    </cfRule>
    <cfRule type="cellIs" dxfId="1427" priority="1576" stopIfTrue="1" operator="equal">
      <formula>"leave"</formula>
    </cfRule>
    <cfRule type="containsText" dxfId="1426" priority="1577" operator="containsText" text="ds">
      <formula>NOT(ISERROR(SEARCH("ds",X28)))</formula>
    </cfRule>
    <cfRule type="containsText" dxfId="1425" priority="1578" operator="containsText" text="subobs">
      <formula>NOT(ISERROR(SEARCH("subobs",X28)))</formula>
    </cfRule>
    <cfRule type="containsText" dxfId="1424" priority="1579" operator="containsText" text="Call">
      <formula>NOT(ISERROR(SEARCH("Call",X28)))</formula>
    </cfRule>
    <cfRule type="containsText" dxfId="1423" priority="1587" operator="containsText" text="9ab">
      <formula>NOT(ISERROR(SEARCH("9ab",X28)))</formula>
    </cfRule>
    <cfRule type="cellIs" dxfId="1422" priority="1588" stopIfTrue="1" operator="equal">
      <formula>"leave"</formula>
    </cfRule>
    <cfRule type="containsText" dxfId="1421" priority="1589" operator="containsText" text="ds">
      <formula>NOT(ISERROR(SEARCH("ds",X28)))</formula>
    </cfRule>
    <cfRule type="containsText" dxfId="1420" priority="1590" operator="containsText" text="subobs">
      <formula>NOT(ISERROR(SEARCH("subobs",X28)))</formula>
    </cfRule>
    <cfRule type="containsText" dxfId="1419" priority="1591" operator="containsText" text="Call">
      <formula>NOT(ISERROR(SEARCH("Call",X28)))</formula>
    </cfRule>
  </conditionalFormatting>
  <conditionalFormatting sqref="X28:X35">
    <cfRule type="containsText" dxfId="1418" priority="1581" operator="containsText" text="9ab">
      <formula>NOT(ISERROR(SEARCH("9ab",X28)))</formula>
    </cfRule>
    <cfRule type="cellIs" dxfId="1417" priority="1582" stopIfTrue="1" operator="equal">
      <formula>"leave"</formula>
    </cfRule>
    <cfRule type="containsText" dxfId="1416" priority="1583" operator="containsText" text="ds">
      <formula>NOT(ISERROR(SEARCH("ds",X28)))</formula>
    </cfRule>
    <cfRule type="containsText" dxfId="1415" priority="1584" operator="containsText" text="subobs">
      <formula>NOT(ISERROR(SEARCH("subobs",X28)))</formula>
    </cfRule>
    <cfRule type="containsText" dxfId="1414" priority="1585" stopIfTrue="1" operator="containsText" text="(Call)">
      <formula>NOT(ISERROR(SEARCH("(Call)",X28)))</formula>
    </cfRule>
    <cfRule type="containsText" dxfId="1413" priority="1593" operator="containsText" text="9ab">
      <formula>NOT(ISERROR(SEARCH("9ab",X28)))</formula>
    </cfRule>
    <cfRule type="cellIs" dxfId="1412" priority="1594" stopIfTrue="1" operator="equal">
      <formula>"leave"</formula>
    </cfRule>
    <cfRule type="containsText" dxfId="1411" priority="1595" operator="containsText" text="ds">
      <formula>NOT(ISERROR(SEARCH("ds",X28)))</formula>
    </cfRule>
    <cfRule type="containsText" dxfId="1410" priority="1596" operator="containsText" text="subobs">
      <formula>NOT(ISERROR(SEARCH("subobs",X28)))</formula>
    </cfRule>
    <cfRule type="containsText" dxfId="1409" priority="1597" operator="containsText" text="Call">
      <formula>NOT(ISERROR(SEARCH("Call",X28)))</formula>
    </cfRule>
    <cfRule type="containsText" dxfId="1408" priority="1678" operator="containsText" text="9ab">
      <formula>NOT(ISERROR(SEARCH("9ab",X28)))</formula>
    </cfRule>
    <cfRule type="cellIs" dxfId="1407" priority="1679" stopIfTrue="1" operator="equal">
      <formula>"leave"</formula>
    </cfRule>
    <cfRule type="containsText" dxfId="1406" priority="1680" operator="containsText" text="ds">
      <formula>NOT(ISERROR(SEARCH("ds",X28)))</formula>
    </cfRule>
    <cfRule type="containsText" dxfId="1405" priority="1681" operator="containsText" text="subobs">
      <formula>NOT(ISERROR(SEARCH("subobs",X28)))</formula>
    </cfRule>
    <cfRule type="containsText" dxfId="1404" priority="1682" operator="containsText" text="Call">
      <formula>NOT(ISERROR(SEARCH("Call",X28)))</formula>
    </cfRule>
  </conditionalFormatting>
  <conditionalFormatting sqref="X37:X42">
    <cfRule type="containsText" dxfId="1403" priority="1044" operator="containsText" text="9ab">
      <formula>NOT(ISERROR(SEARCH("9ab",X37)))</formula>
    </cfRule>
    <cfRule type="cellIs" dxfId="1402" priority="1045" stopIfTrue="1" operator="equal">
      <formula>"leave"</formula>
    </cfRule>
    <cfRule type="containsText" dxfId="1401" priority="1046" operator="containsText" text="ds">
      <formula>NOT(ISERROR(SEARCH("ds",X37)))</formula>
    </cfRule>
    <cfRule type="containsText" dxfId="1400" priority="1047" operator="containsText" text="subobs">
      <formula>NOT(ISERROR(SEARCH("subobs",X37)))</formula>
    </cfRule>
    <cfRule type="containsText" dxfId="1399" priority="1048" operator="containsText" text="Call">
      <formula>NOT(ISERROR(SEARCH("Call",X37)))</formula>
    </cfRule>
    <cfRule type="containsText" dxfId="1398" priority="1050" operator="containsText" text="9ab">
      <formula>NOT(ISERROR(SEARCH("9ab",X37)))</formula>
    </cfRule>
    <cfRule type="cellIs" dxfId="1397" priority="1051" stopIfTrue="1" operator="equal">
      <formula>"leave"</formula>
    </cfRule>
    <cfRule type="containsText" dxfId="1396" priority="1052" operator="containsText" text="ds">
      <formula>NOT(ISERROR(SEARCH("ds",X37)))</formula>
    </cfRule>
    <cfRule type="containsText" dxfId="1395" priority="1053" operator="containsText" text="subobs">
      <formula>NOT(ISERROR(SEARCH("subobs",X37)))</formula>
    </cfRule>
    <cfRule type="containsText" dxfId="1394" priority="1054" stopIfTrue="1" operator="containsText" text="(Call)">
      <formula>NOT(ISERROR(SEARCH("(Call)",X37)))</formula>
    </cfRule>
    <cfRule type="containsText" dxfId="1393" priority="1056" operator="containsText" text="9ab">
      <formula>NOT(ISERROR(SEARCH("9ab",X37)))</formula>
    </cfRule>
    <cfRule type="cellIs" dxfId="1392" priority="1057" stopIfTrue="1" operator="equal">
      <formula>"leave"</formula>
    </cfRule>
    <cfRule type="containsText" dxfId="1391" priority="1058" operator="containsText" text="ds">
      <formula>NOT(ISERROR(SEARCH("ds",X37)))</formula>
    </cfRule>
    <cfRule type="containsText" dxfId="1390" priority="1059" operator="containsText" text="subobs">
      <formula>NOT(ISERROR(SEARCH("subobs",X37)))</formula>
    </cfRule>
    <cfRule type="containsText" dxfId="1389" priority="1060" operator="containsText" text="Call">
      <formula>NOT(ISERROR(SEARCH("Call",X37)))</formula>
    </cfRule>
    <cfRule type="containsText" dxfId="1388" priority="1062" operator="containsText" text="9ab">
      <formula>NOT(ISERROR(SEARCH("9ab",X37)))</formula>
    </cfRule>
    <cfRule type="cellIs" dxfId="1387" priority="1063" stopIfTrue="1" operator="equal">
      <formula>"leave"</formula>
    </cfRule>
    <cfRule type="containsText" dxfId="1386" priority="1064" operator="containsText" text="ds">
      <formula>NOT(ISERROR(SEARCH("ds",X37)))</formula>
    </cfRule>
    <cfRule type="containsText" dxfId="1385" priority="1065" operator="containsText" text="subobs">
      <formula>NOT(ISERROR(SEARCH("subobs",X37)))</formula>
    </cfRule>
    <cfRule type="containsText" dxfId="1384" priority="1066" operator="containsText" text="Call">
      <formula>NOT(ISERROR(SEARCH("Call",X37)))</formula>
    </cfRule>
    <cfRule type="containsText" dxfId="1383" priority="1068" operator="containsText" text="9ab">
      <formula>NOT(ISERROR(SEARCH("9ab",X37)))</formula>
    </cfRule>
    <cfRule type="cellIs" dxfId="1382" priority="1069" stopIfTrue="1" operator="equal">
      <formula>"leave"</formula>
    </cfRule>
    <cfRule type="containsText" dxfId="1381" priority="1070" operator="containsText" text="ds">
      <formula>NOT(ISERROR(SEARCH("ds",X37)))</formula>
    </cfRule>
    <cfRule type="containsText" dxfId="1380" priority="1071" operator="containsText" text="subobs">
      <formula>NOT(ISERROR(SEARCH("subobs",X37)))</formula>
    </cfRule>
    <cfRule type="containsText" dxfId="1379" priority="1072" operator="containsText" text="Call">
      <formula>NOT(ISERROR(SEARCH("Call",X37)))</formula>
    </cfRule>
    <cfRule type="containsText" dxfId="1378" priority="1076" operator="containsText" text="9ab">
      <formula>NOT(ISERROR(SEARCH("9ab",X37)))</formula>
    </cfRule>
    <cfRule type="cellIs" dxfId="1377" priority="1077" stopIfTrue="1" operator="equal">
      <formula>"leave"</formula>
    </cfRule>
    <cfRule type="containsText" dxfId="1376" priority="1078" operator="containsText" text="ds">
      <formula>NOT(ISERROR(SEARCH("ds",X37)))</formula>
    </cfRule>
    <cfRule type="containsText" dxfId="1375" priority="1079" operator="containsText" text="subobs">
      <formula>NOT(ISERROR(SEARCH("subobs",X37)))</formula>
    </cfRule>
    <cfRule type="containsText" dxfId="1374" priority="1080" operator="containsText" text="Call">
      <formula>NOT(ISERROR(SEARCH("Call",X37)))</formula>
    </cfRule>
    <cfRule type="containsText" dxfId="1373" priority="1083" operator="containsText" text="9ab">
      <formula>NOT(ISERROR(SEARCH("9ab",X37)))</formula>
    </cfRule>
    <cfRule type="cellIs" dxfId="1372" priority="1084" stopIfTrue="1" operator="equal">
      <formula>"leave"</formula>
    </cfRule>
    <cfRule type="containsText" dxfId="1371" priority="1085" operator="containsText" text="ds">
      <formula>NOT(ISERROR(SEARCH("ds",X37)))</formula>
    </cfRule>
    <cfRule type="containsText" dxfId="1370" priority="1086" operator="containsText" text="subobs">
      <formula>NOT(ISERROR(SEARCH("subobs",X37)))</formula>
    </cfRule>
    <cfRule type="containsText" dxfId="1369" priority="1087" stopIfTrue="1" operator="containsText" text="(Call)">
      <formula>NOT(ISERROR(SEARCH("(Call)",X37)))</formula>
    </cfRule>
  </conditionalFormatting>
  <conditionalFormatting sqref="X36:Y42">
    <cfRule type="containsText" dxfId="1368" priority="1074" operator="containsText" text="b1">
      <formula>NOT(ISERROR(SEARCH("b1",X36)))</formula>
    </cfRule>
    <cfRule type="cellIs" dxfId="1367" priority="1075" operator="equal">
      <formula>0</formula>
    </cfRule>
    <cfRule type="containsText" dxfId="1366" priority="1082" stopIfTrue="1" operator="containsText" text="go">
      <formula>NOT(ISERROR(SEARCH("go",X36)))</formula>
    </cfRule>
    <cfRule type="cellIs" dxfId="1365" priority="1089" operator="equal">
      <formula>"ps_cover"</formula>
    </cfRule>
    <cfRule type="containsText" dxfId="1364" priority="1090" stopIfTrue="1" operator="containsText" text="9ab">
      <formula>NOT(ISERROR(SEARCH("9ab",X36)))</formula>
    </cfRule>
    <cfRule type="containsText" dxfId="1363" priority="1091" stopIfTrue="1" operator="containsText" text="ds">
      <formula>NOT(ISERROR(SEARCH("ds",X36)))</formula>
    </cfRule>
    <cfRule type="containsText" dxfId="1362" priority="1092" stopIfTrue="1" operator="containsText" text="subobs">
      <formula>NOT(ISERROR(SEARCH("subobs",X36)))</formula>
    </cfRule>
  </conditionalFormatting>
  <conditionalFormatting sqref="X36:AC42">
    <cfRule type="containsText" dxfId="1361" priority="1027" operator="containsText" text="(Call)">
      <formula>NOT(ISERROR(SEARCH("(Call)",X36)))</formula>
    </cfRule>
  </conditionalFormatting>
  <conditionalFormatting sqref="Z36:AC42">
    <cfRule type="containsText" dxfId="1360" priority="1028" operator="containsText" text="b1">
      <formula>NOT(ISERROR(SEARCH("b1",Z36)))</formula>
    </cfRule>
    <cfRule type="cellIs" dxfId="1359" priority="1029" operator="equal">
      <formula>0</formula>
    </cfRule>
    <cfRule type="containsText" dxfId="1358" priority="1030" stopIfTrue="1" operator="containsText" text="go">
      <formula>NOT(ISERROR(SEARCH("go",Z36)))</formula>
    </cfRule>
    <cfRule type="cellIs" dxfId="1357" priority="1031" operator="equal">
      <formula>"ps_cover"</formula>
    </cfRule>
    <cfRule type="containsText" dxfId="1356" priority="1032" stopIfTrue="1" operator="containsText" text="9ab">
      <formula>NOT(ISERROR(SEARCH("9ab",Z36)))</formula>
    </cfRule>
    <cfRule type="containsText" dxfId="1355" priority="1033" stopIfTrue="1" operator="containsText" text="ds">
      <formula>NOT(ISERROR(SEARCH("ds",Z36)))</formula>
    </cfRule>
    <cfRule type="containsText" dxfId="1354" priority="1034" stopIfTrue="1" operator="containsText" text="subobs">
      <formula>NOT(ISERROR(SEARCH("subobs",Z36)))</formula>
    </cfRule>
  </conditionalFormatting>
  <conditionalFormatting sqref="AD19:AJ26">
    <cfRule type="cellIs" dxfId="1353" priority="1822" operator="equal">
      <formula>0</formula>
    </cfRule>
  </conditionalFormatting>
  <conditionalFormatting sqref="AD28:AJ35">
    <cfRule type="cellIs" dxfId="1352" priority="1568" operator="equal">
      <formula>0</formula>
    </cfRule>
  </conditionalFormatting>
  <conditionalFormatting sqref="AE19:AE25">
    <cfRule type="containsText" dxfId="1351" priority="1804" operator="containsText" text="9ab">
      <formula>NOT(ISERROR(SEARCH("9ab",AE19)))</formula>
    </cfRule>
    <cfRule type="cellIs" dxfId="1350" priority="1805" stopIfTrue="1" operator="equal">
      <formula>"leave"</formula>
    </cfRule>
    <cfRule type="containsText" dxfId="1349" priority="1806" operator="containsText" text="ds">
      <formula>NOT(ISERROR(SEARCH("ds",AE19)))</formula>
    </cfRule>
    <cfRule type="containsText" dxfId="1348" priority="1807" operator="containsText" text="subobs">
      <formula>NOT(ISERROR(SEARCH("subobs",AE19)))</formula>
    </cfRule>
    <cfRule type="containsText" dxfId="1347" priority="1808" operator="containsText" text="Call">
      <formula>NOT(ISERROR(SEARCH("Call",AE19)))</formula>
    </cfRule>
    <cfRule type="containsText" dxfId="1346" priority="1816" operator="containsText" text="9ab">
      <formula>NOT(ISERROR(SEARCH("9ab",AE19)))</formula>
    </cfRule>
    <cfRule type="cellIs" dxfId="1345" priority="1817" stopIfTrue="1" operator="equal">
      <formula>"leave"</formula>
    </cfRule>
    <cfRule type="containsText" dxfId="1344" priority="1818" operator="containsText" text="ds">
      <formula>NOT(ISERROR(SEARCH("ds",AE19)))</formula>
    </cfRule>
    <cfRule type="containsText" dxfId="1343" priority="1819" operator="containsText" text="subobs">
      <formula>NOT(ISERROR(SEARCH("subobs",AE19)))</formula>
    </cfRule>
    <cfRule type="containsText" dxfId="1342" priority="1820" operator="containsText" text="Call">
      <formula>NOT(ISERROR(SEARCH("Call",AE19)))</formula>
    </cfRule>
  </conditionalFormatting>
  <conditionalFormatting sqref="AE19:AE26">
    <cfRule type="containsText" dxfId="1341" priority="1810" operator="containsText" text="9ab">
      <formula>NOT(ISERROR(SEARCH("9ab",AE19)))</formula>
    </cfRule>
    <cfRule type="cellIs" dxfId="1340" priority="1811" stopIfTrue="1" operator="equal">
      <formula>"leave"</formula>
    </cfRule>
    <cfRule type="containsText" dxfId="1339" priority="1812" operator="containsText" text="ds">
      <formula>NOT(ISERROR(SEARCH("ds",AE19)))</formula>
    </cfRule>
    <cfRule type="containsText" dxfId="1338" priority="1813" operator="containsText" text="subobs">
      <formula>NOT(ISERROR(SEARCH("subobs",AE19)))</formula>
    </cfRule>
    <cfRule type="containsText" dxfId="1337" priority="1814" stopIfTrue="1" operator="containsText" text="(Call)">
      <formula>NOT(ISERROR(SEARCH("(Call)",AE19)))</formula>
    </cfRule>
    <cfRule type="containsText" dxfId="1336" priority="1823" operator="containsText" text="9ab">
      <formula>NOT(ISERROR(SEARCH("9ab",AE19)))</formula>
    </cfRule>
    <cfRule type="cellIs" dxfId="1335" priority="1824" stopIfTrue="1" operator="equal">
      <formula>"leave"</formula>
    </cfRule>
    <cfRule type="containsText" dxfId="1334" priority="1825" operator="containsText" text="ds">
      <formula>NOT(ISERROR(SEARCH("ds",AE19)))</formula>
    </cfRule>
    <cfRule type="containsText" dxfId="1333" priority="1826" operator="containsText" text="subobs">
      <formula>NOT(ISERROR(SEARCH("subobs",AE19)))</formula>
    </cfRule>
    <cfRule type="containsText" dxfId="1332" priority="1827" operator="containsText" text="Call">
      <formula>NOT(ISERROR(SEARCH("Call",AE19)))</formula>
    </cfRule>
  </conditionalFormatting>
  <conditionalFormatting sqref="AE28:AE33">
    <cfRule type="containsText" dxfId="1331" priority="1550" operator="containsText" text="9ab">
      <formula>NOT(ISERROR(SEARCH("9ab",AE28)))</formula>
    </cfRule>
    <cfRule type="cellIs" dxfId="1330" priority="1551" stopIfTrue="1" operator="equal">
      <formula>"leave"</formula>
    </cfRule>
    <cfRule type="containsText" dxfId="1329" priority="1552" operator="containsText" text="ds">
      <formula>NOT(ISERROR(SEARCH("ds",AE28)))</formula>
    </cfRule>
    <cfRule type="containsText" dxfId="1328" priority="1553" operator="containsText" text="subobs">
      <formula>NOT(ISERROR(SEARCH("subobs",AE28)))</formula>
    </cfRule>
    <cfRule type="containsText" dxfId="1327" priority="1554" operator="containsText" text="Call">
      <formula>NOT(ISERROR(SEARCH("Call",AE28)))</formula>
    </cfRule>
    <cfRule type="containsText" dxfId="1326" priority="1562" operator="containsText" text="9ab">
      <formula>NOT(ISERROR(SEARCH("9ab",AE28)))</formula>
    </cfRule>
    <cfRule type="cellIs" dxfId="1325" priority="1563" stopIfTrue="1" operator="equal">
      <formula>"leave"</formula>
    </cfRule>
    <cfRule type="containsText" dxfId="1324" priority="1564" operator="containsText" text="ds">
      <formula>NOT(ISERROR(SEARCH("ds",AE28)))</formula>
    </cfRule>
    <cfRule type="containsText" dxfId="1323" priority="1565" operator="containsText" text="subobs">
      <formula>NOT(ISERROR(SEARCH("subobs",AE28)))</formula>
    </cfRule>
    <cfRule type="containsText" dxfId="1322" priority="1566" operator="containsText" text="Call">
      <formula>NOT(ISERROR(SEARCH("Call",AE28)))</formula>
    </cfRule>
  </conditionalFormatting>
  <conditionalFormatting sqref="AE28:AE35">
    <cfRule type="containsText" dxfId="1321" priority="1556" operator="containsText" text="9ab">
      <formula>NOT(ISERROR(SEARCH("9ab",AE28)))</formula>
    </cfRule>
    <cfRule type="cellIs" dxfId="1320" priority="1557" stopIfTrue="1" operator="equal">
      <formula>"leave"</formula>
    </cfRule>
    <cfRule type="containsText" dxfId="1319" priority="1558" operator="containsText" text="ds">
      <formula>NOT(ISERROR(SEARCH("ds",AE28)))</formula>
    </cfRule>
    <cfRule type="containsText" dxfId="1318" priority="1559" operator="containsText" text="subobs">
      <formula>NOT(ISERROR(SEARCH("subobs",AE28)))</formula>
    </cfRule>
    <cfRule type="containsText" dxfId="1317" priority="1560" stopIfTrue="1" operator="containsText" text="(Call)">
      <formula>NOT(ISERROR(SEARCH("(Call)",AE28)))</formula>
    </cfRule>
    <cfRule type="containsText" dxfId="1316" priority="1569" operator="containsText" text="9ab">
      <formula>NOT(ISERROR(SEARCH("9ab",AE28)))</formula>
    </cfRule>
    <cfRule type="cellIs" dxfId="1315" priority="1570" stopIfTrue="1" operator="equal">
      <formula>"leave"</formula>
    </cfRule>
    <cfRule type="containsText" dxfId="1314" priority="1571" operator="containsText" text="ds">
      <formula>NOT(ISERROR(SEARCH("ds",AE28)))</formula>
    </cfRule>
    <cfRule type="containsText" dxfId="1313" priority="1572" operator="containsText" text="subobs">
      <formula>NOT(ISERROR(SEARCH("subobs",AE28)))</formula>
    </cfRule>
    <cfRule type="containsText" dxfId="1312" priority="1573" operator="containsText" text="Call">
      <formula>NOT(ISERROR(SEARCH("Call",AE28)))</formula>
    </cfRule>
  </conditionalFormatting>
  <conditionalFormatting sqref="AE37:AE42">
    <cfRule type="containsText" dxfId="1311" priority="978" operator="containsText" text="9ab">
      <formula>NOT(ISERROR(SEARCH("9ab",AE37)))</formula>
    </cfRule>
    <cfRule type="cellIs" dxfId="1310" priority="979" stopIfTrue="1" operator="equal">
      <formula>"leave"</formula>
    </cfRule>
    <cfRule type="containsText" dxfId="1309" priority="980" operator="containsText" text="ds">
      <formula>NOT(ISERROR(SEARCH("ds",AE37)))</formula>
    </cfRule>
    <cfRule type="containsText" dxfId="1308" priority="981" operator="containsText" text="subobs">
      <formula>NOT(ISERROR(SEARCH("subobs",AE37)))</formula>
    </cfRule>
    <cfRule type="containsText" dxfId="1307" priority="982" operator="containsText" text="Call">
      <formula>NOT(ISERROR(SEARCH("Call",AE37)))</formula>
    </cfRule>
    <cfRule type="containsText" dxfId="1306" priority="984" operator="containsText" text="9ab">
      <formula>NOT(ISERROR(SEARCH("9ab",AE37)))</formula>
    </cfRule>
    <cfRule type="cellIs" dxfId="1305" priority="985" stopIfTrue="1" operator="equal">
      <formula>"leave"</formula>
    </cfRule>
    <cfRule type="containsText" dxfId="1304" priority="986" operator="containsText" text="ds">
      <formula>NOT(ISERROR(SEARCH("ds",AE37)))</formula>
    </cfRule>
    <cfRule type="containsText" dxfId="1303" priority="987" operator="containsText" text="subobs">
      <formula>NOT(ISERROR(SEARCH("subobs",AE37)))</formula>
    </cfRule>
    <cfRule type="containsText" dxfId="1302" priority="988" stopIfTrue="1" operator="containsText" text="(Call)">
      <formula>NOT(ISERROR(SEARCH("(Call)",AE37)))</formula>
    </cfRule>
    <cfRule type="containsText" dxfId="1301" priority="990" operator="containsText" text="9ab">
      <formula>NOT(ISERROR(SEARCH("9ab",AE37)))</formula>
    </cfRule>
    <cfRule type="cellIs" dxfId="1300" priority="991" stopIfTrue="1" operator="equal">
      <formula>"leave"</formula>
    </cfRule>
    <cfRule type="containsText" dxfId="1299" priority="992" operator="containsText" text="ds">
      <formula>NOT(ISERROR(SEARCH("ds",AE37)))</formula>
    </cfRule>
    <cfRule type="containsText" dxfId="1298" priority="993" operator="containsText" text="subobs">
      <formula>NOT(ISERROR(SEARCH("subobs",AE37)))</formula>
    </cfRule>
    <cfRule type="containsText" dxfId="1297" priority="994" operator="containsText" text="Call">
      <formula>NOT(ISERROR(SEARCH("Call",AE37)))</formula>
    </cfRule>
    <cfRule type="containsText" dxfId="1296" priority="996" operator="containsText" text="9ab">
      <formula>NOT(ISERROR(SEARCH("9ab",AE37)))</formula>
    </cfRule>
    <cfRule type="cellIs" dxfId="1295" priority="997" stopIfTrue="1" operator="equal">
      <formula>"leave"</formula>
    </cfRule>
    <cfRule type="containsText" dxfId="1294" priority="998" operator="containsText" text="ds">
      <formula>NOT(ISERROR(SEARCH("ds",AE37)))</formula>
    </cfRule>
    <cfRule type="containsText" dxfId="1293" priority="999" operator="containsText" text="subobs">
      <formula>NOT(ISERROR(SEARCH("subobs",AE37)))</formula>
    </cfRule>
    <cfRule type="containsText" dxfId="1292" priority="1000" operator="containsText" text="Call">
      <formula>NOT(ISERROR(SEARCH("Call",AE37)))</formula>
    </cfRule>
    <cfRule type="containsText" dxfId="1291" priority="1002" operator="containsText" text="9ab">
      <formula>NOT(ISERROR(SEARCH("9ab",AE37)))</formula>
    </cfRule>
    <cfRule type="cellIs" dxfId="1290" priority="1003" stopIfTrue="1" operator="equal">
      <formula>"leave"</formula>
    </cfRule>
    <cfRule type="containsText" dxfId="1289" priority="1004" operator="containsText" text="ds">
      <formula>NOT(ISERROR(SEARCH("ds",AE37)))</formula>
    </cfRule>
    <cfRule type="containsText" dxfId="1288" priority="1005" operator="containsText" text="subobs">
      <formula>NOT(ISERROR(SEARCH("subobs",AE37)))</formula>
    </cfRule>
    <cfRule type="containsText" dxfId="1287" priority="1006" operator="containsText" text="Call">
      <formula>NOT(ISERROR(SEARCH("Call",AE37)))</formula>
    </cfRule>
    <cfRule type="containsText" dxfId="1286" priority="1010" operator="containsText" text="9ab">
      <formula>NOT(ISERROR(SEARCH("9ab",AE37)))</formula>
    </cfRule>
    <cfRule type="cellIs" dxfId="1285" priority="1011" stopIfTrue="1" operator="equal">
      <formula>"leave"</formula>
    </cfRule>
    <cfRule type="containsText" dxfId="1284" priority="1012" operator="containsText" text="ds">
      <formula>NOT(ISERROR(SEARCH("ds",AE37)))</formula>
    </cfRule>
    <cfRule type="containsText" dxfId="1283" priority="1013" operator="containsText" text="subobs">
      <formula>NOT(ISERROR(SEARCH("subobs",AE37)))</formula>
    </cfRule>
    <cfRule type="containsText" dxfId="1282" priority="1014" operator="containsText" text="Call">
      <formula>NOT(ISERROR(SEARCH("Call",AE37)))</formula>
    </cfRule>
    <cfRule type="containsText" dxfId="1281" priority="1017" operator="containsText" text="9ab">
      <formula>NOT(ISERROR(SEARCH("9ab",AE37)))</formula>
    </cfRule>
    <cfRule type="cellIs" dxfId="1280" priority="1018" stopIfTrue="1" operator="equal">
      <formula>"leave"</formula>
    </cfRule>
    <cfRule type="containsText" dxfId="1279" priority="1019" operator="containsText" text="ds">
      <formula>NOT(ISERROR(SEARCH("ds",AE37)))</formula>
    </cfRule>
    <cfRule type="containsText" dxfId="1278" priority="1020" operator="containsText" text="subobs">
      <formula>NOT(ISERROR(SEARCH("subobs",AE37)))</formula>
    </cfRule>
    <cfRule type="containsText" dxfId="1277" priority="1021" stopIfTrue="1" operator="containsText" text="(Call)">
      <formula>NOT(ISERROR(SEARCH("(Call)",AE37)))</formula>
    </cfRule>
  </conditionalFormatting>
  <conditionalFormatting sqref="AE36:AF42">
    <cfRule type="containsText" dxfId="1276" priority="1008" operator="containsText" text="b1">
      <formula>NOT(ISERROR(SEARCH("b1",AE36)))</formula>
    </cfRule>
    <cfRule type="cellIs" dxfId="1275" priority="1009" operator="equal">
      <formula>0</formula>
    </cfRule>
    <cfRule type="containsText" dxfId="1274" priority="1016" stopIfTrue="1" operator="containsText" text="go">
      <formula>NOT(ISERROR(SEARCH("go",AE36)))</formula>
    </cfRule>
    <cfRule type="cellIs" dxfId="1273" priority="1023" operator="equal">
      <formula>"ps_cover"</formula>
    </cfRule>
    <cfRule type="containsText" dxfId="1272" priority="1024" stopIfTrue="1" operator="containsText" text="9ab">
      <formula>NOT(ISERROR(SEARCH("9ab",AE36)))</formula>
    </cfRule>
    <cfRule type="containsText" dxfId="1271" priority="1025" stopIfTrue="1" operator="containsText" text="ds">
      <formula>NOT(ISERROR(SEARCH("ds",AE36)))</formula>
    </cfRule>
    <cfRule type="containsText" dxfId="1270" priority="1026" stopIfTrue="1" operator="containsText" text="subobs">
      <formula>NOT(ISERROR(SEARCH("subobs",AE36)))</formula>
    </cfRule>
  </conditionalFormatting>
  <conditionalFormatting sqref="AE36:AJ42">
    <cfRule type="containsText" dxfId="1269" priority="961" operator="containsText" text="(Call)">
      <formula>NOT(ISERROR(SEARCH("(Call)",AE36)))</formula>
    </cfRule>
  </conditionalFormatting>
  <conditionalFormatting sqref="AF19:AJ25">
    <cfRule type="cellIs" dxfId="1268" priority="1449" operator="equal">
      <formula>0</formula>
    </cfRule>
  </conditionalFormatting>
  <conditionalFormatting sqref="AG36:AJ42">
    <cfRule type="containsText" dxfId="1267" priority="962" operator="containsText" text="b1">
      <formula>NOT(ISERROR(SEARCH("b1",AG36)))</formula>
    </cfRule>
    <cfRule type="cellIs" dxfId="1266" priority="963" operator="equal">
      <formula>0</formula>
    </cfRule>
    <cfRule type="containsText" dxfId="1265" priority="964" stopIfTrue="1" operator="containsText" text="go">
      <formula>NOT(ISERROR(SEARCH("go",AG36)))</formula>
    </cfRule>
    <cfRule type="cellIs" dxfId="1264" priority="965" operator="equal">
      <formula>"ps_cover"</formula>
    </cfRule>
    <cfRule type="containsText" dxfId="1263" priority="966" stopIfTrue="1" operator="containsText" text="9ab">
      <formula>NOT(ISERROR(SEARCH("9ab",AG36)))</formula>
    </cfRule>
    <cfRule type="containsText" dxfId="1262" priority="967" stopIfTrue="1" operator="containsText" text="ds">
      <formula>NOT(ISERROR(SEARCH("ds",AG36)))</formula>
    </cfRule>
    <cfRule type="containsText" dxfId="1261" priority="968" stopIfTrue="1" operator="containsText" text="subobs">
      <formula>NOT(ISERROR(SEARCH("subobs",AG36)))</formula>
    </cfRule>
  </conditionalFormatting>
  <conditionalFormatting sqref="AK19:AQ26">
    <cfRule type="cellIs" dxfId="1260" priority="1797" operator="equal">
      <formula>0</formula>
    </cfRule>
  </conditionalFormatting>
  <conditionalFormatting sqref="AK28:AQ35">
    <cfRule type="cellIs" dxfId="1259" priority="1543" operator="equal">
      <formula>0</formula>
    </cfRule>
  </conditionalFormatting>
  <conditionalFormatting sqref="AL19:AL25">
    <cfRule type="containsText" dxfId="1258" priority="1779" operator="containsText" text="9ab">
      <formula>NOT(ISERROR(SEARCH("9ab",AL19)))</formula>
    </cfRule>
    <cfRule type="cellIs" dxfId="1257" priority="1780" stopIfTrue="1" operator="equal">
      <formula>"leave"</formula>
    </cfRule>
    <cfRule type="containsText" dxfId="1256" priority="1781" operator="containsText" text="ds">
      <formula>NOT(ISERROR(SEARCH("ds",AL19)))</formula>
    </cfRule>
    <cfRule type="containsText" dxfId="1255" priority="1782" operator="containsText" text="subobs">
      <formula>NOT(ISERROR(SEARCH("subobs",AL19)))</formula>
    </cfRule>
    <cfRule type="containsText" dxfId="1254" priority="1783" operator="containsText" text="Call">
      <formula>NOT(ISERROR(SEARCH("Call",AL19)))</formula>
    </cfRule>
    <cfRule type="containsText" dxfId="1253" priority="1791" operator="containsText" text="9ab">
      <formula>NOT(ISERROR(SEARCH("9ab",AL19)))</formula>
    </cfRule>
    <cfRule type="cellIs" dxfId="1252" priority="1792" stopIfTrue="1" operator="equal">
      <formula>"leave"</formula>
    </cfRule>
    <cfRule type="containsText" dxfId="1251" priority="1793" operator="containsText" text="ds">
      <formula>NOT(ISERROR(SEARCH("ds",AL19)))</formula>
    </cfRule>
    <cfRule type="containsText" dxfId="1250" priority="1794" operator="containsText" text="subobs">
      <formula>NOT(ISERROR(SEARCH("subobs",AL19)))</formula>
    </cfRule>
    <cfRule type="containsText" dxfId="1249" priority="1795" operator="containsText" text="Call">
      <formula>NOT(ISERROR(SEARCH("Call",AL19)))</formula>
    </cfRule>
  </conditionalFormatting>
  <conditionalFormatting sqref="AL19:AL26">
    <cfRule type="containsText" dxfId="1248" priority="1785" operator="containsText" text="9ab">
      <formula>NOT(ISERROR(SEARCH("9ab",AL19)))</formula>
    </cfRule>
    <cfRule type="cellIs" dxfId="1247" priority="1786" stopIfTrue="1" operator="equal">
      <formula>"leave"</formula>
    </cfRule>
    <cfRule type="containsText" dxfId="1246" priority="1787" operator="containsText" text="ds">
      <formula>NOT(ISERROR(SEARCH("ds",AL19)))</formula>
    </cfRule>
    <cfRule type="containsText" dxfId="1245" priority="1788" operator="containsText" text="subobs">
      <formula>NOT(ISERROR(SEARCH("subobs",AL19)))</formula>
    </cfRule>
    <cfRule type="containsText" dxfId="1244" priority="1789" stopIfTrue="1" operator="containsText" text="(Call)">
      <formula>NOT(ISERROR(SEARCH("(Call)",AL19)))</formula>
    </cfRule>
    <cfRule type="containsText" dxfId="1243" priority="1798" operator="containsText" text="9ab">
      <formula>NOT(ISERROR(SEARCH("9ab",AL19)))</formula>
    </cfRule>
    <cfRule type="cellIs" dxfId="1242" priority="1799" stopIfTrue="1" operator="equal">
      <formula>"leave"</formula>
    </cfRule>
    <cfRule type="containsText" dxfId="1241" priority="1800" operator="containsText" text="ds">
      <formula>NOT(ISERROR(SEARCH("ds",AL19)))</formula>
    </cfRule>
    <cfRule type="containsText" dxfId="1240" priority="1801" operator="containsText" text="subobs">
      <formula>NOT(ISERROR(SEARCH("subobs",AL19)))</formula>
    </cfRule>
    <cfRule type="containsText" dxfId="1239" priority="1802" operator="containsText" text="Call">
      <formula>NOT(ISERROR(SEARCH("Call",AL19)))</formula>
    </cfRule>
  </conditionalFormatting>
  <conditionalFormatting sqref="AL28:AL33">
    <cfRule type="containsText" dxfId="1238" priority="1525" operator="containsText" text="9ab">
      <formula>NOT(ISERROR(SEARCH("9ab",AL28)))</formula>
    </cfRule>
    <cfRule type="cellIs" dxfId="1237" priority="1526" stopIfTrue="1" operator="equal">
      <formula>"leave"</formula>
    </cfRule>
    <cfRule type="containsText" dxfId="1236" priority="1527" operator="containsText" text="ds">
      <formula>NOT(ISERROR(SEARCH("ds",AL28)))</formula>
    </cfRule>
    <cfRule type="containsText" dxfId="1235" priority="1528" operator="containsText" text="subobs">
      <formula>NOT(ISERROR(SEARCH("subobs",AL28)))</formula>
    </cfRule>
    <cfRule type="containsText" dxfId="1234" priority="1529" operator="containsText" text="Call">
      <formula>NOT(ISERROR(SEARCH("Call",AL28)))</formula>
    </cfRule>
    <cfRule type="containsText" dxfId="1233" priority="1537" operator="containsText" text="9ab">
      <formula>NOT(ISERROR(SEARCH("9ab",AL28)))</formula>
    </cfRule>
    <cfRule type="cellIs" dxfId="1232" priority="1538" stopIfTrue="1" operator="equal">
      <formula>"leave"</formula>
    </cfRule>
    <cfRule type="containsText" dxfId="1231" priority="1539" operator="containsText" text="ds">
      <formula>NOT(ISERROR(SEARCH("ds",AL28)))</formula>
    </cfRule>
    <cfRule type="containsText" dxfId="1230" priority="1540" operator="containsText" text="subobs">
      <formula>NOT(ISERROR(SEARCH("subobs",AL28)))</formula>
    </cfRule>
    <cfRule type="containsText" dxfId="1229" priority="1541" operator="containsText" text="Call">
      <formula>NOT(ISERROR(SEARCH("Call",AL28)))</formula>
    </cfRule>
  </conditionalFormatting>
  <conditionalFormatting sqref="AL28:AL35">
    <cfRule type="containsText" dxfId="1228" priority="1531" operator="containsText" text="9ab">
      <formula>NOT(ISERROR(SEARCH("9ab",AL28)))</formula>
    </cfRule>
    <cfRule type="cellIs" dxfId="1227" priority="1532" stopIfTrue="1" operator="equal">
      <formula>"leave"</formula>
    </cfRule>
    <cfRule type="containsText" dxfId="1226" priority="1533" operator="containsText" text="ds">
      <formula>NOT(ISERROR(SEARCH("ds",AL28)))</formula>
    </cfRule>
    <cfRule type="containsText" dxfId="1225" priority="1534" operator="containsText" text="subobs">
      <formula>NOT(ISERROR(SEARCH("subobs",AL28)))</formula>
    </cfRule>
    <cfRule type="containsText" dxfId="1224" priority="1535" stopIfTrue="1" operator="containsText" text="(Call)">
      <formula>NOT(ISERROR(SEARCH("(Call)",AL28)))</formula>
    </cfRule>
    <cfRule type="containsText" dxfId="1223" priority="1544" operator="containsText" text="9ab">
      <formula>NOT(ISERROR(SEARCH("9ab",AL28)))</formula>
    </cfRule>
    <cfRule type="cellIs" dxfId="1222" priority="1545" stopIfTrue="1" operator="equal">
      <formula>"leave"</formula>
    </cfRule>
    <cfRule type="containsText" dxfId="1221" priority="1546" operator="containsText" text="ds">
      <formula>NOT(ISERROR(SEARCH("ds",AL28)))</formula>
    </cfRule>
    <cfRule type="containsText" dxfId="1220" priority="1547" operator="containsText" text="subobs">
      <formula>NOT(ISERROR(SEARCH("subobs",AL28)))</formula>
    </cfRule>
    <cfRule type="containsText" dxfId="1219" priority="1548" operator="containsText" text="Call">
      <formula>NOT(ISERROR(SEARCH("Call",AL28)))</formula>
    </cfRule>
  </conditionalFormatting>
  <conditionalFormatting sqref="AL37:AL42">
    <cfRule type="containsText" dxfId="1218" priority="912" operator="containsText" text="9ab">
      <formula>NOT(ISERROR(SEARCH("9ab",AL37)))</formula>
    </cfRule>
    <cfRule type="cellIs" dxfId="1217" priority="913" stopIfTrue="1" operator="equal">
      <formula>"leave"</formula>
    </cfRule>
    <cfRule type="containsText" dxfId="1216" priority="914" operator="containsText" text="ds">
      <formula>NOT(ISERROR(SEARCH("ds",AL37)))</formula>
    </cfRule>
    <cfRule type="containsText" dxfId="1215" priority="915" operator="containsText" text="subobs">
      <formula>NOT(ISERROR(SEARCH("subobs",AL37)))</formula>
    </cfRule>
    <cfRule type="containsText" dxfId="1214" priority="916" operator="containsText" text="Call">
      <formula>NOT(ISERROR(SEARCH("Call",AL37)))</formula>
    </cfRule>
    <cfRule type="containsText" dxfId="1213" priority="918" operator="containsText" text="9ab">
      <formula>NOT(ISERROR(SEARCH("9ab",AL37)))</formula>
    </cfRule>
    <cfRule type="cellIs" dxfId="1212" priority="919" stopIfTrue="1" operator="equal">
      <formula>"leave"</formula>
    </cfRule>
    <cfRule type="containsText" dxfId="1211" priority="920" operator="containsText" text="ds">
      <formula>NOT(ISERROR(SEARCH("ds",AL37)))</formula>
    </cfRule>
    <cfRule type="containsText" dxfId="1210" priority="921" operator="containsText" text="subobs">
      <formula>NOT(ISERROR(SEARCH("subobs",AL37)))</formula>
    </cfRule>
    <cfRule type="containsText" dxfId="1209" priority="922" stopIfTrue="1" operator="containsText" text="(Call)">
      <formula>NOT(ISERROR(SEARCH("(Call)",AL37)))</formula>
    </cfRule>
    <cfRule type="containsText" dxfId="1208" priority="924" operator="containsText" text="9ab">
      <formula>NOT(ISERROR(SEARCH("9ab",AL37)))</formula>
    </cfRule>
    <cfRule type="cellIs" dxfId="1207" priority="925" stopIfTrue="1" operator="equal">
      <formula>"leave"</formula>
    </cfRule>
    <cfRule type="containsText" dxfId="1206" priority="926" operator="containsText" text="ds">
      <formula>NOT(ISERROR(SEARCH("ds",AL37)))</formula>
    </cfRule>
    <cfRule type="containsText" dxfId="1205" priority="927" operator="containsText" text="subobs">
      <formula>NOT(ISERROR(SEARCH("subobs",AL37)))</formula>
    </cfRule>
    <cfRule type="containsText" dxfId="1204" priority="928" operator="containsText" text="Call">
      <formula>NOT(ISERROR(SEARCH("Call",AL37)))</formula>
    </cfRule>
    <cfRule type="containsText" dxfId="1203" priority="930" operator="containsText" text="9ab">
      <formula>NOT(ISERROR(SEARCH("9ab",AL37)))</formula>
    </cfRule>
    <cfRule type="cellIs" dxfId="1202" priority="931" stopIfTrue="1" operator="equal">
      <formula>"leave"</formula>
    </cfRule>
    <cfRule type="containsText" dxfId="1201" priority="932" operator="containsText" text="ds">
      <formula>NOT(ISERROR(SEARCH("ds",AL37)))</formula>
    </cfRule>
    <cfRule type="containsText" dxfId="1200" priority="933" operator="containsText" text="subobs">
      <formula>NOT(ISERROR(SEARCH("subobs",AL37)))</formula>
    </cfRule>
    <cfRule type="containsText" dxfId="1199" priority="934" operator="containsText" text="Call">
      <formula>NOT(ISERROR(SEARCH("Call",AL37)))</formula>
    </cfRule>
    <cfRule type="containsText" dxfId="1198" priority="936" operator="containsText" text="9ab">
      <formula>NOT(ISERROR(SEARCH("9ab",AL37)))</formula>
    </cfRule>
    <cfRule type="cellIs" dxfId="1197" priority="937" stopIfTrue="1" operator="equal">
      <formula>"leave"</formula>
    </cfRule>
    <cfRule type="containsText" dxfId="1196" priority="938" operator="containsText" text="ds">
      <formula>NOT(ISERROR(SEARCH("ds",AL37)))</formula>
    </cfRule>
    <cfRule type="containsText" dxfId="1195" priority="939" operator="containsText" text="subobs">
      <formula>NOT(ISERROR(SEARCH("subobs",AL37)))</formula>
    </cfRule>
    <cfRule type="containsText" dxfId="1194" priority="940" operator="containsText" text="Call">
      <formula>NOT(ISERROR(SEARCH("Call",AL37)))</formula>
    </cfRule>
    <cfRule type="containsText" dxfId="1193" priority="944" operator="containsText" text="9ab">
      <formula>NOT(ISERROR(SEARCH("9ab",AL37)))</formula>
    </cfRule>
    <cfRule type="cellIs" dxfId="1192" priority="945" stopIfTrue="1" operator="equal">
      <formula>"leave"</formula>
    </cfRule>
    <cfRule type="containsText" dxfId="1191" priority="946" operator="containsText" text="ds">
      <formula>NOT(ISERROR(SEARCH("ds",AL37)))</formula>
    </cfRule>
    <cfRule type="containsText" dxfId="1190" priority="947" operator="containsText" text="subobs">
      <formula>NOT(ISERROR(SEARCH("subobs",AL37)))</formula>
    </cfRule>
    <cfRule type="containsText" dxfId="1189" priority="948" operator="containsText" text="Call">
      <formula>NOT(ISERROR(SEARCH("Call",AL37)))</formula>
    </cfRule>
    <cfRule type="containsText" dxfId="1188" priority="951" operator="containsText" text="9ab">
      <formula>NOT(ISERROR(SEARCH("9ab",AL37)))</formula>
    </cfRule>
    <cfRule type="cellIs" dxfId="1187" priority="952" stopIfTrue="1" operator="equal">
      <formula>"leave"</formula>
    </cfRule>
    <cfRule type="containsText" dxfId="1186" priority="953" operator="containsText" text="ds">
      <formula>NOT(ISERROR(SEARCH("ds",AL37)))</formula>
    </cfRule>
    <cfRule type="containsText" dxfId="1185" priority="954" operator="containsText" text="subobs">
      <formula>NOT(ISERROR(SEARCH("subobs",AL37)))</formula>
    </cfRule>
    <cfRule type="containsText" dxfId="1184" priority="955" stopIfTrue="1" operator="containsText" text="(Call)">
      <formula>NOT(ISERROR(SEARCH("(Call)",AL37)))</formula>
    </cfRule>
  </conditionalFormatting>
  <conditionalFormatting sqref="AL36:AM42">
    <cfRule type="containsText" dxfId="1183" priority="942" operator="containsText" text="b1">
      <formula>NOT(ISERROR(SEARCH("b1",AL36)))</formula>
    </cfRule>
    <cfRule type="cellIs" dxfId="1182" priority="943" operator="equal">
      <formula>0</formula>
    </cfRule>
    <cfRule type="containsText" dxfId="1181" priority="950" stopIfTrue="1" operator="containsText" text="go">
      <formula>NOT(ISERROR(SEARCH("go",AL36)))</formula>
    </cfRule>
    <cfRule type="cellIs" dxfId="1180" priority="957" operator="equal">
      <formula>"ps_cover"</formula>
    </cfRule>
    <cfRule type="containsText" dxfId="1179" priority="958" stopIfTrue="1" operator="containsText" text="9ab">
      <formula>NOT(ISERROR(SEARCH("9ab",AL36)))</formula>
    </cfRule>
    <cfRule type="containsText" dxfId="1178" priority="959" stopIfTrue="1" operator="containsText" text="ds">
      <formula>NOT(ISERROR(SEARCH("ds",AL36)))</formula>
    </cfRule>
    <cfRule type="containsText" dxfId="1177" priority="960" stopIfTrue="1" operator="containsText" text="subobs">
      <formula>NOT(ISERROR(SEARCH("subobs",AL36)))</formula>
    </cfRule>
  </conditionalFormatting>
  <conditionalFormatting sqref="AL36:AQ42">
    <cfRule type="containsText" dxfId="1176" priority="895" operator="containsText" text="(Call)">
      <formula>NOT(ISERROR(SEARCH("(Call)",AL36)))</formula>
    </cfRule>
  </conditionalFormatting>
  <conditionalFormatting sqref="AM19:AQ25">
    <cfRule type="cellIs" dxfId="1175" priority="1448" operator="equal">
      <formula>0</formula>
    </cfRule>
  </conditionalFormatting>
  <conditionalFormatting sqref="AN36:AQ42">
    <cfRule type="containsText" dxfId="1174" priority="896" operator="containsText" text="b1">
      <formula>NOT(ISERROR(SEARCH("b1",AN36)))</formula>
    </cfRule>
    <cfRule type="cellIs" dxfId="1173" priority="897" operator="equal">
      <formula>0</formula>
    </cfRule>
    <cfRule type="containsText" dxfId="1172" priority="898" stopIfTrue="1" operator="containsText" text="go">
      <formula>NOT(ISERROR(SEARCH("go",AN36)))</formula>
    </cfRule>
    <cfRule type="cellIs" dxfId="1171" priority="899" operator="equal">
      <formula>"ps_cover"</formula>
    </cfRule>
    <cfRule type="containsText" dxfId="1170" priority="900" stopIfTrue="1" operator="containsText" text="9ab">
      <formula>NOT(ISERROR(SEARCH("9ab",AN36)))</formula>
    </cfRule>
    <cfRule type="containsText" dxfId="1169" priority="901" stopIfTrue="1" operator="containsText" text="ds">
      <formula>NOT(ISERROR(SEARCH("ds",AN36)))</formula>
    </cfRule>
    <cfRule type="containsText" dxfId="1168" priority="902" stopIfTrue="1" operator="containsText" text="subobs">
      <formula>NOT(ISERROR(SEARCH("subobs",AN36)))</formula>
    </cfRule>
  </conditionalFormatting>
  <conditionalFormatting sqref="AR19:AX26">
    <cfRule type="cellIs" dxfId="1167" priority="1772" operator="equal">
      <formula>0</formula>
    </cfRule>
  </conditionalFormatting>
  <conditionalFormatting sqref="AR28:AX35">
    <cfRule type="cellIs" dxfId="1166" priority="1518" operator="equal">
      <formula>0</formula>
    </cfRule>
  </conditionalFormatting>
  <conditionalFormatting sqref="AS19:AS25">
    <cfRule type="containsText" dxfId="1165" priority="1754" operator="containsText" text="9ab">
      <formula>NOT(ISERROR(SEARCH("9ab",AS19)))</formula>
    </cfRule>
    <cfRule type="cellIs" dxfId="1164" priority="1755" stopIfTrue="1" operator="equal">
      <formula>"leave"</formula>
    </cfRule>
    <cfRule type="containsText" dxfId="1163" priority="1756" operator="containsText" text="ds">
      <formula>NOT(ISERROR(SEARCH("ds",AS19)))</formula>
    </cfRule>
    <cfRule type="containsText" dxfId="1162" priority="1757" operator="containsText" text="subobs">
      <formula>NOT(ISERROR(SEARCH("subobs",AS19)))</formula>
    </cfRule>
    <cfRule type="containsText" dxfId="1161" priority="1758" operator="containsText" text="Call">
      <formula>NOT(ISERROR(SEARCH("Call",AS19)))</formula>
    </cfRule>
    <cfRule type="containsText" dxfId="1160" priority="1766" operator="containsText" text="9ab">
      <formula>NOT(ISERROR(SEARCH("9ab",AS19)))</formula>
    </cfRule>
    <cfRule type="cellIs" dxfId="1159" priority="1767" stopIfTrue="1" operator="equal">
      <formula>"leave"</formula>
    </cfRule>
    <cfRule type="containsText" dxfId="1158" priority="1768" operator="containsText" text="ds">
      <formula>NOT(ISERROR(SEARCH("ds",AS19)))</formula>
    </cfRule>
    <cfRule type="containsText" dxfId="1157" priority="1769" operator="containsText" text="subobs">
      <formula>NOT(ISERROR(SEARCH("subobs",AS19)))</formula>
    </cfRule>
    <cfRule type="containsText" dxfId="1156" priority="1770" operator="containsText" text="Call">
      <formula>NOT(ISERROR(SEARCH("Call",AS19)))</formula>
    </cfRule>
  </conditionalFormatting>
  <conditionalFormatting sqref="AS19:AS26">
    <cfRule type="containsText" dxfId="1155" priority="1760" operator="containsText" text="9ab">
      <formula>NOT(ISERROR(SEARCH("9ab",AS19)))</formula>
    </cfRule>
    <cfRule type="cellIs" dxfId="1154" priority="1761" stopIfTrue="1" operator="equal">
      <formula>"leave"</formula>
    </cfRule>
    <cfRule type="containsText" dxfId="1153" priority="1762" operator="containsText" text="ds">
      <formula>NOT(ISERROR(SEARCH("ds",AS19)))</formula>
    </cfRule>
    <cfRule type="containsText" dxfId="1152" priority="1763" operator="containsText" text="subobs">
      <formula>NOT(ISERROR(SEARCH("subobs",AS19)))</formula>
    </cfRule>
    <cfRule type="containsText" dxfId="1151" priority="1764" stopIfTrue="1" operator="containsText" text="(Call)">
      <formula>NOT(ISERROR(SEARCH("(Call)",AS19)))</formula>
    </cfRule>
    <cfRule type="containsText" dxfId="1150" priority="1773" operator="containsText" text="9ab">
      <formula>NOT(ISERROR(SEARCH("9ab",AS19)))</formula>
    </cfRule>
    <cfRule type="cellIs" dxfId="1149" priority="1774" stopIfTrue="1" operator="equal">
      <formula>"leave"</formula>
    </cfRule>
    <cfRule type="containsText" dxfId="1148" priority="1775" operator="containsText" text="ds">
      <formula>NOT(ISERROR(SEARCH("ds",AS19)))</formula>
    </cfRule>
    <cfRule type="containsText" dxfId="1147" priority="1776" operator="containsText" text="subobs">
      <formula>NOT(ISERROR(SEARCH("subobs",AS19)))</formula>
    </cfRule>
    <cfRule type="containsText" dxfId="1146" priority="1777" operator="containsText" text="Call">
      <formula>NOT(ISERROR(SEARCH("Call",AS19)))</formula>
    </cfRule>
  </conditionalFormatting>
  <conditionalFormatting sqref="AS28:AS33">
    <cfRule type="containsText" dxfId="1145" priority="1500" operator="containsText" text="9ab">
      <formula>NOT(ISERROR(SEARCH("9ab",AS28)))</formula>
    </cfRule>
    <cfRule type="cellIs" dxfId="1144" priority="1501" stopIfTrue="1" operator="equal">
      <formula>"leave"</formula>
    </cfRule>
    <cfRule type="containsText" dxfId="1143" priority="1502" operator="containsText" text="ds">
      <formula>NOT(ISERROR(SEARCH("ds",AS28)))</formula>
    </cfRule>
    <cfRule type="containsText" dxfId="1142" priority="1503" operator="containsText" text="subobs">
      <formula>NOT(ISERROR(SEARCH("subobs",AS28)))</formula>
    </cfRule>
    <cfRule type="containsText" dxfId="1141" priority="1504" operator="containsText" text="Call">
      <formula>NOT(ISERROR(SEARCH("Call",AS28)))</formula>
    </cfRule>
    <cfRule type="containsText" dxfId="1140" priority="1512" operator="containsText" text="9ab">
      <formula>NOT(ISERROR(SEARCH("9ab",AS28)))</formula>
    </cfRule>
    <cfRule type="cellIs" dxfId="1139" priority="1513" stopIfTrue="1" operator="equal">
      <formula>"leave"</formula>
    </cfRule>
    <cfRule type="containsText" dxfId="1138" priority="1514" operator="containsText" text="ds">
      <formula>NOT(ISERROR(SEARCH("ds",AS28)))</formula>
    </cfRule>
    <cfRule type="containsText" dxfId="1137" priority="1515" operator="containsText" text="subobs">
      <formula>NOT(ISERROR(SEARCH("subobs",AS28)))</formula>
    </cfRule>
    <cfRule type="containsText" dxfId="1136" priority="1516" operator="containsText" text="Call">
      <formula>NOT(ISERROR(SEARCH("Call",AS28)))</formula>
    </cfRule>
  </conditionalFormatting>
  <conditionalFormatting sqref="AS28:AS35">
    <cfRule type="containsText" dxfId="1135" priority="1506" operator="containsText" text="9ab">
      <formula>NOT(ISERROR(SEARCH("9ab",AS28)))</formula>
    </cfRule>
    <cfRule type="cellIs" dxfId="1134" priority="1507" stopIfTrue="1" operator="equal">
      <formula>"leave"</formula>
    </cfRule>
    <cfRule type="containsText" dxfId="1133" priority="1508" operator="containsText" text="ds">
      <formula>NOT(ISERROR(SEARCH("ds",AS28)))</formula>
    </cfRule>
    <cfRule type="containsText" dxfId="1132" priority="1509" operator="containsText" text="subobs">
      <formula>NOT(ISERROR(SEARCH("subobs",AS28)))</formula>
    </cfRule>
    <cfRule type="containsText" dxfId="1131" priority="1510" stopIfTrue="1" operator="containsText" text="(Call)">
      <formula>NOT(ISERROR(SEARCH("(Call)",AS28)))</formula>
    </cfRule>
    <cfRule type="containsText" dxfId="1130" priority="1519" operator="containsText" text="9ab">
      <formula>NOT(ISERROR(SEARCH("9ab",AS28)))</formula>
    </cfRule>
    <cfRule type="cellIs" dxfId="1129" priority="1520" stopIfTrue="1" operator="equal">
      <formula>"leave"</formula>
    </cfRule>
    <cfRule type="containsText" dxfId="1128" priority="1521" operator="containsText" text="ds">
      <formula>NOT(ISERROR(SEARCH("ds",AS28)))</formula>
    </cfRule>
    <cfRule type="containsText" dxfId="1127" priority="1522" operator="containsText" text="subobs">
      <formula>NOT(ISERROR(SEARCH("subobs",AS28)))</formula>
    </cfRule>
    <cfRule type="containsText" dxfId="1126" priority="1523" operator="containsText" text="Call">
      <formula>NOT(ISERROR(SEARCH("Call",AS28)))</formula>
    </cfRule>
  </conditionalFormatting>
  <conditionalFormatting sqref="AS37:AS42">
    <cfRule type="containsText" dxfId="1125" priority="846" operator="containsText" text="9ab">
      <formula>NOT(ISERROR(SEARCH("9ab",AS37)))</formula>
    </cfRule>
    <cfRule type="cellIs" dxfId="1124" priority="847" stopIfTrue="1" operator="equal">
      <formula>"leave"</formula>
    </cfRule>
    <cfRule type="containsText" dxfId="1123" priority="848" operator="containsText" text="ds">
      <formula>NOT(ISERROR(SEARCH("ds",AS37)))</formula>
    </cfRule>
    <cfRule type="containsText" dxfId="1122" priority="849" operator="containsText" text="subobs">
      <formula>NOT(ISERROR(SEARCH("subobs",AS37)))</formula>
    </cfRule>
    <cfRule type="containsText" dxfId="1121" priority="850" operator="containsText" text="Call">
      <formula>NOT(ISERROR(SEARCH("Call",AS37)))</formula>
    </cfRule>
    <cfRule type="containsText" dxfId="1120" priority="852" operator="containsText" text="9ab">
      <formula>NOT(ISERROR(SEARCH("9ab",AS37)))</formula>
    </cfRule>
    <cfRule type="cellIs" dxfId="1119" priority="853" stopIfTrue="1" operator="equal">
      <formula>"leave"</formula>
    </cfRule>
    <cfRule type="containsText" dxfId="1118" priority="854" operator="containsText" text="ds">
      <formula>NOT(ISERROR(SEARCH("ds",AS37)))</formula>
    </cfRule>
    <cfRule type="containsText" dxfId="1117" priority="855" operator="containsText" text="subobs">
      <formula>NOT(ISERROR(SEARCH("subobs",AS37)))</formula>
    </cfRule>
    <cfRule type="containsText" dxfId="1116" priority="856" stopIfTrue="1" operator="containsText" text="(Call)">
      <formula>NOT(ISERROR(SEARCH("(Call)",AS37)))</formula>
    </cfRule>
    <cfRule type="containsText" dxfId="1115" priority="858" operator="containsText" text="9ab">
      <formula>NOT(ISERROR(SEARCH("9ab",AS37)))</formula>
    </cfRule>
    <cfRule type="cellIs" dxfId="1114" priority="859" stopIfTrue="1" operator="equal">
      <formula>"leave"</formula>
    </cfRule>
    <cfRule type="containsText" dxfId="1113" priority="860" operator="containsText" text="ds">
      <formula>NOT(ISERROR(SEARCH("ds",AS37)))</formula>
    </cfRule>
    <cfRule type="containsText" dxfId="1112" priority="861" operator="containsText" text="subobs">
      <formula>NOT(ISERROR(SEARCH("subobs",AS37)))</formula>
    </cfRule>
    <cfRule type="containsText" dxfId="1111" priority="862" operator="containsText" text="Call">
      <formula>NOT(ISERROR(SEARCH("Call",AS37)))</formula>
    </cfRule>
    <cfRule type="containsText" dxfId="1110" priority="864" operator="containsText" text="9ab">
      <formula>NOT(ISERROR(SEARCH("9ab",AS37)))</formula>
    </cfRule>
    <cfRule type="cellIs" dxfId="1109" priority="865" stopIfTrue="1" operator="equal">
      <formula>"leave"</formula>
    </cfRule>
    <cfRule type="containsText" dxfId="1108" priority="866" operator="containsText" text="ds">
      <formula>NOT(ISERROR(SEARCH("ds",AS37)))</formula>
    </cfRule>
    <cfRule type="containsText" dxfId="1107" priority="867" operator="containsText" text="subobs">
      <formula>NOT(ISERROR(SEARCH("subobs",AS37)))</formula>
    </cfRule>
    <cfRule type="containsText" dxfId="1106" priority="868" operator="containsText" text="Call">
      <formula>NOT(ISERROR(SEARCH("Call",AS37)))</formula>
    </cfRule>
    <cfRule type="containsText" dxfId="1105" priority="870" operator="containsText" text="9ab">
      <formula>NOT(ISERROR(SEARCH("9ab",AS37)))</formula>
    </cfRule>
    <cfRule type="cellIs" dxfId="1104" priority="871" stopIfTrue="1" operator="equal">
      <formula>"leave"</formula>
    </cfRule>
    <cfRule type="containsText" dxfId="1103" priority="872" operator="containsText" text="ds">
      <formula>NOT(ISERROR(SEARCH("ds",AS37)))</formula>
    </cfRule>
    <cfRule type="containsText" dxfId="1102" priority="873" operator="containsText" text="subobs">
      <formula>NOT(ISERROR(SEARCH("subobs",AS37)))</formula>
    </cfRule>
    <cfRule type="containsText" dxfId="1101" priority="874" operator="containsText" text="Call">
      <formula>NOT(ISERROR(SEARCH("Call",AS37)))</formula>
    </cfRule>
    <cfRule type="containsText" dxfId="1100" priority="878" operator="containsText" text="9ab">
      <formula>NOT(ISERROR(SEARCH("9ab",AS37)))</formula>
    </cfRule>
    <cfRule type="cellIs" dxfId="1099" priority="879" stopIfTrue="1" operator="equal">
      <formula>"leave"</formula>
    </cfRule>
    <cfRule type="containsText" dxfId="1098" priority="880" operator="containsText" text="ds">
      <formula>NOT(ISERROR(SEARCH("ds",AS37)))</formula>
    </cfRule>
    <cfRule type="containsText" dxfId="1097" priority="881" operator="containsText" text="subobs">
      <formula>NOT(ISERROR(SEARCH("subobs",AS37)))</formula>
    </cfRule>
    <cfRule type="containsText" dxfId="1096" priority="882" operator="containsText" text="Call">
      <formula>NOT(ISERROR(SEARCH("Call",AS37)))</formula>
    </cfRule>
    <cfRule type="containsText" dxfId="1095" priority="885" operator="containsText" text="9ab">
      <formula>NOT(ISERROR(SEARCH("9ab",AS37)))</formula>
    </cfRule>
    <cfRule type="cellIs" dxfId="1094" priority="886" stopIfTrue="1" operator="equal">
      <formula>"leave"</formula>
    </cfRule>
    <cfRule type="containsText" dxfId="1093" priority="887" operator="containsText" text="ds">
      <formula>NOT(ISERROR(SEARCH("ds",AS37)))</formula>
    </cfRule>
    <cfRule type="containsText" dxfId="1092" priority="888" operator="containsText" text="subobs">
      <formula>NOT(ISERROR(SEARCH("subobs",AS37)))</formula>
    </cfRule>
    <cfRule type="containsText" dxfId="1091" priority="889" stopIfTrue="1" operator="containsText" text="(Call)">
      <formula>NOT(ISERROR(SEARCH("(Call)",AS37)))</formula>
    </cfRule>
  </conditionalFormatting>
  <conditionalFormatting sqref="AS36:AT42">
    <cfRule type="containsText" dxfId="1090" priority="876" operator="containsText" text="b1">
      <formula>NOT(ISERROR(SEARCH("b1",AS36)))</formula>
    </cfRule>
    <cfRule type="cellIs" dxfId="1089" priority="877" operator="equal">
      <formula>0</formula>
    </cfRule>
    <cfRule type="containsText" dxfId="1088" priority="884" stopIfTrue="1" operator="containsText" text="go">
      <formula>NOT(ISERROR(SEARCH("go",AS36)))</formula>
    </cfRule>
    <cfRule type="cellIs" dxfId="1087" priority="891" operator="equal">
      <formula>"ps_cover"</formula>
    </cfRule>
    <cfRule type="containsText" dxfId="1086" priority="892" stopIfTrue="1" operator="containsText" text="9ab">
      <formula>NOT(ISERROR(SEARCH("9ab",AS36)))</formula>
    </cfRule>
    <cfRule type="containsText" dxfId="1085" priority="893" stopIfTrue="1" operator="containsText" text="ds">
      <formula>NOT(ISERROR(SEARCH("ds",AS36)))</formula>
    </cfRule>
    <cfRule type="containsText" dxfId="1084" priority="894" stopIfTrue="1" operator="containsText" text="subobs">
      <formula>NOT(ISERROR(SEARCH("subobs",AS36)))</formula>
    </cfRule>
  </conditionalFormatting>
  <conditionalFormatting sqref="AS36:AX42">
    <cfRule type="containsText" dxfId="1083" priority="829" operator="containsText" text="(Call)">
      <formula>NOT(ISERROR(SEARCH("(Call)",AS36)))</formula>
    </cfRule>
  </conditionalFormatting>
  <conditionalFormatting sqref="AT19:AX25">
    <cfRule type="cellIs" dxfId="1082" priority="1447" operator="equal">
      <formula>0</formula>
    </cfRule>
  </conditionalFormatting>
  <conditionalFormatting sqref="AU36:AX42">
    <cfRule type="containsText" dxfId="1081" priority="830" operator="containsText" text="b1">
      <formula>NOT(ISERROR(SEARCH("b1",AU36)))</formula>
    </cfRule>
    <cfRule type="cellIs" dxfId="1080" priority="831" operator="equal">
      <formula>0</formula>
    </cfRule>
    <cfRule type="containsText" dxfId="1079" priority="832" stopIfTrue="1" operator="containsText" text="go">
      <formula>NOT(ISERROR(SEARCH("go",AU36)))</formula>
    </cfRule>
    <cfRule type="cellIs" dxfId="1078" priority="833" operator="equal">
      <formula>"ps_cover"</formula>
    </cfRule>
    <cfRule type="containsText" dxfId="1077" priority="834" stopIfTrue="1" operator="containsText" text="9ab">
      <formula>NOT(ISERROR(SEARCH("9ab",AU36)))</formula>
    </cfRule>
    <cfRule type="containsText" dxfId="1076" priority="835" stopIfTrue="1" operator="containsText" text="ds">
      <formula>NOT(ISERROR(SEARCH("ds",AU36)))</formula>
    </cfRule>
    <cfRule type="containsText" dxfId="1075" priority="836" stopIfTrue="1" operator="containsText" text="subobs">
      <formula>NOT(ISERROR(SEARCH("subobs",AU36)))</formula>
    </cfRule>
  </conditionalFormatting>
  <conditionalFormatting sqref="AY19:BE26">
    <cfRule type="cellIs" dxfId="1074" priority="1747" operator="equal">
      <formula>0</formula>
    </cfRule>
  </conditionalFormatting>
  <conditionalFormatting sqref="AY28:BE35">
    <cfRule type="cellIs" dxfId="1073" priority="1493" operator="equal">
      <formula>0</formula>
    </cfRule>
  </conditionalFormatting>
  <conditionalFormatting sqref="AZ19:AZ25">
    <cfRule type="containsText" dxfId="1072" priority="1729" operator="containsText" text="9ab">
      <formula>NOT(ISERROR(SEARCH("9ab",AZ19)))</formula>
    </cfRule>
    <cfRule type="cellIs" dxfId="1071" priority="1730" stopIfTrue="1" operator="equal">
      <formula>"leave"</formula>
    </cfRule>
    <cfRule type="containsText" dxfId="1070" priority="1731" operator="containsText" text="ds">
      <formula>NOT(ISERROR(SEARCH("ds",AZ19)))</formula>
    </cfRule>
    <cfRule type="containsText" dxfId="1069" priority="1732" operator="containsText" text="subobs">
      <formula>NOT(ISERROR(SEARCH("subobs",AZ19)))</formula>
    </cfRule>
    <cfRule type="containsText" dxfId="1068" priority="1733" operator="containsText" text="Call">
      <formula>NOT(ISERROR(SEARCH("Call",AZ19)))</formula>
    </cfRule>
    <cfRule type="containsText" dxfId="1067" priority="1741" operator="containsText" text="9ab">
      <formula>NOT(ISERROR(SEARCH("9ab",AZ19)))</formula>
    </cfRule>
    <cfRule type="cellIs" dxfId="1066" priority="1742" stopIfTrue="1" operator="equal">
      <formula>"leave"</formula>
    </cfRule>
    <cfRule type="containsText" dxfId="1065" priority="1743" operator="containsText" text="ds">
      <formula>NOT(ISERROR(SEARCH("ds",AZ19)))</formula>
    </cfRule>
    <cfRule type="containsText" dxfId="1064" priority="1744" operator="containsText" text="subobs">
      <formula>NOT(ISERROR(SEARCH("subobs",AZ19)))</formula>
    </cfRule>
    <cfRule type="containsText" dxfId="1063" priority="1745" operator="containsText" text="Call">
      <formula>NOT(ISERROR(SEARCH("Call",AZ19)))</formula>
    </cfRule>
  </conditionalFormatting>
  <conditionalFormatting sqref="AZ19:AZ26">
    <cfRule type="containsText" dxfId="1062" priority="1735" operator="containsText" text="9ab">
      <formula>NOT(ISERROR(SEARCH("9ab",AZ19)))</formula>
    </cfRule>
    <cfRule type="cellIs" dxfId="1061" priority="1736" stopIfTrue="1" operator="equal">
      <formula>"leave"</formula>
    </cfRule>
    <cfRule type="containsText" dxfId="1060" priority="1737" operator="containsText" text="ds">
      <formula>NOT(ISERROR(SEARCH("ds",AZ19)))</formula>
    </cfRule>
    <cfRule type="containsText" dxfId="1059" priority="1738" operator="containsText" text="subobs">
      <formula>NOT(ISERROR(SEARCH("subobs",AZ19)))</formula>
    </cfRule>
    <cfRule type="containsText" dxfId="1058" priority="1739" stopIfTrue="1" operator="containsText" text="(Call)">
      <formula>NOT(ISERROR(SEARCH("(Call)",AZ19)))</formula>
    </cfRule>
    <cfRule type="containsText" dxfId="1057" priority="1748" operator="containsText" text="9ab">
      <formula>NOT(ISERROR(SEARCH("9ab",AZ19)))</formula>
    </cfRule>
    <cfRule type="cellIs" dxfId="1056" priority="1749" stopIfTrue="1" operator="equal">
      <formula>"leave"</formula>
    </cfRule>
    <cfRule type="containsText" dxfId="1055" priority="1750" operator="containsText" text="ds">
      <formula>NOT(ISERROR(SEARCH("ds",AZ19)))</formula>
    </cfRule>
    <cfRule type="containsText" dxfId="1054" priority="1751" operator="containsText" text="subobs">
      <formula>NOT(ISERROR(SEARCH("subobs",AZ19)))</formula>
    </cfRule>
    <cfRule type="containsText" dxfId="1053" priority="1752" operator="containsText" text="Call">
      <formula>NOT(ISERROR(SEARCH("Call",AZ19)))</formula>
    </cfRule>
  </conditionalFormatting>
  <conditionalFormatting sqref="AZ28:AZ33">
    <cfRule type="containsText" dxfId="1052" priority="1475" operator="containsText" text="9ab">
      <formula>NOT(ISERROR(SEARCH("9ab",AZ28)))</formula>
    </cfRule>
    <cfRule type="cellIs" dxfId="1051" priority="1476" stopIfTrue="1" operator="equal">
      <formula>"leave"</formula>
    </cfRule>
    <cfRule type="containsText" dxfId="1050" priority="1477" operator="containsText" text="ds">
      <formula>NOT(ISERROR(SEARCH("ds",AZ28)))</formula>
    </cfRule>
    <cfRule type="containsText" dxfId="1049" priority="1478" operator="containsText" text="subobs">
      <formula>NOT(ISERROR(SEARCH("subobs",AZ28)))</formula>
    </cfRule>
    <cfRule type="containsText" dxfId="1048" priority="1479" operator="containsText" text="Call">
      <formula>NOT(ISERROR(SEARCH("Call",AZ28)))</formula>
    </cfRule>
    <cfRule type="containsText" dxfId="1047" priority="1487" operator="containsText" text="9ab">
      <formula>NOT(ISERROR(SEARCH("9ab",AZ28)))</formula>
    </cfRule>
    <cfRule type="cellIs" dxfId="1046" priority="1488" stopIfTrue="1" operator="equal">
      <formula>"leave"</formula>
    </cfRule>
    <cfRule type="containsText" dxfId="1045" priority="1489" operator="containsText" text="ds">
      <formula>NOT(ISERROR(SEARCH("ds",AZ28)))</formula>
    </cfRule>
    <cfRule type="containsText" dxfId="1044" priority="1490" operator="containsText" text="subobs">
      <formula>NOT(ISERROR(SEARCH("subobs",AZ28)))</formula>
    </cfRule>
    <cfRule type="containsText" dxfId="1043" priority="1491" operator="containsText" text="Call">
      <formula>NOT(ISERROR(SEARCH("Call",AZ28)))</formula>
    </cfRule>
  </conditionalFormatting>
  <conditionalFormatting sqref="AZ28:AZ35">
    <cfRule type="containsText" dxfId="1042" priority="1481" operator="containsText" text="9ab">
      <formula>NOT(ISERROR(SEARCH("9ab",AZ28)))</formula>
    </cfRule>
    <cfRule type="cellIs" dxfId="1041" priority="1482" stopIfTrue="1" operator="equal">
      <formula>"leave"</formula>
    </cfRule>
    <cfRule type="containsText" dxfId="1040" priority="1483" operator="containsText" text="ds">
      <formula>NOT(ISERROR(SEARCH("ds",AZ28)))</formula>
    </cfRule>
    <cfRule type="containsText" dxfId="1039" priority="1484" operator="containsText" text="subobs">
      <formula>NOT(ISERROR(SEARCH("subobs",AZ28)))</formula>
    </cfRule>
    <cfRule type="containsText" dxfId="1038" priority="1485" stopIfTrue="1" operator="containsText" text="(Call)">
      <formula>NOT(ISERROR(SEARCH("(Call)",AZ28)))</formula>
    </cfRule>
    <cfRule type="containsText" dxfId="1037" priority="1494" operator="containsText" text="9ab">
      <formula>NOT(ISERROR(SEARCH("9ab",AZ28)))</formula>
    </cfRule>
    <cfRule type="cellIs" dxfId="1036" priority="1495" stopIfTrue="1" operator="equal">
      <formula>"leave"</formula>
    </cfRule>
    <cfRule type="containsText" dxfId="1035" priority="1496" operator="containsText" text="ds">
      <formula>NOT(ISERROR(SEARCH("ds",AZ28)))</formula>
    </cfRule>
    <cfRule type="containsText" dxfId="1034" priority="1497" operator="containsText" text="subobs">
      <formula>NOT(ISERROR(SEARCH("subobs",AZ28)))</formula>
    </cfRule>
    <cfRule type="containsText" dxfId="1033" priority="1498" operator="containsText" text="Call">
      <formula>NOT(ISERROR(SEARCH("Call",AZ28)))</formula>
    </cfRule>
  </conditionalFormatting>
  <conditionalFormatting sqref="AZ37:AZ42">
    <cfRule type="containsText" dxfId="1032" priority="780" operator="containsText" text="9ab">
      <formula>NOT(ISERROR(SEARCH("9ab",AZ37)))</formula>
    </cfRule>
    <cfRule type="cellIs" dxfId="1031" priority="781" stopIfTrue="1" operator="equal">
      <formula>"leave"</formula>
    </cfRule>
    <cfRule type="containsText" dxfId="1030" priority="782" operator="containsText" text="ds">
      <formula>NOT(ISERROR(SEARCH("ds",AZ37)))</formula>
    </cfRule>
    <cfRule type="containsText" dxfId="1029" priority="783" operator="containsText" text="subobs">
      <formula>NOT(ISERROR(SEARCH("subobs",AZ37)))</formula>
    </cfRule>
    <cfRule type="containsText" dxfId="1028" priority="784" operator="containsText" text="Call">
      <formula>NOT(ISERROR(SEARCH("Call",AZ37)))</formula>
    </cfRule>
    <cfRule type="containsText" dxfId="1027" priority="786" operator="containsText" text="9ab">
      <formula>NOT(ISERROR(SEARCH("9ab",AZ37)))</formula>
    </cfRule>
    <cfRule type="cellIs" dxfId="1026" priority="787" stopIfTrue="1" operator="equal">
      <formula>"leave"</formula>
    </cfRule>
    <cfRule type="containsText" dxfId="1025" priority="788" operator="containsText" text="ds">
      <formula>NOT(ISERROR(SEARCH("ds",AZ37)))</formula>
    </cfRule>
    <cfRule type="containsText" dxfId="1024" priority="789" operator="containsText" text="subobs">
      <formula>NOT(ISERROR(SEARCH("subobs",AZ37)))</formula>
    </cfRule>
    <cfRule type="containsText" dxfId="1023" priority="790" stopIfTrue="1" operator="containsText" text="(Call)">
      <formula>NOT(ISERROR(SEARCH("(Call)",AZ37)))</formula>
    </cfRule>
    <cfRule type="containsText" dxfId="1022" priority="792" operator="containsText" text="9ab">
      <formula>NOT(ISERROR(SEARCH("9ab",AZ37)))</formula>
    </cfRule>
    <cfRule type="cellIs" dxfId="1021" priority="793" stopIfTrue="1" operator="equal">
      <formula>"leave"</formula>
    </cfRule>
    <cfRule type="containsText" dxfId="1020" priority="794" operator="containsText" text="ds">
      <formula>NOT(ISERROR(SEARCH("ds",AZ37)))</formula>
    </cfRule>
    <cfRule type="containsText" dxfId="1019" priority="795" operator="containsText" text="subobs">
      <formula>NOT(ISERROR(SEARCH("subobs",AZ37)))</formula>
    </cfRule>
    <cfRule type="containsText" dxfId="1018" priority="796" operator="containsText" text="Call">
      <formula>NOT(ISERROR(SEARCH("Call",AZ37)))</formula>
    </cfRule>
    <cfRule type="containsText" dxfId="1017" priority="798" operator="containsText" text="9ab">
      <formula>NOT(ISERROR(SEARCH("9ab",AZ37)))</formula>
    </cfRule>
    <cfRule type="cellIs" dxfId="1016" priority="799" stopIfTrue="1" operator="equal">
      <formula>"leave"</formula>
    </cfRule>
    <cfRule type="containsText" dxfId="1015" priority="800" operator="containsText" text="ds">
      <formula>NOT(ISERROR(SEARCH("ds",AZ37)))</formula>
    </cfRule>
    <cfRule type="containsText" dxfId="1014" priority="801" operator="containsText" text="subobs">
      <formula>NOT(ISERROR(SEARCH("subobs",AZ37)))</formula>
    </cfRule>
    <cfRule type="containsText" dxfId="1013" priority="802" operator="containsText" text="Call">
      <formula>NOT(ISERROR(SEARCH("Call",AZ37)))</formula>
    </cfRule>
    <cfRule type="containsText" dxfId="1012" priority="804" operator="containsText" text="9ab">
      <formula>NOT(ISERROR(SEARCH("9ab",AZ37)))</formula>
    </cfRule>
    <cfRule type="cellIs" dxfId="1011" priority="805" stopIfTrue="1" operator="equal">
      <formula>"leave"</formula>
    </cfRule>
    <cfRule type="containsText" dxfId="1010" priority="806" operator="containsText" text="ds">
      <formula>NOT(ISERROR(SEARCH("ds",AZ37)))</formula>
    </cfRule>
    <cfRule type="containsText" dxfId="1009" priority="807" operator="containsText" text="subobs">
      <formula>NOT(ISERROR(SEARCH("subobs",AZ37)))</formula>
    </cfRule>
    <cfRule type="containsText" dxfId="1008" priority="808" operator="containsText" text="Call">
      <formula>NOT(ISERROR(SEARCH("Call",AZ37)))</formula>
    </cfRule>
    <cfRule type="containsText" dxfId="1007" priority="812" operator="containsText" text="9ab">
      <formula>NOT(ISERROR(SEARCH("9ab",AZ37)))</formula>
    </cfRule>
    <cfRule type="cellIs" dxfId="1006" priority="813" stopIfTrue="1" operator="equal">
      <formula>"leave"</formula>
    </cfRule>
    <cfRule type="containsText" dxfId="1005" priority="814" operator="containsText" text="ds">
      <formula>NOT(ISERROR(SEARCH("ds",AZ37)))</formula>
    </cfRule>
    <cfRule type="containsText" dxfId="1004" priority="815" operator="containsText" text="subobs">
      <formula>NOT(ISERROR(SEARCH("subobs",AZ37)))</formula>
    </cfRule>
    <cfRule type="containsText" dxfId="1003" priority="816" operator="containsText" text="Call">
      <formula>NOT(ISERROR(SEARCH("Call",AZ37)))</formula>
    </cfRule>
    <cfRule type="containsText" dxfId="1002" priority="819" operator="containsText" text="9ab">
      <formula>NOT(ISERROR(SEARCH("9ab",AZ37)))</formula>
    </cfRule>
    <cfRule type="cellIs" dxfId="1001" priority="820" stopIfTrue="1" operator="equal">
      <formula>"leave"</formula>
    </cfRule>
    <cfRule type="containsText" dxfId="1000" priority="821" operator="containsText" text="ds">
      <formula>NOT(ISERROR(SEARCH("ds",AZ37)))</formula>
    </cfRule>
    <cfRule type="containsText" dxfId="999" priority="822" operator="containsText" text="subobs">
      <formula>NOT(ISERROR(SEARCH("subobs",AZ37)))</formula>
    </cfRule>
    <cfRule type="containsText" dxfId="998" priority="823" stopIfTrue="1" operator="containsText" text="(Call)">
      <formula>NOT(ISERROR(SEARCH("(Call)",AZ37)))</formula>
    </cfRule>
  </conditionalFormatting>
  <conditionalFormatting sqref="AZ36:BA42">
    <cfRule type="containsText" dxfId="997" priority="810" operator="containsText" text="b1">
      <formula>NOT(ISERROR(SEARCH("b1",AZ36)))</formula>
    </cfRule>
    <cfRule type="cellIs" dxfId="996" priority="811" operator="equal">
      <formula>0</formula>
    </cfRule>
    <cfRule type="containsText" dxfId="995" priority="818" stopIfTrue="1" operator="containsText" text="go">
      <formula>NOT(ISERROR(SEARCH("go",AZ36)))</formula>
    </cfRule>
    <cfRule type="cellIs" dxfId="994" priority="825" operator="equal">
      <formula>"ps_cover"</formula>
    </cfRule>
    <cfRule type="containsText" dxfId="993" priority="826" stopIfTrue="1" operator="containsText" text="9ab">
      <formula>NOT(ISERROR(SEARCH("9ab",AZ36)))</formula>
    </cfRule>
    <cfRule type="containsText" dxfId="992" priority="827" stopIfTrue="1" operator="containsText" text="ds">
      <formula>NOT(ISERROR(SEARCH("ds",AZ36)))</formula>
    </cfRule>
    <cfRule type="containsText" dxfId="991" priority="828" stopIfTrue="1" operator="containsText" text="subobs">
      <formula>NOT(ISERROR(SEARCH("subobs",AZ36)))</formula>
    </cfRule>
  </conditionalFormatting>
  <conditionalFormatting sqref="AZ36:BE42">
    <cfRule type="containsText" dxfId="990" priority="763" operator="containsText" text="(Call)">
      <formula>NOT(ISERROR(SEARCH("(Call)",AZ36)))</formula>
    </cfRule>
  </conditionalFormatting>
  <conditionalFormatting sqref="BA19:BE25">
    <cfRule type="cellIs" dxfId="989" priority="1446" operator="equal">
      <formula>0</formula>
    </cfRule>
  </conditionalFormatting>
  <conditionalFormatting sqref="BB36:BE42">
    <cfRule type="containsText" dxfId="988" priority="764" operator="containsText" text="b1">
      <formula>NOT(ISERROR(SEARCH("b1",BB36)))</formula>
    </cfRule>
    <cfRule type="cellIs" dxfId="987" priority="765" operator="equal">
      <formula>0</formula>
    </cfRule>
    <cfRule type="containsText" dxfId="986" priority="766" stopIfTrue="1" operator="containsText" text="go">
      <formula>NOT(ISERROR(SEARCH("go",BB36)))</formula>
    </cfRule>
    <cfRule type="cellIs" dxfId="985" priority="767" operator="equal">
      <formula>"ps_cover"</formula>
    </cfRule>
    <cfRule type="containsText" dxfId="984" priority="768" stopIfTrue="1" operator="containsText" text="9ab">
      <formula>NOT(ISERROR(SEARCH("9ab",BB36)))</formula>
    </cfRule>
    <cfRule type="containsText" dxfId="983" priority="769" stopIfTrue="1" operator="containsText" text="ds">
      <formula>NOT(ISERROR(SEARCH("ds",BB36)))</formula>
    </cfRule>
    <cfRule type="containsText" dxfId="982" priority="770" stopIfTrue="1" operator="containsText" text="subobs">
      <formula>NOT(ISERROR(SEARCH("subobs",BB36)))</formula>
    </cfRule>
  </conditionalFormatting>
  <conditionalFormatting sqref="BF19:BL26">
    <cfRule type="cellIs" dxfId="981" priority="1722" operator="equal">
      <formula>0</formula>
    </cfRule>
  </conditionalFormatting>
  <conditionalFormatting sqref="BF28:BL35">
    <cfRule type="cellIs" dxfId="980" priority="1468" operator="equal">
      <formula>0</formula>
    </cfRule>
  </conditionalFormatting>
  <conditionalFormatting sqref="BG19:BG25">
    <cfRule type="containsText" dxfId="979" priority="1704" operator="containsText" text="9ab">
      <formula>NOT(ISERROR(SEARCH("9ab",BG19)))</formula>
    </cfRule>
    <cfRule type="cellIs" dxfId="978" priority="1705" stopIfTrue="1" operator="equal">
      <formula>"leave"</formula>
    </cfRule>
    <cfRule type="containsText" dxfId="977" priority="1706" operator="containsText" text="ds">
      <formula>NOT(ISERROR(SEARCH("ds",BG19)))</formula>
    </cfRule>
    <cfRule type="containsText" dxfId="976" priority="1707" operator="containsText" text="subobs">
      <formula>NOT(ISERROR(SEARCH("subobs",BG19)))</formula>
    </cfRule>
    <cfRule type="containsText" dxfId="975" priority="1708" operator="containsText" text="Call">
      <formula>NOT(ISERROR(SEARCH("Call",BG19)))</formula>
    </cfRule>
    <cfRule type="containsText" dxfId="974" priority="1716" operator="containsText" text="9ab">
      <formula>NOT(ISERROR(SEARCH("9ab",BG19)))</formula>
    </cfRule>
    <cfRule type="cellIs" dxfId="973" priority="1717" stopIfTrue="1" operator="equal">
      <formula>"leave"</formula>
    </cfRule>
    <cfRule type="containsText" dxfId="972" priority="1718" operator="containsText" text="ds">
      <formula>NOT(ISERROR(SEARCH("ds",BG19)))</formula>
    </cfRule>
    <cfRule type="containsText" dxfId="971" priority="1719" operator="containsText" text="subobs">
      <formula>NOT(ISERROR(SEARCH("subobs",BG19)))</formula>
    </cfRule>
    <cfRule type="containsText" dxfId="970" priority="1720" operator="containsText" text="Call">
      <formula>NOT(ISERROR(SEARCH("Call",BG19)))</formula>
    </cfRule>
  </conditionalFormatting>
  <conditionalFormatting sqref="BG19:BG26">
    <cfRule type="containsText" dxfId="969" priority="1710" operator="containsText" text="9ab">
      <formula>NOT(ISERROR(SEARCH("9ab",BG19)))</formula>
    </cfRule>
    <cfRule type="cellIs" dxfId="968" priority="1711" stopIfTrue="1" operator="equal">
      <formula>"leave"</formula>
    </cfRule>
    <cfRule type="containsText" dxfId="967" priority="1712" operator="containsText" text="ds">
      <formula>NOT(ISERROR(SEARCH("ds",BG19)))</formula>
    </cfRule>
    <cfRule type="containsText" dxfId="966" priority="1713" operator="containsText" text="subobs">
      <formula>NOT(ISERROR(SEARCH("subobs",BG19)))</formula>
    </cfRule>
    <cfRule type="containsText" dxfId="965" priority="1714" stopIfTrue="1" operator="containsText" text="(Call)">
      <formula>NOT(ISERROR(SEARCH("(Call)",BG19)))</formula>
    </cfRule>
    <cfRule type="containsText" dxfId="964" priority="1723" operator="containsText" text="9ab">
      <formula>NOT(ISERROR(SEARCH("9ab",BG19)))</formula>
    </cfRule>
    <cfRule type="cellIs" dxfId="963" priority="1724" stopIfTrue="1" operator="equal">
      <formula>"leave"</formula>
    </cfRule>
    <cfRule type="containsText" dxfId="962" priority="1725" operator="containsText" text="ds">
      <formula>NOT(ISERROR(SEARCH("ds",BG19)))</formula>
    </cfRule>
    <cfRule type="containsText" dxfId="961" priority="1726" operator="containsText" text="subobs">
      <formula>NOT(ISERROR(SEARCH("subobs",BG19)))</formula>
    </cfRule>
    <cfRule type="containsText" dxfId="960" priority="1727" operator="containsText" text="Call">
      <formula>NOT(ISERROR(SEARCH("Call",BG19)))</formula>
    </cfRule>
  </conditionalFormatting>
  <conditionalFormatting sqref="BG28:BG33">
    <cfRule type="containsText" dxfId="959" priority="1450" operator="containsText" text="9ab">
      <formula>NOT(ISERROR(SEARCH("9ab",BG28)))</formula>
    </cfRule>
    <cfRule type="cellIs" dxfId="958" priority="1451" stopIfTrue="1" operator="equal">
      <formula>"leave"</formula>
    </cfRule>
    <cfRule type="containsText" dxfId="957" priority="1452" operator="containsText" text="ds">
      <formula>NOT(ISERROR(SEARCH("ds",BG28)))</formula>
    </cfRule>
    <cfRule type="containsText" dxfId="956" priority="1453" operator="containsText" text="subobs">
      <formula>NOT(ISERROR(SEARCH("subobs",BG28)))</formula>
    </cfRule>
    <cfRule type="containsText" dxfId="955" priority="1454" operator="containsText" text="Call">
      <formula>NOT(ISERROR(SEARCH("Call",BG28)))</formula>
    </cfRule>
    <cfRule type="containsText" dxfId="954" priority="1462" operator="containsText" text="9ab">
      <formula>NOT(ISERROR(SEARCH("9ab",BG28)))</formula>
    </cfRule>
    <cfRule type="cellIs" dxfId="953" priority="1463" stopIfTrue="1" operator="equal">
      <formula>"leave"</formula>
    </cfRule>
    <cfRule type="containsText" dxfId="952" priority="1464" operator="containsText" text="ds">
      <formula>NOT(ISERROR(SEARCH("ds",BG28)))</formula>
    </cfRule>
    <cfRule type="containsText" dxfId="951" priority="1465" operator="containsText" text="subobs">
      <formula>NOT(ISERROR(SEARCH("subobs",BG28)))</formula>
    </cfRule>
    <cfRule type="containsText" dxfId="950" priority="1466" operator="containsText" text="Call">
      <formula>NOT(ISERROR(SEARCH("Call",BG28)))</formula>
    </cfRule>
  </conditionalFormatting>
  <conditionalFormatting sqref="BG28:BG35">
    <cfRule type="containsText" dxfId="949" priority="1456" operator="containsText" text="9ab">
      <formula>NOT(ISERROR(SEARCH("9ab",BG28)))</formula>
    </cfRule>
    <cfRule type="cellIs" dxfId="948" priority="1457" stopIfTrue="1" operator="equal">
      <formula>"leave"</formula>
    </cfRule>
    <cfRule type="containsText" dxfId="947" priority="1458" operator="containsText" text="ds">
      <formula>NOT(ISERROR(SEARCH("ds",BG28)))</formula>
    </cfRule>
    <cfRule type="containsText" dxfId="946" priority="1459" operator="containsText" text="subobs">
      <formula>NOT(ISERROR(SEARCH("subobs",BG28)))</formula>
    </cfRule>
    <cfRule type="containsText" dxfId="945" priority="1460" stopIfTrue="1" operator="containsText" text="(Call)">
      <formula>NOT(ISERROR(SEARCH("(Call)",BG28)))</formula>
    </cfRule>
    <cfRule type="containsText" dxfId="944" priority="1469" operator="containsText" text="9ab">
      <formula>NOT(ISERROR(SEARCH("9ab",BG28)))</formula>
    </cfRule>
    <cfRule type="cellIs" dxfId="943" priority="1470" stopIfTrue="1" operator="equal">
      <formula>"leave"</formula>
    </cfRule>
    <cfRule type="containsText" dxfId="942" priority="1471" operator="containsText" text="ds">
      <formula>NOT(ISERROR(SEARCH("ds",BG28)))</formula>
    </cfRule>
    <cfRule type="containsText" dxfId="941" priority="1472" operator="containsText" text="subobs">
      <formula>NOT(ISERROR(SEARCH("subobs",BG28)))</formula>
    </cfRule>
    <cfRule type="containsText" dxfId="940" priority="1473" operator="containsText" text="Call">
      <formula>NOT(ISERROR(SEARCH("Call",BG28)))</formula>
    </cfRule>
  </conditionalFormatting>
  <conditionalFormatting sqref="BG37:BG42">
    <cfRule type="containsText" dxfId="939" priority="714" operator="containsText" text="9ab">
      <formula>NOT(ISERROR(SEARCH("9ab",BG37)))</formula>
    </cfRule>
    <cfRule type="cellIs" dxfId="938" priority="715" stopIfTrue="1" operator="equal">
      <formula>"leave"</formula>
    </cfRule>
    <cfRule type="containsText" dxfId="937" priority="716" operator="containsText" text="ds">
      <formula>NOT(ISERROR(SEARCH("ds",BG37)))</formula>
    </cfRule>
    <cfRule type="containsText" dxfId="936" priority="717" operator="containsText" text="subobs">
      <formula>NOT(ISERROR(SEARCH("subobs",BG37)))</formula>
    </cfRule>
    <cfRule type="containsText" dxfId="935" priority="718" operator="containsText" text="Call">
      <formula>NOT(ISERROR(SEARCH("Call",BG37)))</formula>
    </cfRule>
    <cfRule type="containsText" dxfId="934" priority="720" operator="containsText" text="9ab">
      <formula>NOT(ISERROR(SEARCH("9ab",BG37)))</formula>
    </cfRule>
    <cfRule type="cellIs" dxfId="933" priority="721" stopIfTrue="1" operator="equal">
      <formula>"leave"</formula>
    </cfRule>
    <cfRule type="containsText" dxfId="932" priority="722" operator="containsText" text="ds">
      <formula>NOT(ISERROR(SEARCH("ds",BG37)))</formula>
    </cfRule>
    <cfRule type="containsText" dxfId="931" priority="723" operator="containsText" text="subobs">
      <formula>NOT(ISERROR(SEARCH("subobs",BG37)))</formula>
    </cfRule>
    <cfRule type="containsText" dxfId="930" priority="724" stopIfTrue="1" operator="containsText" text="(Call)">
      <formula>NOT(ISERROR(SEARCH("(Call)",BG37)))</formula>
    </cfRule>
    <cfRule type="containsText" dxfId="929" priority="726" operator="containsText" text="9ab">
      <formula>NOT(ISERROR(SEARCH("9ab",BG37)))</formula>
    </cfRule>
    <cfRule type="cellIs" dxfId="928" priority="727" stopIfTrue="1" operator="equal">
      <formula>"leave"</formula>
    </cfRule>
    <cfRule type="containsText" dxfId="927" priority="728" operator="containsText" text="ds">
      <formula>NOT(ISERROR(SEARCH("ds",BG37)))</formula>
    </cfRule>
    <cfRule type="containsText" dxfId="926" priority="729" operator="containsText" text="subobs">
      <formula>NOT(ISERROR(SEARCH("subobs",BG37)))</formula>
    </cfRule>
    <cfRule type="containsText" dxfId="925" priority="730" operator="containsText" text="Call">
      <formula>NOT(ISERROR(SEARCH("Call",BG37)))</formula>
    </cfRule>
    <cfRule type="containsText" dxfId="924" priority="732" operator="containsText" text="9ab">
      <formula>NOT(ISERROR(SEARCH("9ab",BG37)))</formula>
    </cfRule>
    <cfRule type="cellIs" dxfId="923" priority="733" stopIfTrue="1" operator="equal">
      <formula>"leave"</formula>
    </cfRule>
    <cfRule type="containsText" dxfId="922" priority="734" operator="containsText" text="ds">
      <formula>NOT(ISERROR(SEARCH("ds",BG37)))</formula>
    </cfRule>
    <cfRule type="containsText" dxfId="921" priority="735" operator="containsText" text="subobs">
      <formula>NOT(ISERROR(SEARCH("subobs",BG37)))</formula>
    </cfRule>
    <cfRule type="containsText" dxfId="920" priority="736" operator="containsText" text="Call">
      <formula>NOT(ISERROR(SEARCH("Call",BG37)))</formula>
    </cfRule>
    <cfRule type="containsText" dxfId="919" priority="738" operator="containsText" text="9ab">
      <formula>NOT(ISERROR(SEARCH("9ab",BG37)))</formula>
    </cfRule>
    <cfRule type="cellIs" dxfId="918" priority="739" stopIfTrue="1" operator="equal">
      <formula>"leave"</formula>
    </cfRule>
    <cfRule type="containsText" dxfId="917" priority="740" operator="containsText" text="ds">
      <formula>NOT(ISERROR(SEARCH("ds",BG37)))</formula>
    </cfRule>
    <cfRule type="containsText" dxfId="916" priority="741" operator="containsText" text="subobs">
      <formula>NOT(ISERROR(SEARCH("subobs",BG37)))</formula>
    </cfRule>
    <cfRule type="containsText" dxfId="915" priority="742" operator="containsText" text="Call">
      <formula>NOT(ISERROR(SEARCH("Call",BG37)))</formula>
    </cfRule>
    <cfRule type="containsText" dxfId="914" priority="746" operator="containsText" text="9ab">
      <formula>NOT(ISERROR(SEARCH("9ab",BG37)))</formula>
    </cfRule>
    <cfRule type="cellIs" dxfId="913" priority="747" stopIfTrue="1" operator="equal">
      <formula>"leave"</formula>
    </cfRule>
    <cfRule type="containsText" dxfId="912" priority="748" operator="containsText" text="ds">
      <formula>NOT(ISERROR(SEARCH("ds",BG37)))</formula>
    </cfRule>
    <cfRule type="containsText" dxfId="911" priority="749" operator="containsText" text="subobs">
      <formula>NOT(ISERROR(SEARCH("subobs",BG37)))</formula>
    </cfRule>
    <cfRule type="containsText" dxfId="910" priority="750" operator="containsText" text="Call">
      <formula>NOT(ISERROR(SEARCH("Call",BG37)))</formula>
    </cfRule>
    <cfRule type="containsText" dxfId="909" priority="753" operator="containsText" text="9ab">
      <formula>NOT(ISERROR(SEARCH("9ab",BG37)))</formula>
    </cfRule>
    <cfRule type="cellIs" dxfId="908" priority="754" stopIfTrue="1" operator="equal">
      <formula>"leave"</formula>
    </cfRule>
    <cfRule type="containsText" dxfId="907" priority="755" operator="containsText" text="ds">
      <formula>NOT(ISERROR(SEARCH("ds",BG37)))</formula>
    </cfRule>
    <cfRule type="containsText" dxfId="906" priority="756" operator="containsText" text="subobs">
      <formula>NOT(ISERROR(SEARCH("subobs",BG37)))</formula>
    </cfRule>
    <cfRule type="containsText" dxfId="905" priority="757" stopIfTrue="1" operator="containsText" text="(Call)">
      <formula>NOT(ISERROR(SEARCH("(Call)",BG37)))</formula>
    </cfRule>
  </conditionalFormatting>
  <conditionalFormatting sqref="BG36:BH42">
    <cfRule type="containsText" dxfId="904" priority="744" operator="containsText" text="b1">
      <formula>NOT(ISERROR(SEARCH("b1",BG36)))</formula>
    </cfRule>
    <cfRule type="cellIs" dxfId="903" priority="745" operator="equal">
      <formula>0</formula>
    </cfRule>
    <cfRule type="containsText" dxfId="902" priority="752" stopIfTrue="1" operator="containsText" text="go">
      <formula>NOT(ISERROR(SEARCH("go",BG36)))</formula>
    </cfRule>
    <cfRule type="cellIs" dxfId="901" priority="759" operator="equal">
      <formula>"ps_cover"</formula>
    </cfRule>
    <cfRule type="containsText" dxfId="900" priority="760" stopIfTrue="1" operator="containsText" text="9ab">
      <formula>NOT(ISERROR(SEARCH("9ab",BG36)))</formula>
    </cfRule>
    <cfRule type="containsText" dxfId="899" priority="761" stopIfTrue="1" operator="containsText" text="ds">
      <formula>NOT(ISERROR(SEARCH("ds",BG36)))</formula>
    </cfRule>
    <cfRule type="containsText" dxfId="898" priority="762" stopIfTrue="1" operator="containsText" text="subobs">
      <formula>NOT(ISERROR(SEARCH("subobs",BG36)))</formula>
    </cfRule>
  </conditionalFormatting>
  <conditionalFormatting sqref="BG36:BL42">
    <cfRule type="containsText" dxfId="897" priority="697" operator="containsText" text="(Call)">
      <formula>NOT(ISERROR(SEARCH("(Call)",BG36)))</formula>
    </cfRule>
  </conditionalFormatting>
  <conditionalFormatting sqref="BH19:BH26">
    <cfRule type="cellIs" dxfId="896" priority="1357" operator="equal">
      <formula>0</formula>
    </cfRule>
  </conditionalFormatting>
  <conditionalFormatting sqref="BI36:BL42">
    <cfRule type="containsText" dxfId="895" priority="698" operator="containsText" text="b1">
      <formula>NOT(ISERROR(SEARCH("b1",BI36)))</formula>
    </cfRule>
    <cfRule type="cellIs" dxfId="894" priority="699" operator="equal">
      <formula>0</formula>
    </cfRule>
    <cfRule type="containsText" dxfId="893" priority="700" stopIfTrue="1" operator="containsText" text="go">
      <formula>NOT(ISERROR(SEARCH("go",BI36)))</formula>
    </cfRule>
    <cfRule type="cellIs" dxfId="892" priority="701" operator="equal">
      <formula>"ps_cover"</formula>
    </cfRule>
    <cfRule type="containsText" dxfId="891" priority="702" stopIfTrue="1" operator="containsText" text="9ab">
      <formula>NOT(ISERROR(SEARCH("9ab",BI36)))</formula>
    </cfRule>
    <cfRule type="containsText" dxfId="890" priority="703" stopIfTrue="1" operator="containsText" text="ds">
      <formula>NOT(ISERROR(SEARCH("ds",BI36)))</formula>
    </cfRule>
    <cfRule type="containsText" dxfId="889" priority="704" stopIfTrue="1" operator="containsText" text="subobs">
      <formula>NOT(ISERROR(SEARCH("subobs",BI36)))</formula>
    </cfRule>
  </conditionalFormatting>
  <conditionalFormatting sqref="BK2:BK17">
    <cfRule type="containsText" dxfId="888" priority="1696" stopIfTrue="1" operator="containsText" text="b1">
      <formula>NOT(ISERROR(SEARCH("b1",BK2)))</formula>
    </cfRule>
    <cfRule type="containsText" dxfId="887" priority="1697" operator="containsText" text="go">
      <formula>NOT(ISERROR(SEARCH("go",BK2)))</formula>
    </cfRule>
    <cfRule type="cellIs" dxfId="886" priority="1698" operator="equal">
      <formula>"post_call_cover"</formula>
    </cfRule>
    <cfRule type="containsText" dxfId="885" priority="1699" operator="containsText" text="9ab">
      <formula>NOT(ISERROR(SEARCH("9ab",BK2)))</formula>
    </cfRule>
    <cfRule type="cellIs" dxfId="884" priority="1700" stopIfTrue="1" operator="equal">
      <formula>"leave"</formula>
    </cfRule>
    <cfRule type="containsText" dxfId="883" priority="1701" operator="containsText" text="ds">
      <formula>NOT(ISERROR(SEARCH("ds",BK2)))</formula>
    </cfRule>
    <cfRule type="containsText" dxfId="882" priority="1702" operator="containsText" text="subobs">
      <formula>NOT(ISERROR(SEARCH("subobs",BK2)))</formula>
    </cfRule>
    <cfRule type="containsText" dxfId="881" priority="1703" operator="containsText" text="(Call)">
      <formula>NOT(ISERROR(SEARCH("(Call)",BK2)))</formula>
    </cfRule>
  </conditionalFormatting>
  <conditionalFormatting sqref="A37:A42">
    <cfRule type="containsText" dxfId="880" priority="648" operator="containsText" text="9ab">
      <formula>NOT(ISERROR(SEARCH("9ab",A37)))</formula>
    </cfRule>
    <cfRule type="cellIs" dxfId="879" priority="649" stopIfTrue="1" operator="equal">
      <formula>"leave"</formula>
    </cfRule>
    <cfRule type="containsText" dxfId="878" priority="650" operator="containsText" text="ds">
      <formula>NOT(ISERROR(SEARCH("ds",A37)))</formula>
    </cfRule>
    <cfRule type="containsText" dxfId="877" priority="651" operator="containsText" text="subobs">
      <formula>NOT(ISERROR(SEARCH("subobs",A37)))</formula>
    </cfRule>
    <cfRule type="containsText" dxfId="876" priority="652" operator="containsText" text="Call">
      <formula>NOT(ISERROR(SEARCH("Call",A37)))</formula>
    </cfRule>
    <cfRule type="containsText" dxfId="875" priority="654" operator="containsText" text="9ab">
      <formula>NOT(ISERROR(SEARCH("9ab",A37)))</formula>
    </cfRule>
    <cfRule type="cellIs" dxfId="874" priority="655" stopIfTrue="1" operator="equal">
      <formula>"leave"</formula>
    </cfRule>
    <cfRule type="containsText" dxfId="873" priority="656" operator="containsText" text="ds">
      <formula>NOT(ISERROR(SEARCH("ds",A37)))</formula>
    </cfRule>
    <cfRule type="containsText" dxfId="872" priority="657" operator="containsText" text="subobs">
      <formula>NOT(ISERROR(SEARCH("subobs",A37)))</formula>
    </cfRule>
    <cfRule type="containsText" dxfId="871" priority="658" stopIfTrue="1" operator="containsText" text="(Call)">
      <formula>NOT(ISERROR(SEARCH("(Call)",A37)))</formula>
    </cfRule>
    <cfRule type="containsText" dxfId="870" priority="660" operator="containsText" text="9ab">
      <formula>NOT(ISERROR(SEARCH("9ab",A37)))</formula>
    </cfRule>
    <cfRule type="cellIs" dxfId="869" priority="661" stopIfTrue="1" operator="equal">
      <formula>"leave"</formula>
    </cfRule>
    <cfRule type="containsText" dxfId="868" priority="662" operator="containsText" text="ds">
      <formula>NOT(ISERROR(SEARCH("ds",A37)))</formula>
    </cfRule>
    <cfRule type="containsText" dxfId="867" priority="663" operator="containsText" text="subobs">
      <formula>NOT(ISERROR(SEARCH("subobs",A37)))</formula>
    </cfRule>
    <cfRule type="containsText" dxfId="866" priority="664" operator="containsText" text="Call">
      <formula>NOT(ISERROR(SEARCH("Call",A37)))</formula>
    </cfRule>
    <cfRule type="containsText" dxfId="865" priority="666" operator="containsText" text="9ab">
      <formula>NOT(ISERROR(SEARCH("9ab",A37)))</formula>
    </cfRule>
    <cfRule type="cellIs" dxfId="864" priority="667" stopIfTrue="1" operator="equal">
      <formula>"leave"</formula>
    </cfRule>
    <cfRule type="containsText" dxfId="863" priority="668" operator="containsText" text="ds">
      <formula>NOT(ISERROR(SEARCH("ds",A37)))</formula>
    </cfRule>
    <cfRule type="containsText" dxfId="862" priority="669" operator="containsText" text="subobs">
      <formula>NOT(ISERROR(SEARCH("subobs",A37)))</formula>
    </cfRule>
    <cfRule type="containsText" dxfId="861" priority="670" operator="containsText" text="Call">
      <formula>NOT(ISERROR(SEARCH("Call",A37)))</formula>
    </cfRule>
    <cfRule type="containsText" dxfId="860" priority="672" operator="containsText" text="9ab">
      <formula>NOT(ISERROR(SEARCH("9ab",A37)))</formula>
    </cfRule>
    <cfRule type="cellIs" dxfId="859" priority="673" stopIfTrue="1" operator="equal">
      <formula>"leave"</formula>
    </cfRule>
    <cfRule type="containsText" dxfId="858" priority="674" operator="containsText" text="ds">
      <formula>NOT(ISERROR(SEARCH("ds",A37)))</formula>
    </cfRule>
    <cfRule type="containsText" dxfId="857" priority="675" operator="containsText" text="subobs">
      <formula>NOT(ISERROR(SEARCH("subobs",A37)))</formula>
    </cfRule>
    <cfRule type="containsText" dxfId="856" priority="676" operator="containsText" text="Call">
      <formula>NOT(ISERROR(SEARCH("Call",A37)))</formula>
    </cfRule>
    <cfRule type="containsText" dxfId="855" priority="680" operator="containsText" text="9ab">
      <formula>NOT(ISERROR(SEARCH("9ab",A37)))</formula>
    </cfRule>
    <cfRule type="cellIs" dxfId="854" priority="681" stopIfTrue="1" operator="equal">
      <formula>"leave"</formula>
    </cfRule>
    <cfRule type="containsText" dxfId="853" priority="682" operator="containsText" text="ds">
      <formula>NOT(ISERROR(SEARCH("ds",A37)))</formula>
    </cfRule>
    <cfRule type="containsText" dxfId="852" priority="683" operator="containsText" text="subobs">
      <formula>NOT(ISERROR(SEARCH("subobs",A37)))</formula>
    </cfRule>
    <cfRule type="containsText" dxfId="851" priority="684" operator="containsText" text="Call">
      <formula>NOT(ISERROR(SEARCH("Call",A37)))</formula>
    </cfRule>
    <cfRule type="containsText" dxfId="850" priority="687" operator="containsText" text="9ab">
      <formula>NOT(ISERROR(SEARCH("9ab",A37)))</formula>
    </cfRule>
    <cfRule type="cellIs" dxfId="849" priority="688" stopIfTrue="1" operator="equal">
      <formula>"leave"</formula>
    </cfRule>
    <cfRule type="containsText" dxfId="848" priority="689" operator="containsText" text="ds">
      <formula>NOT(ISERROR(SEARCH("ds",A37)))</formula>
    </cfRule>
    <cfRule type="containsText" dxfId="847" priority="690" operator="containsText" text="subobs">
      <formula>NOT(ISERROR(SEARCH("subobs",A37)))</formula>
    </cfRule>
    <cfRule type="containsText" dxfId="846" priority="691" stopIfTrue="1" operator="containsText" text="(Call)">
      <formula>NOT(ISERROR(SEARCH("(Call)",A37)))</formula>
    </cfRule>
  </conditionalFormatting>
  <conditionalFormatting sqref="A37:A42">
    <cfRule type="containsText" dxfId="845" priority="678" operator="containsText" text="b1">
      <formula>NOT(ISERROR(SEARCH("b1",A37)))</formula>
    </cfRule>
    <cfRule type="cellIs" dxfId="844" priority="679" operator="equal">
      <formula>0</formula>
    </cfRule>
    <cfRule type="containsText" dxfId="843" priority="686" stopIfTrue="1" operator="containsText" text="go">
      <formula>NOT(ISERROR(SEARCH("go",A37)))</formula>
    </cfRule>
    <cfRule type="cellIs" dxfId="842" priority="693" operator="equal">
      <formula>"ps_cover"</formula>
    </cfRule>
    <cfRule type="containsText" dxfId="841" priority="694" stopIfTrue="1" operator="containsText" text="9ab">
      <formula>NOT(ISERROR(SEARCH("9ab",A37)))</formula>
    </cfRule>
    <cfRule type="containsText" dxfId="840" priority="695" stopIfTrue="1" operator="containsText" text="ds">
      <formula>NOT(ISERROR(SEARCH("ds",A37)))</formula>
    </cfRule>
    <cfRule type="containsText" dxfId="839" priority="696" stopIfTrue="1" operator="containsText" text="subobs">
      <formula>NOT(ISERROR(SEARCH("subobs",A37)))</formula>
    </cfRule>
  </conditionalFormatting>
  <conditionalFormatting sqref="A37:A42">
    <cfRule type="containsText" dxfId="838" priority="647" operator="containsText" text="(Call)">
      <formula>NOT(ISERROR(SEARCH("(Call)",A37)))</formula>
    </cfRule>
  </conditionalFormatting>
  <conditionalFormatting sqref="A36">
    <cfRule type="containsText" dxfId="837" priority="639" operator="containsText" text="(Call)">
      <formula>NOT(ISERROR(SEARCH("(Call)",A36)))</formula>
    </cfRule>
    <cfRule type="cellIs" dxfId="836" priority="641" operator="equal">
      <formula>0</formula>
    </cfRule>
    <cfRule type="containsText" dxfId="835" priority="644" stopIfTrue="1" operator="containsText" text="9ab">
      <formula>NOT(ISERROR(SEARCH("9ab",A36)))</formula>
    </cfRule>
    <cfRule type="containsText" dxfId="834" priority="645" stopIfTrue="1" operator="containsText" text="ds">
      <formula>NOT(ISERROR(SEARCH("ds",A36)))</formula>
    </cfRule>
    <cfRule type="containsText" dxfId="833" priority="646" stopIfTrue="1" operator="containsText" text="subobs">
      <formula>NOT(ISERROR(SEARCH("subobs",A36)))</formula>
    </cfRule>
  </conditionalFormatting>
  <conditionalFormatting sqref="A36">
    <cfRule type="containsText" dxfId="832" priority="642" stopIfTrue="1" operator="containsText" text="go">
      <formula>NOT(ISERROR(SEARCH("go",A36)))</formula>
    </cfRule>
    <cfRule type="cellIs" dxfId="831" priority="643" operator="equal">
      <formula>"ps_cover"</formula>
    </cfRule>
  </conditionalFormatting>
  <conditionalFormatting sqref="A36">
    <cfRule type="containsText" dxfId="830" priority="640" operator="containsText" text="b1">
      <formula>NOT(ISERROR(SEARCH("b1",A36)))</formula>
    </cfRule>
  </conditionalFormatting>
  <conditionalFormatting sqref="K37:O42">
    <cfRule type="containsText" dxfId="829" priority="632" operator="containsText" text="b1">
      <formula>NOT(ISERROR(SEARCH("b1",K37)))</formula>
    </cfRule>
    <cfRule type="cellIs" dxfId="828" priority="633" operator="equal">
      <formula>0</formula>
    </cfRule>
    <cfRule type="containsText" dxfId="827" priority="634" stopIfTrue="1" operator="containsText" text="go">
      <formula>NOT(ISERROR(SEARCH("go",K37)))</formula>
    </cfRule>
    <cfRule type="cellIs" dxfId="826" priority="635" operator="equal">
      <formula>"ps_cover"</formula>
    </cfRule>
    <cfRule type="containsText" dxfId="825" priority="636" stopIfTrue="1" operator="containsText" text="9ab">
      <formula>NOT(ISERROR(SEARCH("9ab",K37)))</formula>
    </cfRule>
    <cfRule type="containsText" dxfId="824" priority="637" stopIfTrue="1" operator="containsText" text="ds">
      <formula>NOT(ISERROR(SEARCH("ds",K37)))</formula>
    </cfRule>
    <cfRule type="containsText" dxfId="823" priority="638" stopIfTrue="1" operator="containsText" text="subobs">
      <formula>NOT(ISERROR(SEARCH("subobs",K37)))</formula>
    </cfRule>
  </conditionalFormatting>
  <conditionalFormatting sqref="K37:O42">
    <cfRule type="containsText" dxfId="822" priority="624" operator="containsText" text="(Call)">
      <formula>NOT(ISERROR(SEARCH("(Call)",K37)))</formula>
    </cfRule>
  </conditionalFormatting>
  <conditionalFormatting sqref="L37:O42">
    <cfRule type="containsText" dxfId="821" priority="625" operator="containsText" text="b1">
      <formula>NOT(ISERROR(SEARCH("b1",L37)))</formula>
    </cfRule>
    <cfRule type="cellIs" dxfId="820" priority="626" operator="equal">
      <formula>0</formula>
    </cfRule>
    <cfRule type="containsText" dxfId="819" priority="627" stopIfTrue="1" operator="containsText" text="go">
      <formula>NOT(ISERROR(SEARCH("go",L37)))</formula>
    </cfRule>
    <cfRule type="cellIs" dxfId="818" priority="628" operator="equal">
      <formula>"ps_cover"</formula>
    </cfRule>
    <cfRule type="containsText" dxfId="817" priority="629" stopIfTrue="1" operator="containsText" text="9ab">
      <formula>NOT(ISERROR(SEARCH("9ab",L37)))</formula>
    </cfRule>
    <cfRule type="containsText" dxfId="816" priority="630" stopIfTrue="1" operator="containsText" text="ds">
      <formula>NOT(ISERROR(SEARCH("ds",L37)))</formula>
    </cfRule>
    <cfRule type="containsText" dxfId="815" priority="631" stopIfTrue="1" operator="containsText" text="subobs">
      <formula>NOT(ISERROR(SEARCH("subobs",L37)))</formula>
    </cfRule>
  </conditionalFormatting>
  <conditionalFormatting sqref="R37:V42">
    <cfRule type="containsText" dxfId="814" priority="617" operator="containsText" text="b1">
      <formula>NOT(ISERROR(SEARCH("b1",R37)))</formula>
    </cfRule>
    <cfRule type="cellIs" dxfId="813" priority="618" operator="equal">
      <formula>0</formula>
    </cfRule>
    <cfRule type="containsText" dxfId="812" priority="619" stopIfTrue="1" operator="containsText" text="go">
      <formula>NOT(ISERROR(SEARCH("go",R37)))</formula>
    </cfRule>
    <cfRule type="cellIs" dxfId="811" priority="620" operator="equal">
      <formula>"ps_cover"</formula>
    </cfRule>
    <cfRule type="containsText" dxfId="810" priority="621" stopIfTrue="1" operator="containsText" text="9ab">
      <formula>NOT(ISERROR(SEARCH("9ab",R37)))</formula>
    </cfRule>
    <cfRule type="containsText" dxfId="809" priority="622" stopIfTrue="1" operator="containsText" text="ds">
      <formula>NOT(ISERROR(SEARCH("ds",R37)))</formula>
    </cfRule>
    <cfRule type="containsText" dxfId="808" priority="623" stopIfTrue="1" operator="containsText" text="subobs">
      <formula>NOT(ISERROR(SEARCH("subobs",R37)))</formula>
    </cfRule>
  </conditionalFormatting>
  <conditionalFormatting sqref="R37:V42">
    <cfRule type="containsText" dxfId="807" priority="609" operator="containsText" text="(Call)">
      <formula>NOT(ISERROR(SEARCH("(Call)",R37)))</formula>
    </cfRule>
  </conditionalFormatting>
  <conditionalFormatting sqref="S37:V42">
    <cfRule type="containsText" dxfId="806" priority="610" operator="containsText" text="b1">
      <formula>NOT(ISERROR(SEARCH("b1",S37)))</formula>
    </cfRule>
    <cfRule type="cellIs" dxfId="805" priority="611" operator="equal">
      <formula>0</formula>
    </cfRule>
    <cfRule type="containsText" dxfId="804" priority="612" stopIfTrue="1" operator="containsText" text="go">
      <formula>NOT(ISERROR(SEARCH("go",S37)))</formula>
    </cfRule>
    <cfRule type="cellIs" dxfId="803" priority="613" operator="equal">
      <formula>"ps_cover"</formula>
    </cfRule>
    <cfRule type="containsText" dxfId="802" priority="614" stopIfTrue="1" operator="containsText" text="9ab">
      <formula>NOT(ISERROR(SEARCH("9ab",S37)))</formula>
    </cfRule>
    <cfRule type="containsText" dxfId="801" priority="615" stopIfTrue="1" operator="containsText" text="ds">
      <formula>NOT(ISERROR(SEARCH("ds",S37)))</formula>
    </cfRule>
    <cfRule type="containsText" dxfId="800" priority="616" stopIfTrue="1" operator="containsText" text="subobs">
      <formula>NOT(ISERROR(SEARCH("subobs",S37)))</formula>
    </cfRule>
  </conditionalFormatting>
  <conditionalFormatting sqref="Y37:AC42">
    <cfRule type="containsText" dxfId="799" priority="602" operator="containsText" text="b1">
      <formula>NOT(ISERROR(SEARCH("b1",Y37)))</formula>
    </cfRule>
    <cfRule type="cellIs" dxfId="798" priority="603" operator="equal">
      <formula>0</formula>
    </cfRule>
    <cfRule type="containsText" dxfId="797" priority="604" stopIfTrue="1" operator="containsText" text="go">
      <formula>NOT(ISERROR(SEARCH("go",Y37)))</formula>
    </cfRule>
    <cfRule type="cellIs" dxfId="796" priority="605" operator="equal">
      <formula>"ps_cover"</formula>
    </cfRule>
    <cfRule type="containsText" dxfId="795" priority="606" stopIfTrue="1" operator="containsText" text="9ab">
      <formula>NOT(ISERROR(SEARCH("9ab",Y37)))</formula>
    </cfRule>
    <cfRule type="containsText" dxfId="794" priority="607" stopIfTrue="1" operator="containsText" text="ds">
      <formula>NOT(ISERROR(SEARCH("ds",Y37)))</formula>
    </cfRule>
    <cfRule type="containsText" dxfId="793" priority="608" stopIfTrue="1" operator="containsText" text="subobs">
      <formula>NOT(ISERROR(SEARCH("subobs",Y37)))</formula>
    </cfRule>
  </conditionalFormatting>
  <conditionalFormatting sqref="Y37:AC42">
    <cfRule type="containsText" dxfId="792" priority="594" operator="containsText" text="(Call)">
      <formula>NOT(ISERROR(SEARCH("(Call)",Y37)))</formula>
    </cfRule>
  </conditionalFormatting>
  <conditionalFormatting sqref="Z37:AC42">
    <cfRule type="containsText" dxfId="791" priority="595" operator="containsText" text="b1">
      <formula>NOT(ISERROR(SEARCH("b1",Z37)))</formula>
    </cfRule>
    <cfRule type="cellIs" dxfId="790" priority="596" operator="equal">
      <formula>0</formula>
    </cfRule>
    <cfRule type="containsText" dxfId="789" priority="597" stopIfTrue="1" operator="containsText" text="go">
      <formula>NOT(ISERROR(SEARCH("go",Z37)))</formula>
    </cfRule>
    <cfRule type="cellIs" dxfId="788" priority="598" operator="equal">
      <formula>"ps_cover"</formula>
    </cfRule>
    <cfRule type="containsText" dxfId="787" priority="599" stopIfTrue="1" operator="containsText" text="9ab">
      <formula>NOT(ISERROR(SEARCH("9ab",Z37)))</formula>
    </cfRule>
    <cfRule type="containsText" dxfId="786" priority="600" stopIfTrue="1" operator="containsText" text="ds">
      <formula>NOT(ISERROR(SEARCH("ds",Z37)))</formula>
    </cfRule>
    <cfRule type="containsText" dxfId="785" priority="601" stopIfTrue="1" operator="containsText" text="subobs">
      <formula>NOT(ISERROR(SEARCH("subobs",Z37)))</formula>
    </cfRule>
  </conditionalFormatting>
  <conditionalFormatting sqref="AF37:AJ42">
    <cfRule type="containsText" dxfId="784" priority="587" operator="containsText" text="b1">
      <formula>NOT(ISERROR(SEARCH("b1",AF37)))</formula>
    </cfRule>
    <cfRule type="cellIs" dxfId="783" priority="588" operator="equal">
      <formula>0</formula>
    </cfRule>
    <cfRule type="containsText" dxfId="782" priority="589" stopIfTrue="1" operator="containsText" text="go">
      <formula>NOT(ISERROR(SEARCH("go",AF37)))</formula>
    </cfRule>
    <cfRule type="cellIs" dxfId="781" priority="590" operator="equal">
      <formula>"ps_cover"</formula>
    </cfRule>
    <cfRule type="containsText" dxfId="780" priority="591" stopIfTrue="1" operator="containsText" text="9ab">
      <formula>NOT(ISERROR(SEARCH("9ab",AF37)))</formula>
    </cfRule>
    <cfRule type="containsText" dxfId="779" priority="592" stopIfTrue="1" operator="containsText" text="ds">
      <formula>NOT(ISERROR(SEARCH("ds",AF37)))</formula>
    </cfRule>
    <cfRule type="containsText" dxfId="778" priority="593" stopIfTrue="1" operator="containsText" text="subobs">
      <formula>NOT(ISERROR(SEARCH("subobs",AF37)))</formula>
    </cfRule>
  </conditionalFormatting>
  <conditionalFormatting sqref="AF37:AJ42">
    <cfRule type="containsText" dxfId="777" priority="579" operator="containsText" text="(Call)">
      <formula>NOT(ISERROR(SEARCH("(Call)",AF37)))</formula>
    </cfRule>
  </conditionalFormatting>
  <conditionalFormatting sqref="AG37:AJ42">
    <cfRule type="containsText" dxfId="776" priority="580" operator="containsText" text="b1">
      <formula>NOT(ISERROR(SEARCH("b1",AG37)))</formula>
    </cfRule>
    <cfRule type="cellIs" dxfId="775" priority="581" operator="equal">
      <formula>0</formula>
    </cfRule>
    <cfRule type="containsText" dxfId="774" priority="582" stopIfTrue="1" operator="containsText" text="go">
      <formula>NOT(ISERROR(SEARCH("go",AG37)))</formula>
    </cfRule>
    <cfRule type="cellIs" dxfId="773" priority="583" operator="equal">
      <formula>"ps_cover"</formula>
    </cfRule>
    <cfRule type="containsText" dxfId="772" priority="584" stopIfTrue="1" operator="containsText" text="9ab">
      <formula>NOT(ISERROR(SEARCH("9ab",AG37)))</formula>
    </cfRule>
    <cfRule type="containsText" dxfId="771" priority="585" stopIfTrue="1" operator="containsText" text="ds">
      <formula>NOT(ISERROR(SEARCH("ds",AG37)))</formula>
    </cfRule>
    <cfRule type="containsText" dxfId="770" priority="586" stopIfTrue="1" operator="containsText" text="subobs">
      <formula>NOT(ISERROR(SEARCH("subobs",AG37)))</formula>
    </cfRule>
  </conditionalFormatting>
  <conditionalFormatting sqref="AM37:AQ42">
    <cfRule type="containsText" dxfId="769" priority="572" operator="containsText" text="b1">
      <formula>NOT(ISERROR(SEARCH("b1",AM37)))</formula>
    </cfRule>
    <cfRule type="cellIs" dxfId="768" priority="573" operator="equal">
      <formula>0</formula>
    </cfRule>
    <cfRule type="containsText" dxfId="767" priority="574" stopIfTrue="1" operator="containsText" text="go">
      <formula>NOT(ISERROR(SEARCH("go",AM37)))</formula>
    </cfRule>
    <cfRule type="cellIs" dxfId="766" priority="575" operator="equal">
      <formula>"ps_cover"</formula>
    </cfRule>
    <cfRule type="containsText" dxfId="765" priority="576" stopIfTrue="1" operator="containsText" text="9ab">
      <formula>NOT(ISERROR(SEARCH("9ab",AM37)))</formula>
    </cfRule>
    <cfRule type="containsText" dxfId="764" priority="577" stopIfTrue="1" operator="containsText" text="ds">
      <formula>NOT(ISERROR(SEARCH("ds",AM37)))</formula>
    </cfRule>
    <cfRule type="containsText" dxfId="763" priority="578" stopIfTrue="1" operator="containsText" text="subobs">
      <formula>NOT(ISERROR(SEARCH("subobs",AM37)))</formula>
    </cfRule>
  </conditionalFormatting>
  <conditionalFormatting sqref="AM37:AQ42">
    <cfRule type="containsText" dxfId="762" priority="564" operator="containsText" text="(Call)">
      <formula>NOT(ISERROR(SEARCH("(Call)",AM37)))</formula>
    </cfRule>
  </conditionalFormatting>
  <conditionalFormatting sqref="AN37:AQ42">
    <cfRule type="containsText" dxfId="761" priority="565" operator="containsText" text="b1">
      <formula>NOT(ISERROR(SEARCH("b1",AN37)))</formula>
    </cfRule>
    <cfRule type="cellIs" dxfId="760" priority="566" operator="equal">
      <formula>0</formula>
    </cfRule>
    <cfRule type="containsText" dxfId="759" priority="567" stopIfTrue="1" operator="containsText" text="go">
      <formula>NOT(ISERROR(SEARCH("go",AN37)))</formula>
    </cfRule>
    <cfRule type="cellIs" dxfId="758" priority="568" operator="equal">
      <formula>"ps_cover"</formula>
    </cfRule>
    <cfRule type="containsText" dxfId="757" priority="569" stopIfTrue="1" operator="containsText" text="9ab">
      <formula>NOT(ISERROR(SEARCH("9ab",AN37)))</formula>
    </cfRule>
    <cfRule type="containsText" dxfId="756" priority="570" stopIfTrue="1" operator="containsText" text="ds">
      <formula>NOT(ISERROR(SEARCH("ds",AN37)))</formula>
    </cfRule>
    <cfRule type="containsText" dxfId="755" priority="571" stopIfTrue="1" operator="containsText" text="subobs">
      <formula>NOT(ISERROR(SEARCH("subobs",AN37)))</formula>
    </cfRule>
  </conditionalFormatting>
  <conditionalFormatting sqref="AT37:AX42">
    <cfRule type="containsText" dxfId="754" priority="557" operator="containsText" text="b1">
      <formula>NOT(ISERROR(SEARCH("b1",AT37)))</formula>
    </cfRule>
    <cfRule type="cellIs" dxfId="753" priority="558" operator="equal">
      <formula>0</formula>
    </cfRule>
    <cfRule type="containsText" dxfId="752" priority="559" stopIfTrue="1" operator="containsText" text="go">
      <formula>NOT(ISERROR(SEARCH("go",AT37)))</formula>
    </cfRule>
    <cfRule type="cellIs" dxfId="751" priority="560" operator="equal">
      <formula>"ps_cover"</formula>
    </cfRule>
    <cfRule type="containsText" dxfId="750" priority="561" stopIfTrue="1" operator="containsText" text="9ab">
      <formula>NOT(ISERROR(SEARCH("9ab",AT37)))</formula>
    </cfRule>
    <cfRule type="containsText" dxfId="749" priority="562" stopIfTrue="1" operator="containsText" text="ds">
      <formula>NOT(ISERROR(SEARCH("ds",AT37)))</formula>
    </cfRule>
    <cfRule type="containsText" dxfId="748" priority="563" stopIfTrue="1" operator="containsText" text="subobs">
      <formula>NOT(ISERROR(SEARCH("subobs",AT37)))</formula>
    </cfRule>
  </conditionalFormatting>
  <conditionalFormatting sqref="AT37:AX42">
    <cfRule type="containsText" dxfId="747" priority="549" operator="containsText" text="(Call)">
      <formula>NOT(ISERROR(SEARCH("(Call)",AT37)))</formula>
    </cfRule>
  </conditionalFormatting>
  <conditionalFormatting sqref="AU37:AX42">
    <cfRule type="containsText" dxfId="746" priority="550" operator="containsText" text="b1">
      <formula>NOT(ISERROR(SEARCH("b1",AU37)))</formula>
    </cfRule>
    <cfRule type="cellIs" dxfId="745" priority="551" operator="equal">
      <formula>0</formula>
    </cfRule>
    <cfRule type="containsText" dxfId="744" priority="552" stopIfTrue="1" operator="containsText" text="go">
      <formula>NOT(ISERROR(SEARCH("go",AU37)))</formula>
    </cfRule>
    <cfRule type="cellIs" dxfId="743" priority="553" operator="equal">
      <formula>"ps_cover"</formula>
    </cfRule>
    <cfRule type="containsText" dxfId="742" priority="554" stopIfTrue="1" operator="containsText" text="9ab">
      <formula>NOT(ISERROR(SEARCH("9ab",AU37)))</formula>
    </cfRule>
    <cfRule type="containsText" dxfId="741" priority="555" stopIfTrue="1" operator="containsText" text="ds">
      <formula>NOT(ISERROR(SEARCH("ds",AU37)))</formula>
    </cfRule>
    <cfRule type="containsText" dxfId="740" priority="556" stopIfTrue="1" operator="containsText" text="subobs">
      <formula>NOT(ISERROR(SEARCH("subobs",AU37)))</formula>
    </cfRule>
  </conditionalFormatting>
  <conditionalFormatting sqref="BA37:BE42">
    <cfRule type="containsText" dxfId="739" priority="542" operator="containsText" text="b1">
      <formula>NOT(ISERROR(SEARCH("b1",BA37)))</formula>
    </cfRule>
    <cfRule type="cellIs" dxfId="738" priority="543" operator="equal">
      <formula>0</formula>
    </cfRule>
    <cfRule type="containsText" dxfId="737" priority="544" stopIfTrue="1" operator="containsText" text="go">
      <formula>NOT(ISERROR(SEARCH("go",BA37)))</formula>
    </cfRule>
    <cfRule type="cellIs" dxfId="736" priority="545" operator="equal">
      <formula>"ps_cover"</formula>
    </cfRule>
    <cfRule type="containsText" dxfId="735" priority="546" stopIfTrue="1" operator="containsText" text="9ab">
      <formula>NOT(ISERROR(SEARCH("9ab",BA37)))</formula>
    </cfRule>
    <cfRule type="containsText" dxfId="734" priority="547" stopIfTrue="1" operator="containsText" text="ds">
      <formula>NOT(ISERROR(SEARCH("ds",BA37)))</formula>
    </cfRule>
    <cfRule type="containsText" dxfId="733" priority="548" stopIfTrue="1" operator="containsText" text="subobs">
      <formula>NOT(ISERROR(SEARCH("subobs",BA37)))</formula>
    </cfRule>
  </conditionalFormatting>
  <conditionalFormatting sqref="BA37:BE42">
    <cfRule type="containsText" dxfId="732" priority="534" operator="containsText" text="(Call)">
      <formula>NOT(ISERROR(SEARCH("(Call)",BA37)))</formula>
    </cfRule>
  </conditionalFormatting>
  <conditionalFormatting sqref="BB37:BE42">
    <cfRule type="containsText" dxfId="731" priority="535" operator="containsText" text="b1">
      <formula>NOT(ISERROR(SEARCH("b1",BB37)))</formula>
    </cfRule>
    <cfRule type="cellIs" dxfId="730" priority="536" operator="equal">
      <formula>0</formula>
    </cfRule>
    <cfRule type="containsText" dxfId="729" priority="537" stopIfTrue="1" operator="containsText" text="go">
      <formula>NOT(ISERROR(SEARCH("go",BB37)))</formula>
    </cfRule>
    <cfRule type="cellIs" dxfId="728" priority="538" operator="equal">
      <formula>"ps_cover"</formula>
    </cfRule>
    <cfRule type="containsText" dxfId="727" priority="539" stopIfTrue="1" operator="containsText" text="9ab">
      <formula>NOT(ISERROR(SEARCH("9ab",BB37)))</formula>
    </cfRule>
    <cfRule type="containsText" dxfId="726" priority="540" stopIfTrue="1" operator="containsText" text="ds">
      <formula>NOT(ISERROR(SEARCH("ds",BB37)))</formula>
    </cfRule>
    <cfRule type="containsText" dxfId="725" priority="541" stopIfTrue="1" operator="containsText" text="subobs">
      <formula>NOT(ISERROR(SEARCH("subobs",BB37)))</formula>
    </cfRule>
  </conditionalFormatting>
  <conditionalFormatting sqref="BH37:BH42">
    <cfRule type="containsText" dxfId="724" priority="526" operator="containsText" text="(Call)">
      <formula>NOT(ISERROR(SEARCH("(Call)",BH37)))</formula>
    </cfRule>
  </conditionalFormatting>
  <conditionalFormatting sqref="BH37:BH42">
    <cfRule type="containsText" dxfId="723" priority="527" operator="containsText" text="b1">
      <formula>NOT(ISERROR(SEARCH("b1",BH37)))</formula>
    </cfRule>
    <cfRule type="cellIs" dxfId="722" priority="528" operator="equal">
      <formula>0</formula>
    </cfRule>
    <cfRule type="containsText" dxfId="721" priority="529" stopIfTrue="1" operator="containsText" text="go">
      <formula>NOT(ISERROR(SEARCH("go",BH37)))</formula>
    </cfRule>
    <cfRule type="cellIs" dxfId="720" priority="530" operator="equal">
      <formula>"ps_cover"</formula>
    </cfRule>
    <cfRule type="containsText" dxfId="719" priority="531" stopIfTrue="1" operator="containsText" text="9ab">
      <formula>NOT(ISERROR(SEARCH("9ab",BH37)))</formula>
    </cfRule>
    <cfRule type="containsText" dxfId="718" priority="532" stopIfTrue="1" operator="containsText" text="ds">
      <formula>NOT(ISERROR(SEARCH("ds",BH37)))</formula>
    </cfRule>
    <cfRule type="containsText" dxfId="717" priority="533" stopIfTrue="1" operator="containsText" text="subobs">
      <formula>NOT(ISERROR(SEARCH("subobs",BH37)))</formula>
    </cfRule>
  </conditionalFormatting>
  <conditionalFormatting sqref="BH37:BH42">
    <cfRule type="containsText" dxfId="716" priority="519" operator="containsText" text="b1">
      <formula>NOT(ISERROR(SEARCH("b1",BH37)))</formula>
    </cfRule>
    <cfRule type="cellIs" dxfId="715" priority="520" operator="equal">
      <formula>0</formula>
    </cfRule>
    <cfRule type="containsText" dxfId="714" priority="521" stopIfTrue="1" operator="containsText" text="go">
      <formula>NOT(ISERROR(SEARCH("go",BH37)))</formula>
    </cfRule>
    <cfRule type="cellIs" dxfId="713" priority="522" operator="equal">
      <formula>"ps_cover"</formula>
    </cfRule>
    <cfRule type="containsText" dxfId="712" priority="523" stopIfTrue="1" operator="containsText" text="9ab">
      <formula>NOT(ISERROR(SEARCH("9ab",BH37)))</formula>
    </cfRule>
    <cfRule type="containsText" dxfId="711" priority="524" stopIfTrue="1" operator="containsText" text="ds">
      <formula>NOT(ISERROR(SEARCH("ds",BH37)))</formula>
    </cfRule>
    <cfRule type="containsText" dxfId="710" priority="525" stopIfTrue="1" operator="containsText" text="subobs">
      <formula>NOT(ISERROR(SEARCH("subobs",BH37)))</formula>
    </cfRule>
  </conditionalFormatting>
  <conditionalFormatting sqref="BH37:BH42">
    <cfRule type="containsText" dxfId="709" priority="511" operator="containsText" text="(Call)">
      <formula>NOT(ISERROR(SEARCH("(Call)",BH37)))</formula>
    </cfRule>
  </conditionalFormatting>
  <conditionalFormatting sqref="BH37:BH42">
    <cfRule type="containsText" dxfId="708" priority="512" operator="containsText" text="b1">
      <formula>NOT(ISERROR(SEARCH("b1",BH37)))</formula>
    </cfRule>
    <cfRule type="cellIs" dxfId="707" priority="513" operator="equal">
      <formula>0</formula>
    </cfRule>
    <cfRule type="containsText" dxfId="706" priority="514" stopIfTrue="1" operator="containsText" text="go">
      <formula>NOT(ISERROR(SEARCH("go",BH37)))</formula>
    </cfRule>
    <cfRule type="cellIs" dxfId="705" priority="515" operator="equal">
      <formula>"ps_cover"</formula>
    </cfRule>
    <cfRule type="containsText" dxfId="704" priority="516" stopIfTrue="1" operator="containsText" text="9ab">
      <formula>NOT(ISERROR(SEARCH("9ab",BH37)))</formula>
    </cfRule>
    <cfRule type="containsText" dxfId="703" priority="517" stopIfTrue="1" operator="containsText" text="ds">
      <formula>NOT(ISERROR(SEARCH("ds",BH37)))</formula>
    </cfRule>
    <cfRule type="containsText" dxfId="702" priority="518" stopIfTrue="1" operator="containsText" text="subobs">
      <formula>NOT(ISERROR(SEARCH("subobs",BH37)))</formula>
    </cfRule>
  </conditionalFormatting>
  <conditionalFormatting sqref="BH19:BH26">
    <cfRule type="cellIs" dxfId="701" priority="510" operator="equal">
      <formula>0</formula>
    </cfRule>
  </conditionalFormatting>
  <conditionalFormatting sqref="BH19:BH25">
    <cfRule type="cellIs" dxfId="700" priority="509" operator="equal">
      <formula>0</formula>
    </cfRule>
  </conditionalFormatting>
  <conditionalFormatting sqref="C25">
    <cfRule type="containsText" dxfId="699" priority="478" operator="containsText" text="9ab">
      <formula>NOT(ISERROR(SEARCH("9ab",C25)))</formula>
    </cfRule>
    <cfRule type="cellIs" dxfId="698" priority="479" stopIfTrue="1" operator="equal">
      <formula>"leave"</formula>
    </cfRule>
    <cfRule type="containsText" dxfId="697" priority="480" operator="containsText" text="ds">
      <formula>NOT(ISERROR(SEARCH("ds",C25)))</formula>
    </cfRule>
    <cfRule type="containsText" dxfId="696" priority="481" operator="containsText" text="subobs">
      <formula>NOT(ISERROR(SEARCH("subobs",C25)))</formula>
    </cfRule>
    <cfRule type="containsText" dxfId="695" priority="482" operator="containsText" text="Call">
      <formula>NOT(ISERROR(SEARCH("Call",C25)))</formula>
    </cfRule>
    <cfRule type="containsText" dxfId="694" priority="484" operator="containsText" text="9ab">
      <formula>NOT(ISERROR(SEARCH("9ab",C25)))</formula>
    </cfRule>
    <cfRule type="cellIs" dxfId="693" priority="485" stopIfTrue="1" operator="equal">
      <formula>"leave"</formula>
    </cfRule>
    <cfRule type="containsText" dxfId="692" priority="486" operator="containsText" text="ds">
      <formula>NOT(ISERROR(SEARCH("ds",C25)))</formula>
    </cfRule>
    <cfRule type="containsText" dxfId="691" priority="487" operator="containsText" text="subobs">
      <formula>NOT(ISERROR(SEARCH("subobs",C25)))</formula>
    </cfRule>
    <cfRule type="containsText" dxfId="690" priority="488" stopIfTrue="1" operator="containsText" text="(Call)">
      <formula>NOT(ISERROR(SEARCH("(Call)",C25)))</formula>
    </cfRule>
    <cfRule type="containsText" dxfId="689" priority="490" operator="containsText" text="9ab">
      <formula>NOT(ISERROR(SEARCH("9ab",C25)))</formula>
    </cfRule>
    <cfRule type="cellIs" dxfId="688" priority="491" stopIfTrue="1" operator="equal">
      <formula>"leave"</formula>
    </cfRule>
    <cfRule type="containsText" dxfId="687" priority="492" operator="containsText" text="ds">
      <formula>NOT(ISERROR(SEARCH("ds",C25)))</formula>
    </cfRule>
    <cfRule type="containsText" dxfId="686" priority="493" operator="containsText" text="subobs">
      <formula>NOT(ISERROR(SEARCH("subobs",C25)))</formula>
    </cfRule>
    <cfRule type="containsText" dxfId="685" priority="494" operator="containsText" text="Call">
      <formula>NOT(ISERROR(SEARCH("Call",C25)))</formula>
    </cfRule>
    <cfRule type="cellIs" dxfId="684" priority="496" operator="equal">
      <formula>0</formula>
    </cfRule>
    <cfRule type="containsText" dxfId="683" priority="497" operator="containsText" text="9ab">
      <formula>NOT(ISERROR(SEARCH("9ab",C25)))</formula>
    </cfRule>
    <cfRule type="cellIs" dxfId="682" priority="498" stopIfTrue="1" operator="equal">
      <formula>"leave"</formula>
    </cfRule>
    <cfRule type="containsText" dxfId="681" priority="499" operator="containsText" text="ds">
      <formula>NOT(ISERROR(SEARCH("ds",C25)))</formula>
    </cfRule>
    <cfRule type="containsText" dxfId="680" priority="500" operator="containsText" text="subobs">
      <formula>NOT(ISERROR(SEARCH("subobs",C25)))</formula>
    </cfRule>
    <cfRule type="containsText" dxfId="679" priority="501" operator="containsText" text="Call">
      <formula>NOT(ISERROR(SEARCH("Call",C25)))</formula>
    </cfRule>
  </conditionalFormatting>
  <conditionalFormatting sqref="C25">
    <cfRule type="containsText" dxfId="678" priority="503" operator="containsText" text="9ab">
      <formula>NOT(ISERROR(SEARCH("9ab",C25)))</formula>
    </cfRule>
    <cfRule type="cellIs" dxfId="677" priority="504" stopIfTrue="1" operator="equal">
      <formula>"leave"</formula>
    </cfRule>
    <cfRule type="containsText" dxfId="676" priority="505" operator="containsText" text="ds">
      <formula>NOT(ISERROR(SEARCH("ds",C25)))</formula>
    </cfRule>
    <cfRule type="containsText" dxfId="675" priority="506" operator="containsText" text="subobs">
      <formula>NOT(ISERROR(SEARCH("subobs",C25)))</formula>
    </cfRule>
    <cfRule type="containsText" dxfId="674" priority="507" operator="containsText" text="Call">
      <formula>NOT(ISERROR(SEARCH("Call",C25)))</formula>
    </cfRule>
  </conditionalFormatting>
  <conditionalFormatting sqref="J25">
    <cfRule type="containsText" dxfId="673" priority="447" operator="containsText" text="9ab">
      <formula>NOT(ISERROR(SEARCH("9ab",J25)))</formula>
    </cfRule>
    <cfRule type="cellIs" dxfId="672" priority="448" stopIfTrue="1" operator="equal">
      <formula>"leave"</formula>
    </cfRule>
    <cfRule type="containsText" dxfId="671" priority="449" operator="containsText" text="ds">
      <formula>NOT(ISERROR(SEARCH("ds",J25)))</formula>
    </cfRule>
    <cfRule type="containsText" dxfId="670" priority="450" operator="containsText" text="subobs">
      <formula>NOT(ISERROR(SEARCH("subobs",J25)))</formula>
    </cfRule>
    <cfRule type="containsText" dxfId="669" priority="451" operator="containsText" text="Call">
      <formula>NOT(ISERROR(SEARCH("Call",J25)))</formula>
    </cfRule>
    <cfRule type="containsText" dxfId="668" priority="453" operator="containsText" text="9ab">
      <formula>NOT(ISERROR(SEARCH("9ab",J25)))</formula>
    </cfRule>
    <cfRule type="cellIs" dxfId="667" priority="454" stopIfTrue="1" operator="equal">
      <formula>"leave"</formula>
    </cfRule>
    <cfRule type="containsText" dxfId="666" priority="455" operator="containsText" text="ds">
      <formula>NOT(ISERROR(SEARCH("ds",J25)))</formula>
    </cfRule>
    <cfRule type="containsText" dxfId="665" priority="456" operator="containsText" text="subobs">
      <formula>NOT(ISERROR(SEARCH("subobs",J25)))</formula>
    </cfRule>
    <cfRule type="containsText" dxfId="664" priority="457" stopIfTrue="1" operator="containsText" text="(Call)">
      <formula>NOT(ISERROR(SEARCH("(Call)",J25)))</formula>
    </cfRule>
    <cfRule type="containsText" dxfId="663" priority="459" operator="containsText" text="9ab">
      <formula>NOT(ISERROR(SEARCH("9ab",J25)))</formula>
    </cfRule>
    <cfRule type="cellIs" dxfId="662" priority="460" stopIfTrue="1" operator="equal">
      <formula>"leave"</formula>
    </cfRule>
    <cfRule type="containsText" dxfId="661" priority="461" operator="containsText" text="ds">
      <formula>NOT(ISERROR(SEARCH("ds",J25)))</formula>
    </cfRule>
    <cfRule type="containsText" dxfId="660" priority="462" operator="containsText" text="subobs">
      <formula>NOT(ISERROR(SEARCH("subobs",J25)))</formula>
    </cfRule>
    <cfRule type="containsText" dxfId="659" priority="463" operator="containsText" text="Call">
      <formula>NOT(ISERROR(SEARCH("Call",J25)))</formula>
    </cfRule>
    <cfRule type="cellIs" dxfId="658" priority="465" operator="equal">
      <formula>0</formula>
    </cfRule>
    <cfRule type="containsText" dxfId="657" priority="466" operator="containsText" text="9ab">
      <formula>NOT(ISERROR(SEARCH("9ab",J25)))</formula>
    </cfRule>
    <cfRule type="cellIs" dxfId="656" priority="467" stopIfTrue="1" operator="equal">
      <formula>"leave"</formula>
    </cfRule>
    <cfRule type="containsText" dxfId="655" priority="468" operator="containsText" text="ds">
      <formula>NOT(ISERROR(SEARCH("ds",J25)))</formula>
    </cfRule>
    <cfRule type="containsText" dxfId="654" priority="469" operator="containsText" text="subobs">
      <formula>NOT(ISERROR(SEARCH("subobs",J25)))</formula>
    </cfRule>
    <cfRule type="containsText" dxfId="653" priority="470" operator="containsText" text="Call">
      <formula>NOT(ISERROR(SEARCH("Call",J25)))</formula>
    </cfRule>
  </conditionalFormatting>
  <conditionalFormatting sqref="J25">
    <cfRule type="containsText" dxfId="652" priority="472" operator="containsText" text="9ab">
      <formula>NOT(ISERROR(SEARCH("9ab",J25)))</formula>
    </cfRule>
    <cfRule type="cellIs" dxfId="651" priority="473" stopIfTrue="1" operator="equal">
      <formula>"leave"</formula>
    </cfRule>
    <cfRule type="containsText" dxfId="650" priority="474" operator="containsText" text="ds">
      <formula>NOT(ISERROR(SEARCH("ds",J25)))</formula>
    </cfRule>
    <cfRule type="containsText" dxfId="649" priority="475" operator="containsText" text="subobs">
      <formula>NOT(ISERROR(SEARCH("subobs",J25)))</formula>
    </cfRule>
    <cfRule type="containsText" dxfId="648" priority="476" operator="containsText" text="Call">
      <formula>NOT(ISERROR(SEARCH("Call",J25)))</formula>
    </cfRule>
  </conditionalFormatting>
  <conditionalFormatting sqref="Q25">
    <cfRule type="containsText" dxfId="647" priority="416" operator="containsText" text="9ab">
      <formula>NOT(ISERROR(SEARCH("9ab",Q25)))</formula>
    </cfRule>
    <cfRule type="cellIs" dxfId="646" priority="417" stopIfTrue="1" operator="equal">
      <formula>"leave"</formula>
    </cfRule>
    <cfRule type="containsText" dxfId="645" priority="418" operator="containsText" text="ds">
      <formula>NOT(ISERROR(SEARCH("ds",Q25)))</formula>
    </cfRule>
    <cfRule type="containsText" dxfId="644" priority="419" operator="containsText" text="subobs">
      <formula>NOT(ISERROR(SEARCH("subobs",Q25)))</formula>
    </cfRule>
    <cfRule type="containsText" dxfId="643" priority="420" operator="containsText" text="Call">
      <formula>NOT(ISERROR(SEARCH("Call",Q25)))</formula>
    </cfRule>
    <cfRule type="containsText" dxfId="642" priority="422" operator="containsText" text="9ab">
      <formula>NOT(ISERROR(SEARCH("9ab",Q25)))</formula>
    </cfRule>
    <cfRule type="cellIs" dxfId="641" priority="423" stopIfTrue="1" operator="equal">
      <formula>"leave"</formula>
    </cfRule>
    <cfRule type="containsText" dxfId="640" priority="424" operator="containsText" text="ds">
      <formula>NOT(ISERROR(SEARCH("ds",Q25)))</formula>
    </cfRule>
    <cfRule type="containsText" dxfId="639" priority="425" operator="containsText" text="subobs">
      <formula>NOT(ISERROR(SEARCH("subobs",Q25)))</formula>
    </cfRule>
    <cfRule type="containsText" dxfId="638" priority="426" stopIfTrue="1" operator="containsText" text="(Call)">
      <formula>NOT(ISERROR(SEARCH("(Call)",Q25)))</formula>
    </cfRule>
    <cfRule type="containsText" dxfId="637" priority="428" operator="containsText" text="9ab">
      <formula>NOT(ISERROR(SEARCH("9ab",Q25)))</formula>
    </cfRule>
    <cfRule type="cellIs" dxfId="636" priority="429" stopIfTrue="1" operator="equal">
      <formula>"leave"</formula>
    </cfRule>
    <cfRule type="containsText" dxfId="635" priority="430" operator="containsText" text="ds">
      <formula>NOT(ISERROR(SEARCH("ds",Q25)))</formula>
    </cfRule>
    <cfRule type="containsText" dxfId="634" priority="431" operator="containsText" text="subobs">
      <formula>NOT(ISERROR(SEARCH("subobs",Q25)))</formula>
    </cfRule>
    <cfRule type="containsText" dxfId="633" priority="432" operator="containsText" text="Call">
      <formula>NOT(ISERROR(SEARCH("Call",Q25)))</formula>
    </cfRule>
    <cfRule type="cellIs" dxfId="632" priority="434" operator="equal">
      <formula>0</formula>
    </cfRule>
    <cfRule type="containsText" dxfId="631" priority="435" operator="containsText" text="9ab">
      <formula>NOT(ISERROR(SEARCH("9ab",Q25)))</formula>
    </cfRule>
    <cfRule type="cellIs" dxfId="630" priority="436" stopIfTrue="1" operator="equal">
      <formula>"leave"</formula>
    </cfRule>
    <cfRule type="containsText" dxfId="629" priority="437" operator="containsText" text="ds">
      <formula>NOT(ISERROR(SEARCH("ds",Q25)))</formula>
    </cfRule>
    <cfRule type="containsText" dxfId="628" priority="438" operator="containsText" text="subobs">
      <formula>NOT(ISERROR(SEARCH("subobs",Q25)))</formula>
    </cfRule>
    <cfRule type="containsText" dxfId="627" priority="439" operator="containsText" text="Call">
      <formula>NOT(ISERROR(SEARCH("Call",Q25)))</formula>
    </cfRule>
  </conditionalFormatting>
  <conditionalFormatting sqref="Q25">
    <cfRule type="containsText" dxfId="626" priority="441" operator="containsText" text="9ab">
      <formula>NOT(ISERROR(SEARCH("9ab",Q25)))</formula>
    </cfRule>
    <cfRule type="cellIs" dxfId="625" priority="442" stopIfTrue="1" operator="equal">
      <formula>"leave"</formula>
    </cfRule>
    <cfRule type="containsText" dxfId="624" priority="443" operator="containsText" text="ds">
      <formula>NOT(ISERROR(SEARCH("ds",Q25)))</formula>
    </cfRule>
    <cfRule type="containsText" dxfId="623" priority="444" operator="containsText" text="subobs">
      <formula>NOT(ISERROR(SEARCH("subobs",Q25)))</formula>
    </cfRule>
    <cfRule type="containsText" dxfId="622" priority="445" operator="containsText" text="Call">
      <formula>NOT(ISERROR(SEARCH("Call",Q25)))</formula>
    </cfRule>
  </conditionalFormatting>
  <conditionalFormatting sqref="X25">
    <cfRule type="containsText" dxfId="621" priority="385" operator="containsText" text="9ab">
      <formula>NOT(ISERROR(SEARCH("9ab",X25)))</formula>
    </cfRule>
    <cfRule type="cellIs" dxfId="620" priority="386" stopIfTrue="1" operator="equal">
      <formula>"leave"</formula>
    </cfRule>
    <cfRule type="containsText" dxfId="619" priority="387" operator="containsText" text="ds">
      <formula>NOT(ISERROR(SEARCH("ds",X25)))</formula>
    </cfRule>
    <cfRule type="containsText" dxfId="618" priority="388" operator="containsText" text="subobs">
      <formula>NOT(ISERROR(SEARCH("subobs",X25)))</formula>
    </cfRule>
    <cfRule type="containsText" dxfId="617" priority="389" operator="containsText" text="Call">
      <formula>NOT(ISERROR(SEARCH("Call",X25)))</formula>
    </cfRule>
    <cfRule type="containsText" dxfId="616" priority="391" operator="containsText" text="9ab">
      <formula>NOT(ISERROR(SEARCH("9ab",X25)))</formula>
    </cfRule>
    <cfRule type="cellIs" dxfId="615" priority="392" stopIfTrue="1" operator="equal">
      <formula>"leave"</formula>
    </cfRule>
    <cfRule type="containsText" dxfId="614" priority="393" operator="containsText" text="ds">
      <formula>NOT(ISERROR(SEARCH("ds",X25)))</formula>
    </cfRule>
    <cfRule type="containsText" dxfId="613" priority="394" operator="containsText" text="subobs">
      <formula>NOT(ISERROR(SEARCH("subobs",X25)))</formula>
    </cfRule>
    <cfRule type="containsText" dxfId="612" priority="395" stopIfTrue="1" operator="containsText" text="(Call)">
      <formula>NOT(ISERROR(SEARCH("(Call)",X25)))</formula>
    </cfRule>
    <cfRule type="containsText" dxfId="611" priority="397" operator="containsText" text="9ab">
      <formula>NOT(ISERROR(SEARCH("9ab",X25)))</formula>
    </cfRule>
    <cfRule type="cellIs" dxfId="610" priority="398" stopIfTrue="1" operator="equal">
      <formula>"leave"</formula>
    </cfRule>
    <cfRule type="containsText" dxfId="609" priority="399" operator="containsText" text="ds">
      <formula>NOT(ISERROR(SEARCH("ds",X25)))</formula>
    </cfRule>
    <cfRule type="containsText" dxfId="608" priority="400" operator="containsText" text="subobs">
      <formula>NOT(ISERROR(SEARCH("subobs",X25)))</formula>
    </cfRule>
    <cfRule type="containsText" dxfId="607" priority="401" operator="containsText" text="Call">
      <formula>NOT(ISERROR(SEARCH("Call",X25)))</formula>
    </cfRule>
    <cfRule type="cellIs" dxfId="606" priority="403" operator="equal">
      <formula>0</formula>
    </cfRule>
    <cfRule type="containsText" dxfId="605" priority="404" operator="containsText" text="9ab">
      <formula>NOT(ISERROR(SEARCH("9ab",X25)))</formula>
    </cfRule>
    <cfRule type="cellIs" dxfId="604" priority="405" stopIfTrue="1" operator="equal">
      <formula>"leave"</formula>
    </cfRule>
    <cfRule type="containsText" dxfId="603" priority="406" operator="containsText" text="ds">
      <formula>NOT(ISERROR(SEARCH("ds",X25)))</formula>
    </cfRule>
    <cfRule type="containsText" dxfId="602" priority="407" operator="containsText" text="subobs">
      <formula>NOT(ISERROR(SEARCH("subobs",X25)))</formula>
    </cfRule>
    <cfRule type="containsText" dxfId="601" priority="408" operator="containsText" text="Call">
      <formula>NOT(ISERROR(SEARCH("Call",X25)))</formula>
    </cfRule>
  </conditionalFormatting>
  <conditionalFormatting sqref="X25">
    <cfRule type="containsText" dxfId="600" priority="410" operator="containsText" text="9ab">
      <formula>NOT(ISERROR(SEARCH("9ab",X25)))</formula>
    </cfRule>
    <cfRule type="cellIs" dxfId="599" priority="411" stopIfTrue="1" operator="equal">
      <formula>"leave"</formula>
    </cfRule>
    <cfRule type="containsText" dxfId="598" priority="412" operator="containsText" text="ds">
      <formula>NOT(ISERROR(SEARCH("ds",X25)))</formula>
    </cfRule>
    <cfRule type="containsText" dxfId="597" priority="413" operator="containsText" text="subobs">
      <formula>NOT(ISERROR(SEARCH("subobs",X25)))</formula>
    </cfRule>
    <cfRule type="containsText" dxfId="596" priority="414" operator="containsText" text="Call">
      <formula>NOT(ISERROR(SEARCH("Call",X25)))</formula>
    </cfRule>
  </conditionalFormatting>
  <conditionalFormatting sqref="AE25">
    <cfRule type="containsText" dxfId="595" priority="354" operator="containsText" text="9ab">
      <formula>NOT(ISERROR(SEARCH("9ab",AE25)))</formula>
    </cfRule>
    <cfRule type="cellIs" dxfId="594" priority="355" stopIfTrue="1" operator="equal">
      <formula>"leave"</formula>
    </cfRule>
    <cfRule type="containsText" dxfId="593" priority="356" operator="containsText" text="ds">
      <formula>NOT(ISERROR(SEARCH("ds",AE25)))</formula>
    </cfRule>
    <cfRule type="containsText" dxfId="592" priority="357" operator="containsText" text="subobs">
      <formula>NOT(ISERROR(SEARCH("subobs",AE25)))</formula>
    </cfRule>
    <cfRule type="containsText" dxfId="591" priority="358" operator="containsText" text="Call">
      <formula>NOT(ISERROR(SEARCH("Call",AE25)))</formula>
    </cfRule>
    <cfRule type="containsText" dxfId="590" priority="360" operator="containsText" text="9ab">
      <formula>NOT(ISERROR(SEARCH("9ab",AE25)))</formula>
    </cfRule>
    <cfRule type="cellIs" dxfId="589" priority="361" stopIfTrue="1" operator="equal">
      <formula>"leave"</formula>
    </cfRule>
    <cfRule type="containsText" dxfId="588" priority="362" operator="containsText" text="ds">
      <formula>NOT(ISERROR(SEARCH("ds",AE25)))</formula>
    </cfRule>
    <cfRule type="containsText" dxfId="587" priority="363" operator="containsText" text="subobs">
      <formula>NOT(ISERROR(SEARCH("subobs",AE25)))</formula>
    </cfRule>
    <cfRule type="containsText" dxfId="586" priority="364" stopIfTrue="1" operator="containsText" text="(Call)">
      <formula>NOT(ISERROR(SEARCH("(Call)",AE25)))</formula>
    </cfRule>
    <cfRule type="containsText" dxfId="585" priority="366" operator="containsText" text="9ab">
      <formula>NOT(ISERROR(SEARCH("9ab",AE25)))</formula>
    </cfRule>
    <cfRule type="cellIs" dxfId="584" priority="367" stopIfTrue="1" operator="equal">
      <formula>"leave"</formula>
    </cfRule>
    <cfRule type="containsText" dxfId="583" priority="368" operator="containsText" text="ds">
      <formula>NOT(ISERROR(SEARCH("ds",AE25)))</formula>
    </cfRule>
    <cfRule type="containsText" dxfId="582" priority="369" operator="containsText" text="subobs">
      <formula>NOT(ISERROR(SEARCH("subobs",AE25)))</formula>
    </cfRule>
    <cfRule type="containsText" dxfId="581" priority="370" operator="containsText" text="Call">
      <formula>NOT(ISERROR(SEARCH("Call",AE25)))</formula>
    </cfRule>
    <cfRule type="cellIs" dxfId="580" priority="372" operator="equal">
      <formula>0</formula>
    </cfRule>
    <cfRule type="containsText" dxfId="579" priority="373" operator="containsText" text="9ab">
      <formula>NOT(ISERROR(SEARCH("9ab",AE25)))</formula>
    </cfRule>
    <cfRule type="cellIs" dxfId="578" priority="374" stopIfTrue="1" operator="equal">
      <formula>"leave"</formula>
    </cfRule>
    <cfRule type="containsText" dxfId="577" priority="375" operator="containsText" text="ds">
      <formula>NOT(ISERROR(SEARCH("ds",AE25)))</formula>
    </cfRule>
    <cfRule type="containsText" dxfId="576" priority="376" operator="containsText" text="subobs">
      <formula>NOT(ISERROR(SEARCH("subobs",AE25)))</formula>
    </cfRule>
    <cfRule type="containsText" dxfId="575" priority="377" operator="containsText" text="Call">
      <formula>NOT(ISERROR(SEARCH("Call",AE25)))</formula>
    </cfRule>
  </conditionalFormatting>
  <conditionalFormatting sqref="AE25">
    <cfRule type="containsText" dxfId="574" priority="379" operator="containsText" text="9ab">
      <formula>NOT(ISERROR(SEARCH("9ab",AE25)))</formula>
    </cfRule>
    <cfRule type="cellIs" dxfId="573" priority="380" stopIfTrue="1" operator="equal">
      <formula>"leave"</formula>
    </cfRule>
    <cfRule type="containsText" dxfId="572" priority="381" operator="containsText" text="ds">
      <formula>NOT(ISERROR(SEARCH("ds",AE25)))</formula>
    </cfRule>
    <cfRule type="containsText" dxfId="571" priority="382" operator="containsText" text="subobs">
      <formula>NOT(ISERROR(SEARCH("subobs",AE25)))</formula>
    </cfRule>
    <cfRule type="containsText" dxfId="570" priority="383" operator="containsText" text="Call">
      <formula>NOT(ISERROR(SEARCH("Call",AE25)))</formula>
    </cfRule>
  </conditionalFormatting>
  <conditionalFormatting sqref="AL25">
    <cfRule type="containsText" dxfId="569" priority="323" operator="containsText" text="9ab">
      <formula>NOT(ISERROR(SEARCH("9ab",AL25)))</formula>
    </cfRule>
    <cfRule type="cellIs" dxfId="568" priority="324" stopIfTrue="1" operator="equal">
      <formula>"leave"</formula>
    </cfRule>
    <cfRule type="containsText" dxfId="567" priority="325" operator="containsText" text="ds">
      <formula>NOT(ISERROR(SEARCH("ds",AL25)))</formula>
    </cfRule>
    <cfRule type="containsText" dxfId="566" priority="326" operator="containsText" text="subobs">
      <formula>NOT(ISERROR(SEARCH("subobs",AL25)))</formula>
    </cfRule>
    <cfRule type="containsText" dxfId="565" priority="327" operator="containsText" text="Call">
      <formula>NOT(ISERROR(SEARCH("Call",AL25)))</formula>
    </cfRule>
    <cfRule type="containsText" dxfId="564" priority="329" operator="containsText" text="9ab">
      <formula>NOT(ISERROR(SEARCH("9ab",AL25)))</formula>
    </cfRule>
    <cfRule type="cellIs" dxfId="563" priority="330" stopIfTrue="1" operator="equal">
      <formula>"leave"</formula>
    </cfRule>
    <cfRule type="containsText" dxfId="562" priority="331" operator="containsText" text="ds">
      <formula>NOT(ISERROR(SEARCH("ds",AL25)))</formula>
    </cfRule>
    <cfRule type="containsText" dxfId="561" priority="332" operator="containsText" text="subobs">
      <formula>NOT(ISERROR(SEARCH("subobs",AL25)))</formula>
    </cfRule>
    <cfRule type="containsText" dxfId="560" priority="333" stopIfTrue="1" operator="containsText" text="(Call)">
      <formula>NOT(ISERROR(SEARCH("(Call)",AL25)))</formula>
    </cfRule>
    <cfRule type="containsText" dxfId="559" priority="335" operator="containsText" text="9ab">
      <formula>NOT(ISERROR(SEARCH("9ab",AL25)))</formula>
    </cfRule>
    <cfRule type="cellIs" dxfId="558" priority="336" stopIfTrue="1" operator="equal">
      <formula>"leave"</formula>
    </cfRule>
    <cfRule type="containsText" dxfId="557" priority="337" operator="containsText" text="ds">
      <formula>NOT(ISERROR(SEARCH("ds",AL25)))</formula>
    </cfRule>
    <cfRule type="containsText" dxfId="556" priority="338" operator="containsText" text="subobs">
      <formula>NOT(ISERROR(SEARCH("subobs",AL25)))</formula>
    </cfRule>
    <cfRule type="containsText" dxfId="555" priority="339" operator="containsText" text="Call">
      <formula>NOT(ISERROR(SEARCH("Call",AL25)))</formula>
    </cfRule>
    <cfRule type="cellIs" dxfId="554" priority="341" operator="equal">
      <formula>0</formula>
    </cfRule>
    <cfRule type="containsText" dxfId="553" priority="342" operator="containsText" text="9ab">
      <formula>NOT(ISERROR(SEARCH("9ab",AL25)))</formula>
    </cfRule>
    <cfRule type="cellIs" dxfId="552" priority="343" stopIfTrue="1" operator="equal">
      <formula>"leave"</formula>
    </cfRule>
    <cfRule type="containsText" dxfId="551" priority="344" operator="containsText" text="ds">
      <formula>NOT(ISERROR(SEARCH("ds",AL25)))</formula>
    </cfRule>
    <cfRule type="containsText" dxfId="550" priority="345" operator="containsText" text="subobs">
      <formula>NOT(ISERROR(SEARCH("subobs",AL25)))</formula>
    </cfRule>
    <cfRule type="containsText" dxfId="549" priority="346" operator="containsText" text="Call">
      <formula>NOT(ISERROR(SEARCH("Call",AL25)))</formula>
    </cfRule>
  </conditionalFormatting>
  <conditionalFormatting sqref="AL25">
    <cfRule type="containsText" dxfId="548" priority="348" operator="containsText" text="9ab">
      <formula>NOT(ISERROR(SEARCH("9ab",AL25)))</formula>
    </cfRule>
    <cfRule type="cellIs" dxfId="547" priority="349" stopIfTrue="1" operator="equal">
      <formula>"leave"</formula>
    </cfRule>
    <cfRule type="containsText" dxfId="546" priority="350" operator="containsText" text="ds">
      <formula>NOT(ISERROR(SEARCH("ds",AL25)))</formula>
    </cfRule>
    <cfRule type="containsText" dxfId="545" priority="351" operator="containsText" text="subobs">
      <formula>NOT(ISERROR(SEARCH("subobs",AL25)))</formula>
    </cfRule>
    <cfRule type="containsText" dxfId="544" priority="352" operator="containsText" text="Call">
      <formula>NOT(ISERROR(SEARCH("Call",AL25)))</formula>
    </cfRule>
  </conditionalFormatting>
  <conditionalFormatting sqref="AS25">
    <cfRule type="containsText" dxfId="543" priority="292" operator="containsText" text="9ab">
      <formula>NOT(ISERROR(SEARCH("9ab",AS25)))</formula>
    </cfRule>
    <cfRule type="cellIs" dxfId="542" priority="293" stopIfTrue="1" operator="equal">
      <formula>"leave"</formula>
    </cfRule>
    <cfRule type="containsText" dxfId="541" priority="294" operator="containsText" text="ds">
      <formula>NOT(ISERROR(SEARCH("ds",AS25)))</formula>
    </cfRule>
    <cfRule type="containsText" dxfId="540" priority="295" operator="containsText" text="subobs">
      <formula>NOT(ISERROR(SEARCH("subobs",AS25)))</formula>
    </cfRule>
    <cfRule type="containsText" dxfId="539" priority="296" operator="containsText" text="Call">
      <formula>NOT(ISERROR(SEARCH("Call",AS25)))</formula>
    </cfRule>
    <cfRule type="containsText" dxfId="538" priority="298" operator="containsText" text="9ab">
      <formula>NOT(ISERROR(SEARCH("9ab",AS25)))</formula>
    </cfRule>
    <cfRule type="cellIs" dxfId="537" priority="299" stopIfTrue="1" operator="equal">
      <formula>"leave"</formula>
    </cfRule>
    <cfRule type="containsText" dxfId="536" priority="300" operator="containsText" text="ds">
      <formula>NOT(ISERROR(SEARCH("ds",AS25)))</formula>
    </cfRule>
    <cfRule type="containsText" dxfId="535" priority="301" operator="containsText" text="subobs">
      <formula>NOT(ISERROR(SEARCH("subobs",AS25)))</formula>
    </cfRule>
    <cfRule type="containsText" dxfId="534" priority="302" stopIfTrue="1" operator="containsText" text="(Call)">
      <formula>NOT(ISERROR(SEARCH("(Call)",AS25)))</formula>
    </cfRule>
    <cfRule type="containsText" dxfId="533" priority="304" operator="containsText" text="9ab">
      <formula>NOT(ISERROR(SEARCH("9ab",AS25)))</formula>
    </cfRule>
    <cfRule type="cellIs" dxfId="532" priority="305" stopIfTrue="1" operator="equal">
      <formula>"leave"</formula>
    </cfRule>
    <cfRule type="containsText" dxfId="531" priority="306" operator="containsText" text="ds">
      <formula>NOT(ISERROR(SEARCH("ds",AS25)))</formula>
    </cfRule>
    <cfRule type="containsText" dxfId="530" priority="307" operator="containsText" text="subobs">
      <formula>NOT(ISERROR(SEARCH("subobs",AS25)))</formula>
    </cfRule>
    <cfRule type="containsText" dxfId="529" priority="308" operator="containsText" text="Call">
      <formula>NOT(ISERROR(SEARCH("Call",AS25)))</formula>
    </cfRule>
    <cfRule type="cellIs" dxfId="528" priority="310" operator="equal">
      <formula>0</formula>
    </cfRule>
    <cfRule type="containsText" dxfId="527" priority="311" operator="containsText" text="9ab">
      <formula>NOT(ISERROR(SEARCH("9ab",AS25)))</formula>
    </cfRule>
    <cfRule type="cellIs" dxfId="526" priority="312" stopIfTrue="1" operator="equal">
      <formula>"leave"</formula>
    </cfRule>
    <cfRule type="containsText" dxfId="525" priority="313" operator="containsText" text="ds">
      <formula>NOT(ISERROR(SEARCH("ds",AS25)))</formula>
    </cfRule>
    <cfRule type="containsText" dxfId="524" priority="314" operator="containsText" text="subobs">
      <formula>NOT(ISERROR(SEARCH("subobs",AS25)))</formula>
    </cfRule>
    <cfRule type="containsText" dxfId="523" priority="315" operator="containsText" text="Call">
      <formula>NOT(ISERROR(SEARCH("Call",AS25)))</formula>
    </cfRule>
  </conditionalFormatting>
  <conditionalFormatting sqref="AS25">
    <cfRule type="containsText" dxfId="522" priority="317" operator="containsText" text="9ab">
      <formula>NOT(ISERROR(SEARCH("9ab",AS25)))</formula>
    </cfRule>
    <cfRule type="cellIs" dxfId="521" priority="318" stopIfTrue="1" operator="equal">
      <formula>"leave"</formula>
    </cfRule>
    <cfRule type="containsText" dxfId="520" priority="319" operator="containsText" text="ds">
      <formula>NOT(ISERROR(SEARCH("ds",AS25)))</formula>
    </cfRule>
    <cfRule type="containsText" dxfId="519" priority="320" operator="containsText" text="subobs">
      <formula>NOT(ISERROR(SEARCH("subobs",AS25)))</formula>
    </cfRule>
    <cfRule type="containsText" dxfId="518" priority="321" operator="containsText" text="Call">
      <formula>NOT(ISERROR(SEARCH("Call",AS25)))</formula>
    </cfRule>
  </conditionalFormatting>
  <conditionalFormatting sqref="AZ25">
    <cfRule type="containsText" dxfId="517" priority="261" operator="containsText" text="9ab">
      <formula>NOT(ISERROR(SEARCH("9ab",AZ25)))</formula>
    </cfRule>
    <cfRule type="cellIs" dxfId="516" priority="262" stopIfTrue="1" operator="equal">
      <formula>"leave"</formula>
    </cfRule>
    <cfRule type="containsText" dxfId="515" priority="263" operator="containsText" text="ds">
      <formula>NOT(ISERROR(SEARCH("ds",AZ25)))</formula>
    </cfRule>
    <cfRule type="containsText" dxfId="514" priority="264" operator="containsText" text="subobs">
      <formula>NOT(ISERROR(SEARCH("subobs",AZ25)))</formula>
    </cfRule>
    <cfRule type="containsText" dxfId="513" priority="265" operator="containsText" text="Call">
      <formula>NOT(ISERROR(SEARCH("Call",AZ25)))</formula>
    </cfRule>
    <cfRule type="containsText" dxfId="512" priority="267" operator="containsText" text="9ab">
      <formula>NOT(ISERROR(SEARCH("9ab",AZ25)))</formula>
    </cfRule>
    <cfRule type="cellIs" dxfId="511" priority="268" stopIfTrue="1" operator="equal">
      <formula>"leave"</formula>
    </cfRule>
    <cfRule type="containsText" dxfId="510" priority="269" operator="containsText" text="ds">
      <formula>NOT(ISERROR(SEARCH("ds",AZ25)))</formula>
    </cfRule>
    <cfRule type="containsText" dxfId="509" priority="270" operator="containsText" text="subobs">
      <formula>NOT(ISERROR(SEARCH("subobs",AZ25)))</formula>
    </cfRule>
    <cfRule type="containsText" dxfId="508" priority="271" stopIfTrue="1" operator="containsText" text="(Call)">
      <formula>NOT(ISERROR(SEARCH("(Call)",AZ25)))</formula>
    </cfRule>
    <cfRule type="containsText" dxfId="507" priority="273" operator="containsText" text="9ab">
      <formula>NOT(ISERROR(SEARCH("9ab",AZ25)))</formula>
    </cfRule>
    <cfRule type="cellIs" dxfId="506" priority="274" stopIfTrue="1" operator="equal">
      <formula>"leave"</formula>
    </cfRule>
    <cfRule type="containsText" dxfId="505" priority="275" operator="containsText" text="ds">
      <formula>NOT(ISERROR(SEARCH("ds",AZ25)))</formula>
    </cfRule>
    <cfRule type="containsText" dxfId="504" priority="276" operator="containsText" text="subobs">
      <formula>NOT(ISERROR(SEARCH("subobs",AZ25)))</formula>
    </cfRule>
    <cfRule type="containsText" dxfId="503" priority="277" operator="containsText" text="Call">
      <formula>NOT(ISERROR(SEARCH("Call",AZ25)))</formula>
    </cfRule>
    <cfRule type="cellIs" dxfId="502" priority="279" operator="equal">
      <formula>0</formula>
    </cfRule>
    <cfRule type="containsText" dxfId="501" priority="280" operator="containsText" text="9ab">
      <formula>NOT(ISERROR(SEARCH("9ab",AZ25)))</formula>
    </cfRule>
    <cfRule type="cellIs" dxfId="500" priority="281" stopIfTrue="1" operator="equal">
      <formula>"leave"</formula>
    </cfRule>
    <cfRule type="containsText" dxfId="499" priority="282" operator="containsText" text="ds">
      <formula>NOT(ISERROR(SEARCH("ds",AZ25)))</formula>
    </cfRule>
    <cfRule type="containsText" dxfId="498" priority="283" operator="containsText" text="subobs">
      <formula>NOT(ISERROR(SEARCH("subobs",AZ25)))</formula>
    </cfRule>
    <cfRule type="containsText" dxfId="497" priority="284" operator="containsText" text="Call">
      <formula>NOT(ISERROR(SEARCH("Call",AZ25)))</formula>
    </cfRule>
  </conditionalFormatting>
  <conditionalFormatting sqref="AZ25">
    <cfRule type="containsText" dxfId="496" priority="286" operator="containsText" text="9ab">
      <formula>NOT(ISERROR(SEARCH("9ab",AZ25)))</formula>
    </cfRule>
    <cfRule type="cellIs" dxfId="495" priority="287" stopIfTrue="1" operator="equal">
      <formula>"leave"</formula>
    </cfRule>
    <cfRule type="containsText" dxfId="494" priority="288" operator="containsText" text="ds">
      <formula>NOT(ISERROR(SEARCH("ds",AZ25)))</formula>
    </cfRule>
    <cfRule type="containsText" dxfId="493" priority="289" operator="containsText" text="subobs">
      <formula>NOT(ISERROR(SEARCH("subobs",AZ25)))</formula>
    </cfRule>
    <cfRule type="containsText" dxfId="492" priority="290" operator="containsText" text="Call">
      <formula>NOT(ISERROR(SEARCH("Call",AZ25)))</formula>
    </cfRule>
  </conditionalFormatting>
  <conditionalFormatting sqref="BG25">
    <cfRule type="containsText" dxfId="491" priority="230" operator="containsText" text="9ab">
      <formula>NOT(ISERROR(SEARCH("9ab",BG25)))</formula>
    </cfRule>
    <cfRule type="cellIs" dxfId="490" priority="231" stopIfTrue="1" operator="equal">
      <formula>"leave"</formula>
    </cfRule>
    <cfRule type="containsText" dxfId="489" priority="232" operator="containsText" text="ds">
      <formula>NOT(ISERROR(SEARCH("ds",BG25)))</formula>
    </cfRule>
    <cfRule type="containsText" dxfId="488" priority="233" operator="containsText" text="subobs">
      <formula>NOT(ISERROR(SEARCH("subobs",BG25)))</formula>
    </cfRule>
    <cfRule type="containsText" dxfId="487" priority="234" operator="containsText" text="Call">
      <formula>NOT(ISERROR(SEARCH("Call",BG25)))</formula>
    </cfRule>
    <cfRule type="containsText" dxfId="486" priority="236" operator="containsText" text="9ab">
      <formula>NOT(ISERROR(SEARCH("9ab",BG25)))</formula>
    </cfRule>
    <cfRule type="cellIs" dxfId="485" priority="237" stopIfTrue="1" operator="equal">
      <formula>"leave"</formula>
    </cfRule>
    <cfRule type="containsText" dxfId="484" priority="238" operator="containsText" text="ds">
      <formula>NOT(ISERROR(SEARCH("ds",BG25)))</formula>
    </cfRule>
    <cfRule type="containsText" dxfId="483" priority="239" operator="containsText" text="subobs">
      <formula>NOT(ISERROR(SEARCH("subobs",BG25)))</formula>
    </cfRule>
    <cfRule type="containsText" dxfId="482" priority="240" stopIfTrue="1" operator="containsText" text="(Call)">
      <formula>NOT(ISERROR(SEARCH("(Call)",BG25)))</formula>
    </cfRule>
    <cfRule type="containsText" dxfId="481" priority="242" operator="containsText" text="9ab">
      <formula>NOT(ISERROR(SEARCH("9ab",BG25)))</formula>
    </cfRule>
    <cfRule type="cellIs" dxfId="480" priority="243" stopIfTrue="1" operator="equal">
      <formula>"leave"</formula>
    </cfRule>
    <cfRule type="containsText" dxfId="479" priority="244" operator="containsText" text="ds">
      <formula>NOT(ISERROR(SEARCH("ds",BG25)))</formula>
    </cfRule>
    <cfRule type="containsText" dxfId="478" priority="245" operator="containsText" text="subobs">
      <formula>NOT(ISERROR(SEARCH("subobs",BG25)))</formula>
    </cfRule>
    <cfRule type="containsText" dxfId="477" priority="246" operator="containsText" text="Call">
      <formula>NOT(ISERROR(SEARCH("Call",BG25)))</formula>
    </cfRule>
    <cfRule type="cellIs" dxfId="476" priority="248" operator="equal">
      <formula>0</formula>
    </cfRule>
    <cfRule type="containsText" dxfId="475" priority="249" operator="containsText" text="9ab">
      <formula>NOT(ISERROR(SEARCH("9ab",BG25)))</formula>
    </cfRule>
    <cfRule type="cellIs" dxfId="474" priority="250" stopIfTrue="1" operator="equal">
      <formula>"leave"</formula>
    </cfRule>
    <cfRule type="containsText" dxfId="473" priority="251" operator="containsText" text="ds">
      <formula>NOT(ISERROR(SEARCH("ds",BG25)))</formula>
    </cfRule>
    <cfRule type="containsText" dxfId="472" priority="252" operator="containsText" text="subobs">
      <formula>NOT(ISERROR(SEARCH("subobs",BG25)))</formula>
    </cfRule>
    <cfRule type="containsText" dxfId="471" priority="253" operator="containsText" text="Call">
      <formula>NOT(ISERROR(SEARCH("Call",BG25)))</formula>
    </cfRule>
  </conditionalFormatting>
  <conditionalFormatting sqref="BG25">
    <cfRule type="containsText" dxfId="470" priority="255" operator="containsText" text="9ab">
      <formula>NOT(ISERROR(SEARCH("9ab",BG25)))</formula>
    </cfRule>
    <cfRule type="cellIs" dxfId="469" priority="256" stopIfTrue="1" operator="equal">
      <formula>"leave"</formula>
    </cfRule>
    <cfRule type="containsText" dxfId="468" priority="257" operator="containsText" text="ds">
      <formula>NOT(ISERROR(SEARCH("ds",BG25)))</formula>
    </cfRule>
    <cfRule type="containsText" dxfId="467" priority="258" operator="containsText" text="subobs">
      <formula>NOT(ISERROR(SEARCH("subobs",BG25)))</formula>
    </cfRule>
    <cfRule type="containsText" dxfId="466" priority="259" operator="containsText" text="Call">
      <formula>NOT(ISERROR(SEARCH("Call",BG25)))</formula>
    </cfRule>
  </conditionalFormatting>
  <conditionalFormatting sqref="J25">
    <cfRule type="containsText" dxfId="465" priority="199" operator="containsText" text="9ab">
      <formula>NOT(ISERROR(SEARCH("9ab",J25)))</formula>
    </cfRule>
    <cfRule type="cellIs" dxfId="464" priority="200" stopIfTrue="1" operator="equal">
      <formula>"leave"</formula>
    </cfRule>
    <cfRule type="containsText" dxfId="463" priority="201" operator="containsText" text="ds">
      <formula>NOT(ISERROR(SEARCH("ds",J25)))</formula>
    </cfRule>
    <cfRule type="containsText" dxfId="462" priority="202" operator="containsText" text="subobs">
      <formula>NOT(ISERROR(SEARCH("subobs",J25)))</formula>
    </cfRule>
    <cfRule type="containsText" dxfId="461" priority="203" operator="containsText" text="Call">
      <formula>NOT(ISERROR(SEARCH("Call",J25)))</formula>
    </cfRule>
    <cfRule type="containsText" dxfId="460" priority="205" operator="containsText" text="9ab">
      <formula>NOT(ISERROR(SEARCH("9ab",J25)))</formula>
    </cfRule>
    <cfRule type="cellIs" dxfId="459" priority="206" stopIfTrue="1" operator="equal">
      <formula>"leave"</formula>
    </cfRule>
    <cfRule type="containsText" dxfId="458" priority="207" operator="containsText" text="ds">
      <formula>NOT(ISERROR(SEARCH("ds",J25)))</formula>
    </cfRule>
    <cfRule type="containsText" dxfId="457" priority="208" operator="containsText" text="subobs">
      <formula>NOT(ISERROR(SEARCH("subobs",J25)))</formula>
    </cfRule>
    <cfRule type="containsText" dxfId="456" priority="209" stopIfTrue="1" operator="containsText" text="(Call)">
      <formula>NOT(ISERROR(SEARCH("(Call)",J25)))</formula>
    </cfRule>
    <cfRule type="containsText" dxfId="455" priority="211" operator="containsText" text="9ab">
      <formula>NOT(ISERROR(SEARCH("9ab",J25)))</formula>
    </cfRule>
    <cfRule type="cellIs" dxfId="454" priority="212" stopIfTrue="1" operator="equal">
      <formula>"leave"</formula>
    </cfRule>
    <cfRule type="containsText" dxfId="453" priority="213" operator="containsText" text="ds">
      <formula>NOT(ISERROR(SEARCH("ds",J25)))</formula>
    </cfRule>
    <cfRule type="containsText" dxfId="452" priority="214" operator="containsText" text="subobs">
      <formula>NOT(ISERROR(SEARCH("subobs",J25)))</formula>
    </cfRule>
    <cfRule type="containsText" dxfId="451" priority="215" operator="containsText" text="Call">
      <formula>NOT(ISERROR(SEARCH("Call",J25)))</formula>
    </cfRule>
    <cfRule type="cellIs" dxfId="450" priority="217" operator="equal">
      <formula>0</formula>
    </cfRule>
    <cfRule type="containsText" dxfId="449" priority="218" operator="containsText" text="9ab">
      <formula>NOT(ISERROR(SEARCH("9ab",J25)))</formula>
    </cfRule>
    <cfRule type="cellIs" dxfId="448" priority="219" stopIfTrue="1" operator="equal">
      <formula>"leave"</formula>
    </cfRule>
    <cfRule type="containsText" dxfId="447" priority="220" operator="containsText" text="ds">
      <formula>NOT(ISERROR(SEARCH("ds",J25)))</formula>
    </cfRule>
    <cfRule type="containsText" dxfId="446" priority="221" operator="containsText" text="subobs">
      <formula>NOT(ISERROR(SEARCH("subobs",J25)))</formula>
    </cfRule>
    <cfRule type="containsText" dxfId="445" priority="222" operator="containsText" text="Call">
      <formula>NOT(ISERROR(SEARCH("Call",J25)))</formula>
    </cfRule>
  </conditionalFormatting>
  <conditionalFormatting sqref="J25">
    <cfRule type="containsText" dxfId="444" priority="224" operator="containsText" text="9ab">
      <formula>NOT(ISERROR(SEARCH("9ab",J25)))</formula>
    </cfRule>
    <cfRule type="cellIs" dxfId="443" priority="225" stopIfTrue="1" operator="equal">
      <formula>"leave"</formula>
    </cfRule>
    <cfRule type="containsText" dxfId="442" priority="226" operator="containsText" text="ds">
      <formula>NOT(ISERROR(SEARCH("ds",J25)))</formula>
    </cfRule>
    <cfRule type="containsText" dxfId="441" priority="227" operator="containsText" text="subobs">
      <formula>NOT(ISERROR(SEARCH("subobs",J25)))</formula>
    </cfRule>
    <cfRule type="containsText" dxfId="440" priority="228" operator="containsText" text="Call">
      <formula>NOT(ISERROR(SEARCH("Call",J25)))</formula>
    </cfRule>
  </conditionalFormatting>
  <conditionalFormatting sqref="Q25">
    <cfRule type="containsText" dxfId="439" priority="168" operator="containsText" text="9ab">
      <formula>NOT(ISERROR(SEARCH("9ab",Q25)))</formula>
    </cfRule>
    <cfRule type="cellIs" dxfId="438" priority="169" stopIfTrue="1" operator="equal">
      <formula>"leave"</formula>
    </cfRule>
    <cfRule type="containsText" dxfId="437" priority="170" operator="containsText" text="ds">
      <formula>NOT(ISERROR(SEARCH("ds",Q25)))</formula>
    </cfRule>
    <cfRule type="containsText" dxfId="436" priority="171" operator="containsText" text="subobs">
      <formula>NOT(ISERROR(SEARCH("subobs",Q25)))</formula>
    </cfRule>
    <cfRule type="containsText" dxfId="435" priority="172" operator="containsText" text="Call">
      <formula>NOT(ISERROR(SEARCH("Call",Q25)))</formula>
    </cfRule>
    <cfRule type="containsText" dxfId="434" priority="174" operator="containsText" text="9ab">
      <formula>NOT(ISERROR(SEARCH("9ab",Q25)))</formula>
    </cfRule>
    <cfRule type="cellIs" dxfId="433" priority="175" stopIfTrue="1" operator="equal">
      <formula>"leave"</formula>
    </cfRule>
    <cfRule type="containsText" dxfId="432" priority="176" operator="containsText" text="ds">
      <formula>NOT(ISERROR(SEARCH("ds",Q25)))</formula>
    </cfRule>
    <cfRule type="containsText" dxfId="431" priority="177" operator="containsText" text="subobs">
      <formula>NOT(ISERROR(SEARCH("subobs",Q25)))</formula>
    </cfRule>
    <cfRule type="containsText" dxfId="430" priority="178" stopIfTrue="1" operator="containsText" text="(Call)">
      <formula>NOT(ISERROR(SEARCH("(Call)",Q25)))</formula>
    </cfRule>
    <cfRule type="containsText" dxfId="429" priority="180" operator="containsText" text="9ab">
      <formula>NOT(ISERROR(SEARCH("9ab",Q25)))</formula>
    </cfRule>
    <cfRule type="cellIs" dxfId="428" priority="181" stopIfTrue="1" operator="equal">
      <formula>"leave"</formula>
    </cfRule>
    <cfRule type="containsText" dxfId="427" priority="182" operator="containsText" text="ds">
      <formula>NOT(ISERROR(SEARCH("ds",Q25)))</formula>
    </cfRule>
    <cfRule type="containsText" dxfId="426" priority="183" operator="containsText" text="subobs">
      <formula>NOT(ISERROR(SEARCH("subobs",Q25)))</formula>
    </cfRule>
    <cfRule type="containsText" dxfId="425" priority="184" operator="containsText" text="Call">
      <formula>NOT(ISERROR(SEARCH("Call",Q25)))</formula>
    </cfRule>
    <cfRule type="cellIs" dxfId="424" priority="186" operator="equal">
      <formula>0</formula>
    </cfRule>
    <cfRule type="containsText" dxfId="423" priority="187" operator="containsText" text="9ab">
      <formula>NOT(ISERROR(SEARCH("9ab",Q25)))</formula>
    </cfRule>
    <cfRule type="cellIs" dxfId="422" priority="188" stopIfTrue="1" operator="equal">
      <formula>"leave"</formula>
    </cfRule>
    <cfRule type="containsText" dxfId="421" priority="189" operator="containsText" text="ds">
      <formula>NOT(ISERROR(SEARCH("ds",Q25)))</formula>
    </cfRule>
    <cfRule type="containsText" dxfId="420" priority="190" operator="containsText" text="subobs">
      <formula>NOT(ISERROR(SEARCH("subobs",Q25)))</formula>
    </cfRule>
    <cfRule type="containsText" dxfId="419" priority="191" operator="containsText" text="Call">
      <formula>NOT(ISERROR(SEARCH("Call",Q25)))</formula>
    </cfRule>
  </conditionalFormatting>
  <conditionalFormatting sqref="Q25">
    <cfRule type="containsText" dxfId="418" priority="193" operator="containsText" text="9ab">
      <formula>NOT(ISERROR(SEARCH("9ab",Q25)))</formula>
    </cfRule>
    <cfRule type="cellIs" dxfId="417" priority="194" stopIfTrue="1" operator="equal">
      <formula>"leave"</formula>
    </cfRule>
    <cfRule type="containsText" dxfId="416" priority="195" operator="containsText" text="ds">
      <formula>NOT(ISERROR(SEARCH("ds",Q25)))</formula>
    </cfRule>
    <cfRule type="containsText" dxfId="415" priority="196" operator="containsText" text="subobs">
      <formula>NOT(ISERROR(SEARCH("subobs",Q25)))</formula>
    </cfRule>
    <cfRule type="containsText" dxfId="414" priority="197" operator="containsText" text="Call">
      <formula>NOT(ISERROR(SEARCH("Call",Q25)))</formula>
    </cfRule>
  </conditionalFormatting>
  <conditionalFormatting sqref="X25">
    <cfRule type="containsText" dxfId="413" priority="137" operator="containsText" text="9ab">
      <formula>NOT(ISERROR(SEARCH("9ab",X25)))</formula>
    </cfRule>
    <cfRule type="cellIs" dxfId="412" priority="138" stopIfTrue="1" operator="equal">
      <formula>"leave"</formula>
    </cfRule>
    <cfRule type="containsText" dxfId="411" priority="139" operator="containsText" text="ds">
      <formula>NOT(ISERROR(SEARCH("ds",X25)))</formula>
    </cfRule>
    <cfRule type="containsText" dxfId="410" priority="140" operator="containsText" text="subobs">
      <formula>NOT(ISERROR(SEARCH("subobs",X25)))</formula>
    </cfRule>
    <cfRule type="containsText" dxfId="409" priority="141" operator="containsText" text="Call">
      <formula>NOT(ISERROR(SEARCH("Call",X25)))</formula>
    </cfRule>
    <cfRule type="containsText" dxfId="408" priority="143" operator="containsText" text="9ab">
      <formula>NOT(ISERROR(SEARCH("9ab",X25)))</formula>
    </cfRule>
    <cfRule type="cellIs" dxfId="407" priority="144" stopIfTrue="1" operator="equal">
      <formula>"leave"</formula>
    </cfRule>
    <cfRule type="containsText" dxfId="406" priority="145" operator="containsText" text="ds">
      <formula>NOT(ISERROR(SEARCH("ds",X25)))</formula>
    </cfRule>
    <cfRule type="containsText" dxfId="405" priority="146" operator="containsText" text="subobs">
      <formula>NOT(ISERROR(SEARCH("subobs",X25)))</formula>
    </cfRule>
    <cfRule type="containsText" dxfId="404" priority="147" stopIfTrue="1" operator="containsText" text="(Call)">
      <formula>NOT(ISERROR(SEARCH("(Call)",X25)))</formula>
    </cfRule>
    <cfRule type="containsText" dxfId="403" priority="149" operator="containsText" text="9ab">
      <formula>NOT(ISERROR(SEARCH("9ab",X25)))</formula>
    </cfRule>
    <cfRule type="cellIs" dxfId="402" priority="150" stopIfTrue="1" operator="equal">
      <formula>"leave"</formula>
    </cfRule>
    <cfRule type="containsText" dxfId="401" priority="151" operator="containsText" text="ds">
      <formula>NOT(ISERROR(SEARCH("ds",X25)))</formula>
    </cfRule>
    <cfRule type="containsText" dxfId="400" priority="152" operator="containsText" text="subobs">
      <formula>NOT(ISERROR(SEARCH("subobs",X25)))</formula>
    </cfRule>
    <cfRule type="containsText" dxfId="399" priority="153" operator="containsText" text="Call">
      <formula>NOT(ISERROR(SEARCH("Call",X25)))</formula>
    </cfRule>
    <cfRule type="cellIs" dxfId="398" priority="155" operator="equal">
      <formula>0</formula>
    </cfRule>
    <cfRule type="containsText" dxfId="397" priority="156" operator="containsText" text="9ab">
      <formula>NOT(ISERROR(SEARCH("9ab",X25)))</formula>
    </cfRule>
    <cfRule type="cellIs" dxfId="396" priority="157" stopIfTrue="1" operator="equal">
      <formula>"leave"</formula>
    </cfRule>
    <cfRule type="containsText" dxfId="395" priority="158" operator="containsText" text="ds">
      <formula>NOT(ISERROR(SEARCH("ds",X25)))</formula>
    </cfRule>
    <cfRule type="containsText" dxfId="394" priority="159" operator="containsText" text="subobs">
      <formula>NOT(ISERROR(SEARCH("subobs",X25)))</formula>
    </cfRule>
    <cfRule type="containsText" dxfId="393" priority="160" operator="containsText" text="Call">
      <formula>NOT(ISERROR(SEARCH("Call",X25)))</formula>
    </cfRule>
  </conditionalFormatting>
  <conditionalFormatting sqref="X25">
    <cfRule type="containsText" dxfId="392" priority="162" operator="containsText" text="9ab">
      <formula>NOT(ISERROR(SEARCH("9ab",X25)))</formula>
    </cfRule>
    <cfRule type="cellIs" dxfId="391" priority="163" stopIfTrue="1" operator="equal">
      <formula>"leave"</formula>
    </cfRule>
    <cfRule type="containsText" dxfId="390" priority="164" operator="containsText" text="ds">
      <formula>NOT(ISERROR(SEARCH("ds",X25)))</formula>
    </cfRule>
    <cfRule type="containsText" dxfId="389" priority="165" operator="containsText" text="subobs">
      <formula>NOT(ISERROR(SEARCH("subobs",X25)))</formula>
    </cfRule>
    <cfRule type="containsText" dxfId="388" priority="166" operator="containsText" text="Call">
      <formula>NOT(ISERROR(SEARCH("Call",X25)))</formula>
    </cfRule>
  </conditionalFormatting>
  <conditionalFormatting sqref="AE25">
    <cfRule type="containsText" dxfId="387" priority="106" operator="containsText" text="9ab">
      <formula>NOT(ISERROR(SEARCH("9ab",AE25)))</formula>
    </cfRule>
    <cfRule type="cellIs" dxfId="386" priority="107" stopIfTrue="1" operator="equal">
      <formula>"leave"</formula>
    </cfRule>
    <cfRule type="containsText" dxfId="385" priority="108" operator="containsText" text="ds">
      <formula>NOT(ISERROR(SEARCH("ds",AE25)))</formula>
    </cfRule>
    <cfRule type="containsText" dxfId="384" priority="109" operator="containsText" text="subobs">
      <formula>NOT(ISERROR(SEARCH("subobs",AE25)))</formula>
    </cfRule>
    <cfRule type="containsText" dxfId="383" priority="110" operator="containsText" text="Call">
      <formula>NOT(ISERROR(SEARCH("Call",AE25)))</formula>
    </cfRule>
    <cfRule type="containsText" dxfId="382" priority="112" operator="containsText" text="9ab">
      <formula>NOT(ISERROR(SEARCH("9ab",AE25)))</formula>
    </cfRule>
    <cfRule type="cellIs" dxfId="381" priority="113" stopIfTrue="1" operator="equal">
      <formula>"leave"</formula>
    </cfRule>
    <cfRule type="containsText" dxfId="380" priority="114" operator="containsText" text="ds">
      <formula>NOT(ISERROR(SEARCH("ds",AE25)))</formula>
    </cfRule>
    <cfRule type="containsText" dxfId="379" priority="115" operator="containsText" text="subobs">
      <formula>NOT(ISERROR(SEARCH("subobs",AE25)))</formula>
    </cfRule>
    <cfRule type="containsText" dxfId="378" priority="116" stopIfTrue="1" operator="containsText" text="(Call)">
      <formula>NOT(ISERROR(SEARCH("(Call)",AE25)))</formula>
    </cfRule>
    <cfRule type="containsText" dxfId="377" priority="118" operator="containsText" text="9ab">
      <formula>NOT(ISERROR(SEARCH("9ab",AE25)))</formula>
    </cfRule>
    <cfRule type="cellIs" dxfId="376" priority="119" stopIfTrue="1" operator="equal">
      <formula>"leave"</formula>
    </cfRule>
    <cfRule type="containsText" dxfId="375" priority="120" operator="containsText" text="ds">
      <formula>NOT(ISERROR(SEARCH("ds",AE25)))</formula>
    </cfRule>
    <cfRule type="containsText" dxfId="374" priority="121" operator="containsText" text="subobs">
      <formula>NOT(ISERROR(SEARCH("subobs",AE25)))</formula>
    </cfRule>
    <cfRule type="containsText" dxfId="373" priority="122" operator="containsText" text="Call">
      <formula>NOT(ISERROR(SEARCH("Call",AE25)))</formula>
    </cfRule>
    <cfRule type="cellIs" dxfId="372" priority="124" operator="equal">
      <formula>0</formula>
    </cfRule>
    <cfRule type="containsText" dxfId="371" priority="125" operator="containsText" text="9ab">
      <formula>NOT(ISERROR(SEARCH("9ab",AE25)))</formula>
    </cfRule>
    <cfRule type="cellIs" dxfId="370" priority="126" stopIfTrue="1" operator="equal">
      <formula>"leave"</formula>
    </cfRule>
    <cfRule type="containsText" dxfId="369" priority="127" operator="containsText" text="ds">
      <formula>NOT(ISERROR(SEARCH("ds",AE25)))</formula>
    </cfRule>
    <cfRule type="containsText" dxfId="368" priority="128" operator="containsText" text="subobs">
      <formula>NOT(ISERROR(SEARCH("subobs",AE25)))</formula>
    </cfRule>
    <cfRule type="containsText" dxfId="367" priority="129" operator="containsText" text="Call">
      <formula>NOT(ISERROR(SEARCH("Call",AE25)))</formula>
    </cfRule>
  </conditionalFormatting>
  <conditionalFormatting sqref="AE25">
    <cfRule type="containsText" dxfId="366" priority="131" operator="containsText" text="9ab">
      <formula>NOT(ISERROR(SEARCH("9ab",AE25)))</formula>
    </cfRule>
    <cfRule type="cellIs" dxfId="365" priority="132" stopIfTrue="1" operator="equal">
      <formula>"leave"</formula>
    </cfRule>
    <cfRule type="containsText" dxfId="364" priority="133" operator="containsText" text="ds">
      <formula>NOT(ISERROR(SEARCH("ds",AE25)))</formula>
    </cfRule>
    <cfRule type="containsText" dxfId="363" priority="134" operator="containsText" text="subobs">
      <formula>NOT(ISERROR(SEARCH("subobs",AE25)))</formula>
    </cfRule>
    <cfRule type="containsText" dxfId="362" priority="135" operator="containsText" text="Call">
      <formula>NOT(ISERROR(SEARCH("Call",AE25)))</formula>
    </cfRule>
  </conditionalFormatting>
  <conditionalFormatting sqref="AL25">
    <cfRule type="containsText" dxfId="361" priority="75" operator="containsText" text="9ab">
      <formula>NOT(ISERROR(SEARCH("9ab",AL25)))</formula>
    </cfRule>
    <cfRule type="cellIs" dxfId="360" priority="76" stopIfTrue="1" operator="equal">
      <formula>"leave"</formula>
    </cfRule>
    <cfRule type="containsText" dxfId="359" priority="77" operator="containsText" text="ds">
      <formula>NOT(ISERROR(SEARCH("ds",AL25)))</formula>
    </cfRule>
    <cfRule type="containsText" dxfId="358" priority="78" operator="containsText" text="subobs">
      <formula>NOT(ISERROR(SEARCH("subobs",AL25)))</formula>
    </cfRule>
    <cfRule type="containsText" dxfId="357" priority="79" operator="containsText" text="Call">
      <formula>NOT(ISERROR(SEARCH("Call",AL25)))</formula>
    </cfRule>
    <cfRule type="containsText" dxfId="356" priority="81" operator="containsText" text="9ab">
      <formula>NOT(ISERROR(SEARCH("9ab",AL25)))</formula>
    </cfRule>
    <cfRule type="cellIs" dxfId="355" priority="82" stopIfTrue="1" operator="equal">
      <formula>"leave"</formula>
    </cfRule>
    <cfRule type="containsText" dxfId="354" priority="83" operator="containsText" text="ds">
      <formula>NOT(ISERROR(SEARCH("ds",AL25)))</formula>
    </cfRule>
    <cfRule type="containsText" dxfId="353" priority="84" operator="containsText" text="subobs">
      <formula>NOT(ISERROR(SEARCH("subobs",AL25)))</formula>
    </cfRule>
    <cfRule type="containsText" dxfId="352" priority="85" stopIfTrue="1" operator="containsText" text="(Call)">
      <formula>NOT(ISERROR(SEARCH("(Call)",AL25)))</formula>
    </cfRule>
    <cfRule type="containsText" dxfId="351" priority="87" operator="containsText" text="9ab">
      <formula>NOT(ISERROR(SEARCH("9ab",AL25)))</formula>
    </cfRule>
    <cfRule type="cellIs" dxfId="350" priority="88" stopIfTrue="1" operator="equal">
      <formula>"leave"</formula>
    </cfRule>
    <cfRule type="containsText" dxfId="349" priority="89" operator="containsText" text="ds">
      <formula>NOT(ISERROR(SEARCH("ds",AL25)))</formula>
    </cfRule>
    <cfRule type="containsText" dxfId="348" priority="90" operator="containsText" text="subobs">
      <formula>NOT(ISERROR(SEARCH("subobs",AL25)))</formula>
    </cfRule>
    <cfRule type="containsText" dxfId="347" priority="91" operator="containsText" text="Call">
      <formula>NOT(ISERROR(SEARCH("Call",AL25)))</formula>
    </cfRule>
    <cfRule type="cellIs" dxfId="346" priority="93" operator="equal">
      <formula>0</formula>
    </cfRule>
    <cfRule type="containsText" dxfId="345" priority="94" operator="containsText" text="9ab">
      <formula>NOT(ISERROR(SEARCH("9ab",AL25)))</formula>
    </cfRule>
    <cfRule type="cellIs" dxfId="344" priority="95" stopIfTrue="1" operator="equal">
      <formula>"leave"</formula>
    </cfRule>
    <cfRule type="containsText" dxfId="343" priority="96" operator="containsText" text="ds">
      <formula>NOT(ISERROR(SEARCH("ds",AL25)))</formula>
    </cfRule>
    <cfRule type="containsText" dxfId="342" priority="97" operator="containsText" text="subobs">
      <formula>NOT(ISERROR(SEARCH("subobs",AL25)))</formula>
    </cfRule>
    <cfRule type="containsText" dxfId="341" priority="98" operator="containsText" text="Call">
      <formula>NOT(ISERROR(SEARCH("Call",AL25)))</formula>
    </cfRule>
  </conditionalFormatting>
  <conditionalFormatting sqref="AL25">
    <cfRule type="containsText" dxfId="340" priority="100" operator="containsText" text="9ab">
      <formula>NOT(ISERROR(SEARCH("9ab",AL25)))</formula>
    </cfRule>
    <cfRule type="cellIs" dxfId="339" priority="101" stopIfTrue="1" operator="equal">
      <formula>"leave"</formula>
    </cfRule>
    <cfRule type="containsText" dxfId="338" priority="102" operator="containsText" text="ds">
      <formula>NOT(ISERROR(SEARCH("ds",AL25)))</formula>
    </cfRule>
    <cfRule type="containsText" dxfId="337" priority="103" operator="containsText" text="subobs">
      <formula>NOT(ISERROR(SEARCH("subobs",AL25)))</formula>
    </cfRule>
    <cfRule type="containsText" dxfId="336" priority="104" operator="containsText" text="Call">
      <formula>NOT(ISERROR(SEARCH("Call",AL25)))</formula>
    </cfRule>
  </conditionalFormatting>
  <conditionalFormatting sqref="AS25">
    <cfRule type="containsText" dxfId="335" priority="44" operator="containsText" text="9ab">
      <formula>NOT(ISERROR(SEARCH("9ab",AS25)))</formula>
    </cfRule>
    <cfRule type="cellIs" dxfId="334" priority="45" stopIfTrue="1" operator="equal">
      <formula>"leave"</formula>
    </cfRule>
    <cfRule type="containsText" dxfId="333" priority="46" operator="containsText" text="ds">
      <formula>NOT(ISERROR(SEARCH("ds",AS25)))</formula>
    </cfRule>
    <cfRule type="containsText" dxfId="332" priority="47" operator="containsText" text="subobs">
      <formula>NOT(ISERROR(SEARCH("subobs",AS25)))</formula>
    </cfRule>
    <cfRule type="containsText" dxfId="331" priority="48" operator="containsText" text="Call">
      <formula>NOT(ISERROR(SEARCH("Call",AS25)))</formula>
    </cfRule>
    <cfRule type="containsText" dxfId="330" priority="50" operator="containsText" text="9ab">
      <formula>NOT(ISERROR(SEARCH("9ab",AS25)))</formula>
    </cfRule>
    <cfRule type="cellIs" dxfId="329" priority="51" stopIfTrue="1" operator="equal">
      <formula>"leave"</formula>
    </cfRule>
    <cfRule type="containsText" dxfId="328" priority="52" operator="containsText" text="ds">
      <formula>NOT(ISERROR(SEARCH("ds",AS25)))</formula>
    </cfRule>
    <cfRule type="containsText" dxfId="327" priority="53" operator="containsText" text="subobs">
      <formula>NOT(ISERROR(SEARCH("subobs",AS25)))</formula>
    </cfRule>
    <cfRule type="containsText" dxfId="326" priority="54" stopIfTrue="1" operator="containsText" text="(Call)">
      <formula>NOT(ISERROR(SEARCH("(Call)",AS25)))</formula>
    </cfRule>
    <cfRule type="containsText" dxfId="325" priority="56" operator="containsText" text="9ab">
      <formula>NOT(ISERROR(SEARCH("9ab",AS25)))</formula>
    </cfRule>
    <cfRule type="cellIs" dxfId="324" priority="57" stopIfTrue="1" operator="equal">
      <formula>"leave"</formula>
    </cfRule>
    <cfRule type="containsText" dxfId="323" priority="58" operator="containsText" text="ds">
      <formula>NOT(ISERROR(SEARCH("ds",AS25)))</formula>
    </cfRule>
    <cfRule type="containsText" dxfId="322" priority="59" operator="containsText" text="subobs">
      <formula>NOT(ISERROR(SEARCH("subobs",AS25)))</formula>
    </cfRule>
    <cfRule type="containsText" dxfId="321" priority="60" operator="containsText" text="Call">
      <formula>NOT(ISERROR(SEARCH("Call",AS25)))</formula>
    </cfRule>
    <cfRule type="cellIs" dxfId="320" priority="62" operator="equal">
      <formula>0</formula>
    </cfRule>
    <cfRule type="containsText" dxfId="319" priority="63" operator="containsText" text="9ab">
      <formula>NOT(ISERROR(SEARCH("9ab",AS25)))</formula>
    </cfRule>
    <cfRule type="cellIs" dxfId="318" priority="64" stopIfTrue="1" operator="equal">
      <formula>"leave"</formula>
    </cfRule>
    <cfRule type="containsText" dxfId="317" priority="65" operator="containsText" text="ds">
      <formula>NOT(ISERROR(SEARCH("ds",AS25)))</formula>
    </cfRule>
    <cfRule type="containsText" dxfId="316" priority="66" operator="containsText" text="subobs">
      <formula>NOT(ISERROR(SEARCH("subobs",AS25)))</formula>
    </cfRule>
    <cfRule type="containsText" dxfId="315" priority="67" operator="containsText" text="Call">
      <formula>NOT(ISERROR(SEARCH("Call",AS25)))</formula>
    </cfRule>
  </conditionalFormatting>
  <conditionalFormatting sqref="AS25">
    <cfRule type="containsText" dxfId="314" priority="69" operator="containsText" text="9ab">
      <formula>NOT(ISERROR(SEARCH("9ab",AS25)))</formula>
    </cfRule>
    <cfRule type="cellIs" dxfId="313" priority="70" stopIfTrue="1" operator="equal">
      <formula>"leave"</formula>
    </cfRule>
    <cfRule type="containsText" dxfId="312" priority="71" operator="containsText" text="ds">
      <formula>NOT(ISERROR(SEARCH("ds",AS25)))</formula>
    </cfRule>
    <cfRule type="containsText" dxfId="311" priority="72" operator="containsText" text="subobs">
      <formula>NOT(ISERROR(SEARCH("subobs",AS25)))</formula>
    </cfRule>
    <cfRule type="containsText" dxfId="310" priority="73" operator="containsText" text="Call">
      <formula>NOT(ISERROR(SEARCH("Call",AS25)))</formula>
    </cfRule>
  </conditionalFormatting>
  <conditionalFormatting sqref="AZ25">
    <cfRule type="containsText" dxfId="309" priority="13" operator="containsText" text="9ab">
      <formula>NOT(ISERROR(SEARCH("9ab",AZ25)))</formula>
    </cfRule>
    <cfRule type="cellIs" dxfId="308" priority="14" stopIfTrue="1" operator="equal">
      <formula>"leave"</formula>
    </cfRule>
    <cfRule type="containsText" dxfId="307" priority="15" operator="containsText" text="ds">
      <formula>NOT(ISERROR(SEARCH("ds",AZ25)))</formula>
    </cfRule>
    <cfRule type="containsText" dxfId="306" priority="16" operator="containsText" text="subobs">
      <formula>NOT(ISERROR(SEARCH("subobs",AZ25)))</formula>
    </cfRule>
    <cfRule type="containsText" dxfId="305" priority="17" operator="containsText" text="Call">
      <formula>NOT(ISERROR(SEARCH("Call",AZ25)))</formula>
    </cfRule>
    <cfRule type="containsText" dxfId="304" priority="19" operator="containsText" text="9ab">
      <formula>NOT(ISERROR(SEARCH("9ab",AZ25)))</formula>
    </cfRule>
    <cfRule type="cellIs" dxfId="303" priority="20" stopIfTrue="1" operator="equal">
      <formula>"leave"</formula>
    </cfRule>
    <cfRule type="containsText" dxfId="302" priority="21" operator="containsText" text="ds">
      <formula>NOT(ISERROR(SEARCH("ds",AZ25)))</formula>
    </cfRule>
    <cfRule type="containsText" dxfId="301" priority="22" operator="containsText" text="subobs">
      <formula>NOT(ISERROR(SEARCH("subobs",AZ25)))</formula>
    </cfRule>
    <cfRule type="containsText" dxfId="300" priority="23" stopIfTrue="1" operator="containsText" text="(Call)">
      <formula>NOT(ISERROR(SEARCH("(Call)",AZ25)))</formula>
    </cfRule>
    <cfRule type="containsText" dxfId="299" priority="25" operator="containsText" text="9ab">
      <formula>NOT(ISERROR(SEARCH("9ab",AZ25)))</formula>
    </cfRule>
    <cfRule type="cellIs" dxfId="298" priority="26" stopIfTrue="1" operator="equal">
      <formula>"leave"</formula>
    </cfRule>
    <cfRule type="containsText" dxfId="297" priority="27" operator="containsText" text="ds">
      <formula>NOT(ISERROR(SEARCH("ds",AZ25)))</formula>
    </cfRule>
    <cfRule type="containsText" dxfId="296" priority="28" operator="containsText" text="subobs">
      <formula>NOT(ISERROR(SEARCH("subobs",AZ25)))</formula>
    </cfRule>
    <cfRule type="containsText" dxfId="295" priority="29" operator="containsText" text="Call">
      <formula>NOT(ISERROR(SEARCH("Call",AZ25)))</formula>
    </cfRule>
    <cfRule type="cellIs" dxfId="294" priority="31" operator="equal">
      <formula>0</formula>
    </cfRule>
    <cfRule type="containsText" dxfId="293" priority="32" operator="containsText" text="9ab">
      <formula>NOT(ISERROR(SEARCH("9ab",AZ25)))</formula>
    </cfRule>
    <cfRule type="cellIs" dxfId="292" priority="33" stopIfTrue="1" operator="equal">
      <formula>"leave"</formula>
    </cfRule>
    <cfRule type="containsText" dxfId="291" priority="34" operator="containsText" text="ds">
      <formula>NOT(ISERROR(SEARCH("ds",AZ25)))</formula>
    </cfRule>
    <cfRule type="containsText" dxfId="290" priority="35" operator="containsText" text="subobs">
      <formula>NOT(ISERROR(SEARCH("subobs",AZ25)))</formula>
    </cfRule>
    <cfRule type="containsText" dxfId="289" priority="36" operator="containsText" text="Call">
      <formula>NOT(ISERROR(SEARCH("Call",AZ25)))</formula>
    </cfRule>
  </conditionalFormatting>
  <conditionalFormatting sqref="AZ25">
    <cfRule type="containsText" dxfId="288" priority="38" operator="containsText" text="9ab">
      <formula>NOT(ISERROR(SEARCH("9ab",AZ25)))</formula>
    </cfRule>
    <cfRule type="cellIs" dxfId="287" priority="39" stopIfTrue="1" operator="equal">
      <formula>"leave"</formula>
    </cfRule>
    <cfRule type="containsText" dxfId="286" priority="40" operator="containsText" text="ds">
      <formula>NOT(ISERROR(SEARCH("ds",AZ25)))</formula>
    </cfRule>
    <cfRule type="containsText" dxfId="285" priority="41" operator="containsText" text="subobs">
      <formula>NOT(ISERROR(SEARCH("subobs",AZ25)))</formula>
    </cfRule>
    <cfRule type="containsText" dxfId="284" priority="42" operator="containsText" text="Call">
      <formula>NOT(ISERROR(SEARCH("Call",AZ25)))</formula>
    </cfRule>
  </conditionalFormatting>
  <conditionalFormatting sqref="BH25">
    <cfRule type="cellIs" dxfId="283" priority="12" operator="equal">
      <formula>0</formula>
    </cfRule>
  </conditionalFormatting>
  <conditionalFormatting sqref="BH25">
    <cfRule type="cellIs" dxfId="282" priority="11" operator="equal">
      <formula>0</formula>
    </cfRule>
  </conditionalFormatting>
  <conditionalFormatting sqref="A26">
    <cfRule type="containsText" dxfId="281" priority="2" operator="containsText" text="(Call)">
      <formula>NOT(ISERROR(SEARCH("(Call)",A26)))</formula>
    </cfRule>
    <cfRule type="cellIs" dxfId="280" priority="4" operator="equal">
      <formula>0</formula>
    </cfRule>
    <cfRule type="containsText" dxfId="279" priority="7" stopIfTrue="1" operator="containsText" text="9ab">
      <formula>NOT(ISERROR(SEARCH("9ab",A26)))</formula>
    </cfRule>
    <cfRule type="containsText" dxfId="278" priority="9" stopIfTrue="1" operator="containsText" text="ds">
      <formula>NOT(ISERROR(SEARCH("ds",A26)))</formula>
    </cfRule>
    <cfRule type="containsText" dxfId="277" priority="10" stopIfTrue="1" operator="containsText" text="subobs">
      <formula>NOT(ISERROR(SEARCH("subobs",A26)))</formula>
    </cfRule>
  </conditionalFormatting>
  <conditionalFormatting sqref="A26">
    <cfRule type="cellIs" dxfId="276" priority="8" stopIfTrue="1" operator="equal">
      <formula>"leave"</formula>
    </cfRule>
  </conditionalFormatting>
  <conditionalFormatting sqref="A26">
    <cfRule type="containsText" dxfId="275" priority="5" stopIfTrue="1" operator="containsText" text="go">
      <formula>NOT(ISERROR(SEARCH("go",A26)))</formula>
    </cfRule>
    <cfRule type="cellIs" dxfId="274" priority="6" operator="equal">
      <formula>"ps_cover"</formula>
    </cfRule>
  </conditionalFormatting>
  <conditionalFormatting sqref="A26">
    <cfRule type="containsText" dxfId="273" priority="3" operator="containsText" text="b1">
      <formula>NOT(ISERROR(SEARCH("b1",A26)))</formula>
    </cfRule>
  </conditionalFormatting>
  <conditionalFormatting sqref="BH26">
    <cfRule type="cellIs" dxfId="272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DS52"/>
  <sheetViews>
    <sheetView zoomScale="75" zoomScaleNormal="125" workbookViewId="0">
      <pane xSplit="1" topLeftCell="B1" activePane="topRight" state="frozen"/>
      <selection pane="topRight" activeCell="F8" sqref="F8"/>
    </sheetView>
  </sheetViews>
  <sheetFormatPr baseColWidth="10" defaultRowHeight="16" x14ac:dyDescent="0.2"/>
  <cols>
    <col min="1" max="1" width="19.83203125" customWidth="1"/>
    <col min="2" max="2" width="10.83203125" style="15" customWidth="1"/>
    <col min="3" max="7" width="10.83203125" customWidth="1"/>
    <col min="8" max="9" width="10.83203125" style="15" customWidth="1"/>
    <col min="10" max="14" width="10.83203125" customWidth="1"/>
    <col min="15" max="16" width="10.83203125" style="15" customWidth="1"/>
    <col min="17" max="21" width="10.83203125" customWidth="1"/>
    <col min="22" max="23" width="10.83203125" style="15" customWidth="1"/>
    <col min="24" max="28" width="10.83203125" customWidth="1"/>
    <col min="29" max="30" width="10.83203125" style="15" customWidth="1"/>
    <col min="31" max="31" width="10.83203125" customWidth="1"/>
  </cols>
  <sheetData>
    <row r="1" spans="1:123" x14ac:dyDescent="0.2">
      <c r="A1" s="14" t="s">
        <v>0</v>
      </c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74</v>
      </c>
      <c r="O1" s="25" t="s">
        <v>75</v>
      </c>
      <c r="P1" s="25" t="s">
        <v>76</v>
      </c>
      <c r="Q1" s="25" t="s">
        <v>77</v>
      </c>
      <c r="R1" s="25" t="s">
        <v>78</v>
      </c>
      <c r="S1" s="25" t="s">
        <v>79</v>
      </c>
      <c r="T1" s="24" t="s">
        <v>80</v>
      </c>
      <c r="U1" s="24" t="s">
        <v>81</v>
      </c>
      <c r="V1" s="25" t="s">
        <v>82</v>
      </c>
      <c r="W1" s="25" t="s">
        <v>83</v>
      </c>
      <c r="X1" s="25" t="s">
        <v>84</v>
      </c>
      <c r="Y1" s="25" t="s">
        <v>85</v>
      </c>
      <c r="Z1" s="25" t="s">
        <v>86</v>
      </c>
      <c r="AA1" s="24" t="s">
        <v>87</v>
      </c>
      <c r="AB1" s="24" t="s">
        <v>88</v>
      </c>
      <c r="AC1" s="25" t="s">
        <v>89</v>
      </c>
      <c r="AD1" t="s">
        <v>90</v>
      </c>
      <c r="AE1" t="s">
        <v>91</v>
      </c>
      <c r="AF1" s="16">
        <v>46032</v>
      </c>
      <c r="AG1" s="16">
        <v>46063</v>
      </c>
      <c r="AH1" s="30">
        <v>46091</v>
      </c>
      <c r="AI1" s="30">
        <v>46122</v>
      </c>
      <c r="AJ1" s="16">
        <v>46152</v>
      </c>
      <c r="AK1" s="16">
        <v>46183</v>
      </c>
      <c r="AL1" s="16">
        <v>46213</v>
      </c>
      <c r="AM1" s="16">
        <v>46244</v>
      </c>
      <c r="AN1" s="16">
        <v>46275</v>
      </c>
      <c r="AO1" s="30">
        <v>46305</v>
      </c>
      <c r="AP1" s="30">
        <v>46336</v>
      </c>
      <c r="AQ1" s="16">
        <v>46366</v>
      </c>
      <c r="AR1" t="s">
        <v>73</v>
      </c>
      <c r="AS1" t="s">
        <v>92</v>
      </c>
      <c r="AT1" t="s">
        <v>93</v>
      </c>
      <c r="AU1" t="s">
        <v>94</v>
      </c>
      <c r="AV1" s="15" t="s">
        <v>95</v>
      </c>
      <c r="AW1" s="15" t="s">
        <v>96</v>
      </c>
      <c r="AX1" t="s">
        <v>97</v>
      </c>
      <c r="AY1" t="s">
        <v>98</v>
      </c>
      <c r="AZ1" t="s">
        <v>99</v>
      </c>
      <c r="BA1" t="s">
        <v>100</v>
      </c>
      <c r="BB1" t="s">
        <v>101</v>
      </c>
      <c r="BC1" s="15" t="s">
        <v>102</v>
      </c>
      <c r="BD1" s="15" t="s">
        <v>103</v>
      </c>
      <c r="BE1" t="s">
        <v>104</v>
      </c>
      <c r="BF1" t="s">
        <v>105</v>
      </c>
      <c r="BG1" t="s">
        <v>106</v>
      </c>
      <c r="BH1" t="s">
        <v>72</v>
      </c>
      <c r="BI1" t="s">
        <v>71</v>
      </c>
      <c r="BJ1" s="15" t="s">
        <v>70</v>
      </c>
      <c r="BK1" s="30">
        <v>46033</v>
      </c>
      <c r="BL1" s="16">
        <v>46064</v>
      </c>
      <c r="BM1" s="16">
        <v>46092</v>
      </c>
      <c r="BN1" s="16">
        <v>46123</v>
      </c>
      <c r="BO1" s="16">
        <v>46153</v>
      </c>
      <c r="BP1" s="16">
        <v>46184</v>
      </c>
      <c r="BQ1" s="30">
        <v>46214</v>
      </c>
      <c r="BR1" s="30">
        <v>46245</v>
      </c>
      <c r="BS1" s="16">
        <v>46276</v>
      </c>
      <c r="BT1" s="16">
        <v>46306</v>
      </c>
      <c r="BU1" s="16">
        <v>46337</v>
      </c>
      <c r="BV1" s="16">
        <v>46367</v>
      </c>
      <c r="BW1" t="s">
        <v>25</v>
      </c>
      <c r="BX1" s="15" t="s">
        <v>26</v>
      </c>
      <c r="BY1" s="15" t="s">
        <v>27</v>
      </c>
      <c r="BZ1" t="s">
        <v>28</v>
      </c>
      <c r="CA1" t="s">
        <v>29</v>
      </c>
      <c r="CB1" t="s">
        <v>30</v>
      </c>
      <c r="CC1" t="s">
        <v>31</v>
      </c>
      <c r="CD1" t="s">
        <v>32</v>
      </c>
      <c r="CE1" s="15" t="s">
        <v>33</v>
      </c>
      <c r="CF1" s="15" t="s">
        <v>34</v>
      </c>
      <c r="CG1" t="s">
        <v>35</v>
      </c>
      <c r="CH1" t="s">
        <v>36</v>
      </c>
      <c r="CI1" t="s">
        <v>37</v>
      </c>
      <c r="CJ1" t="s">
        <v>38</v>
      </c>
      <c r="CK1" t="s">
        <v>39</v>
      </c>
      <c r="CL1" s="15" t="s">
        <v>40</v>
      </c>
      <c r="CM1" s="15" t="s">
        <v>41</v>
      </c>
      <c r="CN1" t="s">
        <v>42</v>
      </c>
      <c r="CO1" s="16">
        <v>46034</v>
      </c>
      <c r="CP1" s="16">
        <v>46065</v>
      </c>
      <c r="CQ1" s="16">
        <v>46093</v>
      </c>
      <c r="CR1" s="16">
        <v>46124</v>
      </c>
      <c r="CS1" s="30">
        <v>46154</v>
      </c>
      <c r="CT1" s="30">
        <v>46185</v>
      </c>
      <c r="CU1" s="16">
        <v>46215</v>
      </c>
      <c r="CV1" s="16">
        <v>46246</v>
      </c>
      <c r="CW1" s="16">
        <v>46277</v>
      </c>
      <c r="CX1" s="16">
        <v>46307</v>
      </c>
      <c r="CY1" s="16">
        <v>46338</v>
      </c>
      <c r="CZ1" s="30">
        <v>46368</v>
      </c>
      <c r="DA1" s="15" t="s">
        <v>107</v>
      </c>
      <c r="DB1" t="s">
        <v>108</v>
      </c>
      <c r="DC1" t="s">
        <v>109</v>
      </c>
      <c r="DD1" t="s">
        <v>110</v>
      </c>
      <c r="DE1" t="s">
        <v>111</v>
      </c>
      <c r="DF1" t="s">
        <v>112</v>
      </c>
      <c r="DG1" s="15" t="s">
        <v>113</v>
      </c>
      <c r="DH1" s="15" t="s">
        <v>114</v>
      </c>
      <c r="DI1" t="s">
        <v>115</v>
      </c>
      <c r="DJ1" t="s">
        <v>116</v>
      </c>
      <c r="DK1" t="s">
        <v>117</v>
      </c>
      <c r="DL1" t="s">
        <v>118</v>
      </c>
      <c r="DM1" t="s">
        <v>119</v>
      </c>
      <c r="DN1" s="15" t="s">
        <v>120</v>
      </c>
      <c r="DO1" s="15" t="s">
        <v>121</v>
      </c>
      <c r="DP1" t="s">
        <v>122</v>
      </c>
      <c r="DQ1" t="s">
        <v>123</v>
      </c>
      <c r="DR1" t="s">
        <v>124</v>
      </c>
      <c r="DS1" t="s">
        <v>125</v>
      </c>
    </row>
    <row r="2" spans="1:123" x14ac:dyDescent="0.2">
      <c r="A2" s="14" t="s">
        <v>49</v>
      </c>
      <c r="B2" s="25"/>
      <c r="C2" s="25"/>
      <c r="D2" s="25"/>
      <c r="E2" s="25"/>
      <c r="F2" s="24"/>
      <c r="G2" s="24"/>
      <c r="H2" s="25"/>
      <c r="I2" s="25"/>
      <c r="J2" s="25"/>
      <c r="K2" s="25"/>
      <c r="L2" s="25"/>
      <c r="M2" s="24"/>
      <c r="N2" s="24"/>
      <c r="O2" s="25"/>
      <c r="P2" s="25"/>
      <c r="Q2" s="25"/>
      <c r="R2" s="25"/>
      <c r="S2" s="25"/>
      <c r="T2" s="24"/>
      <c r="U2" s="24"/>
      <c r="V2" s="25"/>
      <c r="W2" s="25"/>
      <c r="X2" s="25"/>
      <c r="Y2" s="25"/>
      <c r="Z2" s="25"/>
      <c r="AA2" s="24"/>
      <c r="AB2" s="24"/>
      <c r="AC2" s="25"/>
      <c r="AD2"/>
      <c r="AF2" s="16"/>
      <c r="AG2" s="16"/>
      <c r="AH2" s="30"/>
      <c r="AI2" s="30"/>
      <c r="AJ2" s="16"/>
      <c r="AK2" s="16"/>
      <c r="AL2" s="16"/>
      <c r="AM2" s="16"/>
      <c r="AN2" s="16"/>
      <c r="AO2" s="30"/>
      <c r="AP2" s="30"/>
      <c r="AQ2" s="16"/>
      <c r="AV2" s="15"/>
      <c r="AW2" s="15"/>
      <c r="BC2" s="15"/>
      <c r="BD2" s="15"/>
      <c r="BJ2" s="15"/>
      <c r="BK2" s="30"/>
      <c r="BL2" s="16"/>
      <c r="BM2" s="16"/>
      <c r="BN2" s="16"/>
      <c r="BO2" s="16"/>
      <c r="BP2" s="16"/>
      <c r="BQ2" s="30"/>
      <c r="BR2" s="30"/>
      <c r="BS2" s="16"/>
      <c r="BT2" s="16"/>
      <c r="BU2" s="16" t="s">
        <v>44</v>
      </c>
      <c r="BV2" s="16" t="s">
        <v>44</v>
      </c>
      <c r="BW2" t="s">
        <v>44</v>
      </c>
      <c r="BX2" s="15"/>
      <c r="BY2" s="15"/>
      <c r="CE2" s="15"/>
      <c r="CF2" s="15"/>
      <c r="CL2" s="15"/>
      <c r="CM2" s="15"/>
      <c r="CO2" s="16"/>
      <c r="CP2" s="16"/>
      <c r="CQ2" s="16"/>
      <c r="CR2" s="16"/>
      <c r="CS2" s="30"/>
      <c r="CT2" s="30"/>
      <c r="CU2" s="16"/>
      <c r="CV2" s="16"/>
      <c r="CW2" s="16"/>
      <c r="CX2" s="16"/>
      <c r="CY2" s="16"/>
      <c r="CZ2" s="30"/>
      <c r="DA2" s="15"/>
      <c r="DG2" s="15"/>
      <c r="DH2" s="15"/>
      <c r="DN2" s="15"/>
      <c r="DO2" s="15"/>
    </row>
    <row r="3" spans="1:123" x14ac:dyDescent="0.2">
      <c r="A3" s="14" t="s">
        <v>50</v>
      </c>
      <c r="B3" s="25"/>
      <c r="C3" s="25"/>
      <c r="D3" s="25"/>
      <c r="E3" s="25"/>
      <c r="F3" s="24"/>
      <c r="G3" s="24"/>
      <c r="H3" s="25"/>
      <c r="I3" s="25"/>
      <c r="J3" s="25"/>
      <c r="K3" s="25"/>
      <c r="L3" s="25"/>
      <c r="M3" s="24"/>
      <c r="N3" s="24"/>
      <c r="O3" s="25"/>
      <c r="P3" s="25"/>
      <c r="Q3" s="25"/>
      <c r="R3" s="25"/>
      <c r="S3" s="25"/>
      <c r="T3" s="24"/>
      <c r="U3" s="24"/>
      <c r="V3" s="25"/>
      <c r="W3" s="25"/>
      <c r="X3" s="25"/>
      <c r="Y3" s="25"/>
      <c r="Z3" s="25"/>
      <c r="AA3" s="24"/>
      <c r="AB3" s="24"/>
      <c r="AC3" s="25"/>
      <c r="AD3"/>
      <c r="AF3" s="16"/>
      <c r="AG3" s="16"/>
      <c r="AH3" s="30"/>
      <c r="AI3" s="30"/>
      <c r="AJ3" s="16"/>
      <c r="AK3" s="16"/>
      <c r="AL3" s="16"/>
      <c r="AM3" s="16"/>
      <c r="AN3" s="16"/>
      <c r="AO3" s="30"/>
      <c r="AP3" s="30"/>
      <c r="AQ3" s="16"/>
      <c r="AV3" s="15"/>
      <c r="AW3" s="15"/>
      <c r="BC3" s="15"/>
      <c r="BD3" s="15"/>
      <c r="BJ3" s="15"/>
      <c r="BK3" s="30"/>
      <c r="BL3" s="16"/>
      <c r="BM3" s="16"/>
      <c r="BN3" s="16"/>
      <c r="BO3" s="16"/>
      <c r="BP3" s="16"/>
      <c r="BQ3" s="30"/>
      <c r="BR3" s="30"/>
      <c r="BS3" s="16"/>
      <c r="BT3" s="16"/>
      <c r="BU3" s="16"/>
      <c r="BV3" s="16"/>
      <c r="BX3" s="15"/>
      <c r="BY3" s="15"/>
      <c r="CE3" s="15"/>
      <c r="CF3" s="15"/>
      <c r="CL3" s="15"/>
      <c r="CM3" s="15"/>
      <c r="CO3" s="16"/>
      <c r="CP3" s="16"/>
      <c r="CQ3" s="16"/>
      <c r="CR3" s="16"/>
      <c r="CS3" s="30"/>
      <c r="CT3" s="30"/>
      <c r="CU3" s="16"/>
      <c r="CV3" s="16"/>
      <c r="CW3" s="16"/>
      <c r="CX3" s="16"/>
      <c r="CY3" s="16"/>
      <c r="CZ3" s="30"/>
      <c r="DA3" s="15"/>
      <c r="DG3" s="15"/>
      <c r="DH3" s="15"/>
      <c r="DN3" s="15"/>
      <c r="DO3" s="15"/>
    </row>
    <row r="4" spans="1:123" x14ac:dyDescent="0.2">
      <c r="A4" s="14" t="s">
        <v>51</v>
      </c>
      <c r="B4" s="25"/>
      <c r="C4" s="25"/>
      <c r="D4" s="25"/>
      <c r="E4" s="25"/>
      <c r="F4" s="24"/>
      <c r="G4" s="24"/>
      <c r="H4" s="25"/>
      <c r="I4" s="25"/>
      <c r="J4" s="25"/>
      <c r="K4" s="25"/>
      <c r="L4" s="25"/>
      <c r="M4" s="24"/>
      <c r="N4" s="24"/>
      <c r="O4" s="25"/>
      <c r="P4" s="25"/>
      <c r="Q4" s="25"/>
      <c r="R4" s="25"/>
      <c r="S4" s="25"/>
      <c r="T4" s="24"/>
      <c r="U4" s="24"/>
      <c r="V4" s="25"/>
      <c r="W4" s="25"/>
      <c r="X4" s="25"/>
      <c r="Y4" s="25"/>
      <c r="Z4" s="25"/>
      <c r="AA4" s="24"/>
      <c r="AB4" s="24"/>
      <c r="AC4" s="25"/>
      <c r="AD4"/>
      <c r="AF4" s="16"/>
      <c r="AG4" s="16"/>
      <c r="AH4" s="30"/>
      <c r="AI4" s="30"/>
      <c r="AJ4" s="16"/>
      <c r="AK4" s="16"/>
      <c r="AL4" s="16"/>
      <c r="AM4" s="16"/>
      <c r="AN4" s="16"/>
      <c r="AO4" s="30"/>
      <c r="AP4" s="30"/>
      <c r="AQ4" s="16"/>
      <c r="AV4" s="15"/>
      <c r="AW4" s="15"/>
      <c r="BC4" s="15"/>
      <c r="BD4" s="15"/>
      <c r="BJ4" s="15"/>
      <c r="BK4" s="30"/>
      <c r="BL4" s="16"/>
      <c r="BM4" s="16"/>
      <c r="BN4" s="16"/>
      <c r="BO4" s="16"/>
      <c r="BP4" s="16"/>
      <c r="BQ4" s="30" t="s">
        <v>43</v>
      </c>
      <c r="BR4" s="30"/>
      <c r="BS4" s="16"/>
      <c r="BT4" s="16"/>
      <c r="BU4" s="16"/>
      <c r="BV4" s="16"/>
      <c r="BX4" s="15"/>
      <c r="BY4" s="15"/>
      <c r="CE4" s="15"/>
      <c r="CF4" s="15"/>
      <c r="CG4" t="s">
        <v>44</v>
      </c>
      <c r="CH4" t="s">
        <v>44</v>
      </c>
      <c r="CI4" t="s">
        <v>44</v>
      </c>
      <c r="CJ4" t="s">
        <v>44</v>
      </c>
      <c r="CK4" t="s">
        <v>44</v>
      </c>
      <c r="CL4" s="15"/>
      <c r="CM4" s="15"/>
      <c r="CO4" s="16"/>
      <c r="CP4" s="16"/>
      <c r="CQ4" s="16"/>
      <c r="CR4" s="16"/>
      <c r="CS4" s="30"/>
      <c r="CT4" s="30"/>
      <c r="CU4" s="16"/>
      <c r="CV4" s="16"/>
      <c r="CW4" s="16"/>
      <c r="CX4" s="16"/>
      <c r="CY4" s="16"/>
      <c r="CZ4" s="30"/>
      <c r="DA4" s="15"/>
      <c r="DG4" s="15"/>
      <c r="DH4" s="15"/>
      <c r="DN4" s="15"/>
      <c r="DO4" s="15"/>
    </row>
    <row r="5" spans="1:123" x14ac:dyDescent="0.2">
      <c r="A5" s="14" t="s">
        <v>52</v>
      </c>
      <c r="B5" s="25"/>
      <c r="C5" s="25"/>
      <c r="D5" s="25"/>
      <c r="E5" s="25"/>
      <c r="F5" s="24"/>
      <c r="G5" s="24"/>
      <c r="H5" s="25"/>
      <c r="I5" s="25"/>
      <c r="J5" s="25"/>
      <c r="K5" s="25"/>
      <c r="L5" s="25"/>
      <c r="M5" s="24"/>
      <c r="N5" s="24"/>
      <c r="O5" s="25"/>
      <c r="P5" s="25"/>
      <c r="Q5" s="25"/>
      <c r="R5" s="25"/>
      <c r="S5" s="25"/>
      <c r="T5" s="24"/>
      <c r="U5" s="24"/>
      <c r="V5" s="25"/>
      <c r="W5" s="25"/>
      <c r="X5" s="25"/>
      <c r="Y5" s="25"/>
      <c r="Z5" s="25"/>
      <c r="AA5" s="24"/>
      <c r="AB5" s="24"/>
      <c r="AC5" s="25"/>
      <c r="AD5"/>
      <c r="AF5" s="16"/>
      <c r="AG5" s="16"/>
      <c r="AH5" s="30"/>
      <c r="AI5" s="30"/>
      <c r="AJ5" s="16"/>
      <c r="AK5" s="16"/>
      <c r="AL5" s="16"/>
      <c r="AM5" s="16"/>
      <c r="AN5" s="16"/>
      <c r="AO5" s="30"/>
      <c r="AP5" s="30"/>
      <c r="AQ5" s="16"/>
      <c r="AV5" s="15"/>
      <c r="AW5" s="15"/>
      <c r="BC5" s="15"/>
      <c r="BD5" s="15"/>
      <c r="BJ5" s="15"/>
      <c r="BK5" s="30"/>
      <c r="BL5" s="16" t="s">
        <v>44</v>
      </c>
      <c r="BM5" s="16" t="s">
        <v>44</v>
      </c>
      <c r="BN5" s="16" t="s">
        <v>44</v>
      </c>
      <c r="BO5" s="16" t="s">
        <v>44</v>
      </c>
      <c r="BP5" s="16"/>
      <c r="BQ5" s="30"/>
      <c r="BR5" s="30"/>
      <c r="BS5" s="16"/>
      <c r="BT5" s="16"/>
      <c r="BU5" s="16"/>
      <c r="BV5" s="16"/>
      <c r="BX5" s="15"/>
      <c r="BY5" s="15"/>
      <c r="CE5" s="15"/>
      <c r="CF5" s="15"/>
      <c r="CL5" s="15"/>
      <c r="CM5" s="15"/>
      <c r="CO5" s="16"/>
      <c r="CP5" s="16"/>
      <c r="CQ5" s="16"/>
      <c r="CR5" s="16"/>
      <c r="CS5" s="30"/>
      <c r="CT5" s="30"/>
      <c r="CU5" s="16"/>
      <c r="CV5" s="16"/>
      <c r="CW5" s="16"/>
      <c r="CX5" s="16"/>
      <c r="CY5" s="16"/>
      <c r="CZ5" s="30"/>
      <c r="DA5" s="15"/>
      <c r="DG5" s="15"/>
      <c r="DH5" s="15"/>
      <c r="DN5" s="15"/>
      <c r="DO5" s="15"/>
    </row>
    <row r="6" spans="1:123" x14ac:dyDescent="0.2">
      <c r="A6" s="14" t="s">
        <v>53</v>
      </c>
      <c r="B6" s="25"/>
      <c r="C6" s="25"/>
      <c r="D6" s="25"/>
      <c r="E6" s="25"/>
      <c r="F6" s="24"/>
      <c r="G6" s="24"/>
      <c r="H6" s="25"/>
      <c r="I6" s="25"/>
      <c r="J6" s="25"/>
      <c r="K6" s="25"/>
      <c r="L6" s="25"/>
      <c r="M6" s="24"/>
      <c r="N6" s="24"/>
      <c r="O6" s="25"/>
      <c r="P6" s="25"/>
      <c r="Q6" s="25"/>
      <c r="R6" s="25"/>
      <c r="S6" s="25"/>
      <c r="T6" s="24"/>
      <c r="U6" s="24"/>
      <c r="V6" s="25"/>
      <c r="W6" s="25"/>
      <c r="X6" s="25"/>
      <c r="Y6" s="25"/>
      <c r="Z6" s="25"/>
      <c r="AA6" s="24"/>
      <c r="AB6" s="24"/>
      <c r="AC6" s="25"/>
      <c r="AD6"/>
      <c r="AF6" s="16"/>
      <c r="AG6" s="16"/>
      <c r="AH6" s="30"/>
      <c r="AI6" s="30"/>
      <c r="AJ6" s="16"/>
      <c r="AK6" s="16"/>
      <c r="AL6" s="16"/>
      <c r="AM6" s="16"/>
      <c r="AN6" s="16"/>
      <c r="AO6" s="30"/>
      <c r="AP6" s="30"/>
      <c r="AQ6" s="16"/>
      <c r="AV6" s="15"/>
      <c r="AW6" s="15"/>
      <c r="BC6" s="15"/>
      <c r="BD6" s="15"/>
      <c r="BJ6" s="15"/>
      <c r="BK6" s="30"/>
      <c r="BL6" s="16"/>
      <c r="BM6" s="16"/>
      <c r="BN6" s="16"/>
      <c r="BO6" s="16"/>
      <c r="BP6" s="16"/>
      <c r="BQ6" s="30"/>
      <c r="BR6" s="30"/>
      <c r="BS6" s="16"/>
      <c r="BT6" s="16"/>
      <c r="BU6" s="16"/>
      <c r="BV6" s="16"/>
      <c r="BX6" s="15"/>
      <c r="BY6" s="15"/>
      <c r="BZ6" t="s">
        <v>44</v>
      </c>
      <c r="CA6" t="s">
        <v>44</v>
      </c>
      <c r="CB6" t="s">
        <v>44</v>
      </c>
      <c r="CC6" t="s">
        <v>44</v>
      </c>
      <c r="CD6" t="s">
        <v>44</v>
      </c>
      <c r="CE6" s="15"/>
      <c r="CF6" s="15"/>
      <c r="CL6" s="15"/>
      <c r="CM6" s="15"/>
      <c r="CO6" s="16"/>
      <c r="CP6" s="16"/>
      <c r="CQ6" s="16"/>
      <c r="CR6" s="16"/>
      <c r="CS6" s="30"/>
      <c r="CT6" s="30"/>
      <c r="CU6" s="16"/>
      <c r="CV6" s="16"/>
      <c r="CW6" s="16"/>
      <c r="CX6" s="16"/>
      <c r="CY6" s="16"/>
      <c r="CZ6" s="30"/>
      <c r="DA6" s="15"/>
      <c r="DG6" s="15"/>
      <c r="DH6" s="15"/>
      <c r="DN6" s="15"/>
      <c r="DO6" s="15"/>
    </row>
    <row r="7" spans="1:123" x14ac:dyDescent="0.2">
      <c r="A7" s="14" t="s">
        <v>54</v>
      </c>
      <c r="B7" s="25"/>
      <c r="C7" s="25"/>
      <c r="D7" s="25"/>
      <c r="E7" s="25"/>
      <c r="F7" s="24"/>
      <c r="G7" s="24"/>
      <c r="H7" s="25"/>
      <c r="I7" s="25"/>
      <c r="J7" s="25"/>
      <c r="K7" s="25"/>
      <c r="L7" s="25"/>
      <c r="M7" s="24"/>
      <c r="N7" s="24"/>
      <c r="O7" s="25"/>
      <c r="P7" s="25"/>
      <c r="Q7" s="25"/>
      <c r="R7" s="25"/>
      <c r="S7" s="25"/>
      <c r="T7" s="24"/>
      <c r="U7" s="24"/>
      <c r="V7" s="25"/>
      <c r="W7" s="25"/>
      <c r="X7" s="25"/>
      <c r="Y7" s="25"/>
      <c r="Z7" s="25"/>
      <c r="AA7" s="24"/>
      <c r="AB7" s="24"/>
      <c r="AC7" s="25"/>
      <c r="AD7"/>
      <c r="AF7" s="16"/>
      <c r="AG7" s="16"/>
      <c r="AH7" s="30"/>
      <c r="AI7" s="30"/>
      <c r="AJ7" s="16"/>
      <c r="AK7" s="16"/>
      <c r="AL7" s="16"/>
      <c r="AM7" s="16"/>
      <c r="AN7" s="16"/>
      <c r="AO7" s="30"/>
      <c r="AP7" s="30"/>
      <c r="AQ7" s="16"/>
      <c r="AV7" s="15"/>
      <c r="AW7" s="15"/>
      <c r="BC7" s="15"/>
      <c r="BD7" s="15"/>
      <c r="BJ7" s="15"/>
      <c r="BK7" s="30"/>
      <c r="BL7" s="16"/>
      <c r="BM7" s="16"/>
      <c r="BN7" s="16"/>
      <c r="BO7" s="16"/>
      <c r="BP7" s="16" t="s">
        <v>44</v>
      </c>
      <c r="BQ7" s="30"/>
      <c r="BR7" s="30"/>
      <c r="BS7" s="16"/>
      <c r="BT7" s="16"/>
      <c r="BU7" s="16"/>
      <c r="BV7" s="16"/>
      <c r="BX7" s="15"/>
      <c r="BY7" s="15"/>
      <c r="CE7" s="15"/>
      <c r="CF7" s="15"/>
      <c r="CL7" s="15"/>
      <c r="CM7" s="15"/>
      <c r="CO7" s="16"/>
      <c r="CP7" s="16"/>
      <c r="CQ7" s="16"/>
      <c r="CR7" s="16"/>
      <c r="CS7" s="30"/>
      <c r="CT7" s="30"/>
      <c r="CU7" s="16"/>
      <c r="CV7" s="16"/>
      <c r="CW7" s="16"/>
      <c r="CX7" s="16"/>
      <c r="CY7" s="16"/>
      <c r="CZ7" s="30"/>
      <c r="DA7" s="15"/>
      <c r="DG7" s="15"/>
      <c r="DH7" s="15"/>
      <c r="DN7" s="15"/>
      <c r="DO7" s="15"/>
    </row>
    <row r="8" spans="1:123" x14ac:dyDescent="0.2">
      <c r="A8" s="14" t="s">
        <v>55</v>
      </c>
      <c r="B8" s="25"/>
      <c r="C8" s="25"/>
      <c r="D8" s="25"/>
      <c r="E8" s="25"/>
      <c r="F8" s="24"/>
      <c r="G8" s="24"/>
      <c r="H8" s="25"/>
      <c r="I8" s="25"/>
      <c r="J8" s="25"/>
      <c r="K8" s="25"/>
      <c r="L8" s="25"/>
      <c r="M8" s="24"/>
      <c r="N8" s="24"/>
      <c r="O8" s="25"/>
      <c r="P8" s="25"/>
      <c r="Q8" s="25"/>
      <c r="R8" s="25"/>
      <c r="S8" s="25"/>
      <c r="T8" s="24"/>
      <c r="U8" s="24"/>
      <c r="V8" s="25"/>
      <c r="W8" s="25"/>
      <c r="X8" s="25"/>
      <c r="Y8" s="25"/>
      <c r="Z8" s="25"/>
      <c r="AA8" s="24"/>
      <c r="AB8" s="24"/>
      <c r="AC8" s="25"/>
      <c r="AD8"/>
      <c r="AF8" s="16"/>
      <c r="AG8" s="16"/>
      <c r="AH8" s="30"/>
      <c r="AI8" s="30"/>
      <c r="AJ8" s="16"/>
      <c r="AK8" s="16"/>
      <c r="AL8" s="16"/>
      <c r="AM8" s="16"/>
      <c r="AN8" s="16"/>
      <c r="AO8" s="30"/>
      <c r="AP8" s="30"/>
      <c r="AQ8" s="16"/>
      <c r="AV8" s="15"/>
      <c r="AW8" s="15"/>
      <c r="BC8" s="15"/>
      <c r="BD8" s="15"/>
      <c r="BJ8" s="15"/>
      <c r="BK8" s="30"/>
      <c r="BL8" s="16"/>
      <c r="BM8" s="16"/>
      <c r="BN8" s="16"/>
      <c r="BO8" s="16"/>
      <c r="BP8" s="16"/>
      <c r="BQ8" s="30" t="s">
        <v>43</v>
      </c>
      <c r="BR8" s="30" t="s">
        <v>43</v>
      </c>
      <c r="BS8" s="16"/>
      <c r="BT8" s="16" t="s">
        <v>44</v>
      </c>
      <c r="BU8" s="16" t="s">
        <v>44</v>
      </c>
      <c r="BV8" s="16"/>
      <c r="BX8" s="15"/>
      <c r="BY8" s="15"/>
      <c r="CE8" s="15"/>
      <c r="CF8" s="15"/>
      <c r="CJ8" t="s">
        <v>44</v>
      </c>
      <c r="CK8" t="s">
        <v>44</v>
      </c>
      <c r="CL8" s="15"/>
      <c r="CM8" s="15"/>
      <c r="CN8" t="s">
        <v>44</v>
      </c>
      <c r="CO8" s="16"/>
      <c r="CP8" s="16"/>
      <c r="CQ8" s="16"/>
      <c r="CR8" s="16"/>
      <c r="CS8" s="30"/>
      <c r="CT8" s="30"/>
      <c r="CU8" s="16"/>
      <c r="CV8" s="16"/>
      <c r="CW8" s="16"/>
      <c r="CX8" s="16"/>
      <c r="CY8" s="16"/>
      <c r="CZ8" s="30"/>
      <c r="DA8" s="15"/>
      <c r="DG8" s="15"/>
      <c r="DH8" s="15"/>
      <c r="DN8" s="15"/>
      <c r="DO8" s="15"/>
    </row>
    <row r="9" spans="1:123" x14ac:dyDescent="0.2">
      <c r="A9" s="14" t="s">
        <v>56</v>
      </c>
      <c r="B9" s="25"/>
      <c r="C9" s="25"/>
      <c r="D9" s="25"/>
      <c r="E9" s="25"/>
      <c r="F9" s="24"/>
      <c r="G9" s="24"/>
      <c r="H9" s="25"/>
      <c r="I9" s="25"/>
      <c r="J9" s="25"/>
      <c r="K9" s="25"/>
      <c r="L9" s="25"/>
      <c r="M9" s="24"/>
      <c r="N9" s="24"/>
      <c r="O9" s="25"/>
      <c r="P9" s="25"/>
      <c r="Q9" s="25"/>
      <c r="R9" s="25"/>
      <c r="S9" s="25"/>
      <c r="T9" s="24"/>
      <c r="U9" s="24"/>
      <c r="V9" s="25"/>
      <c r="W9" s="25"/>
      <c r="X9" s="25"/>
      <c r="Y9" s="25"/>
      <c r="Z9" s="25"/>
      <c r="AA9" s="24"/>
      <c r="AB9" s="24"/>
      <c r="AC9" s="25"/>
      <c r="AD9"/>
      <c r="AF9" s="16"/>
      <c r="AG9" s="16"/>
      <c r="AH9" s="30"/>
      <c r="AI9" s="30"/>
      <c r="AJ9" s="16"/>
      <c r="AK9" s="16"/>
      <c r="AL9" s="16"/>
      <c r="AM9" s="16"/>
      <c r="AN9" s="16"/>
      <c r="AO9" s="30"/>
      <c r="AP9" s="30"/>
      <c r="AQ9" s="16"/>
      <c r="AV9" s="15"/>
      <c r="AW9" s="15"/>
      <c r="BC9" s="15"/>
      <c r="BD9" s="15"/>
      <c r="BJ9" s="15"/>
      <c r="BK9" s="30"/>
      <c r="BL9" s="16"/>
      <c r="BM9" s="16"/>
      <c r="BN9" s="16"/>
      <c r="BO9" s="16"/>
      <c r="BP9" s="16"/>
      <c r="BQ9" s="30"/>
      <c r="BR9" s="30"/>
      <c r="BS9" s="16"/>
      <c r="BT9" s="16"/>
      <c r="BU9" s="16"/>
      <c r="BV9" s="16"/>
      <c r="BX9" s="15" t="s">
        <v>43</v>
      </c>
      <c r="BY9" s="15" t="s">
        <v>43</v>
      </c>
      <c r="BZ9" t="s">
        <v>43</v>
      </c>
      <c r="CE9" s="15"/>
      <c r="CF9" s="15"/>
      <c r="CI9" t="s">
        <v>44</v>
      </c>
      <c r="CL9" s="15"/>
      <c r="CM9" s="15"/>
      <c r="CO9" s="16"/>
      <c r="CP9" s="16"/>
      <c r="CQ9" s="16"/>
      <c r="CR9" s="16"/>
      <c r="CS9" s="30"/>
      <c r="CT9" s="30"/>
      <c r="CU9" s="16"/>
      <c r="CV9" s="16"/>
      <c r="CW9" s="16"/>
      <c r="CX9" s="16"/>
      <c r="CY9" s="16"/>
      <c r="CZ9" s="30"/>
      <c r="DA9" s="15"/>
      <c r="DG9" s="15"/>
      <c r="DH9" s="15"/>
      <c r="DN9" s="15"/>
      <c r="DO9" s="15"/>
    </row>
    <row r="10" spans="1:123" x14ac:dyDescent="0.2">
      <c r="A10" s="14" t="s">
        <v>57</v>
      </c>
      <c r="B10" s="25"/>
      <c r="C10" s="25"/>
      <c r="D10" s="25"/>
      <c r="E10" s="25"/>
      <c r="F10" s="24"/>
      <c r="G10" s="24"/>
      <c r="H10" s="25"/>
      <c r="I10" s="25"/>
      <c r="J10" s="25"/>
      <c r="K10" s="25"/>
      <c r="L10" s="25"/>
      <c r="M10" s="24"/>
      <c r="N10" s="24"/>
      <c r="O10" s="25"/>
      <c r="P10" s="25"/>
      <c r="Q10" s="25"/>
      <c r="R10" s="25"/>
      <c r="S10" s="25"/>
      <c r="T10" s="24"/>
      <c r="U10" s="24"/>
      <c r="V10" s="25"/>
      <c r="W10" s="25"/>
      <c r="X10" s="25"/>
      <c r="Y10" s="25"/>
      <c r="Z10" s="25"/>
      <c r="AA10" s="24"/>
      <c r="AB10" s="24"/>
      <c r="AC10" s="25"/>
      <c r="AD10"/>
      <c r="AF10" s="16"/>
      <c r="AG10" s="16"/>
      <c r="AH10" s="30"/>
      <c r="AI10" s="30"/>
      <c r="AJ10" s="16"/>
      <c r="AK10" s="16"/>
      <c r="AL10" s="16"/>
      <c r="AM10" s="16"/>
      <c r="AN10" s="16"/>
      <c r="AO10" s="30"/>
      <c r="AP10" s="30"/>
      <c r="AQ10" s="16"/>
      <c r="AV10" s="15"/>
      <c r="AW10" s="15"/>
      <c r="BC10" s="15"/>
      <c r="BD10" s="15"/>
      <c r="BJ10" s="15"/>
      <c r="BK10" s="30"/>
      <c r="BL10" s="16"/>
      <c r="BM10" s="16"/>
      <c r="BN10" s="16"/>
      <c r="BO10" s="16"/>
      <c r="BP10" s="16"/>
      <c r="BQ10" s="30"/>
      <c r="BR10" s="30"/>
      <c r="BS10" s="16"/>
      <c r="BT10" s="16"/>
      <c r="BU10" s="16"/>
      <c r="BV10" s="16"/>
      <c r="BX10" s="15"/>
      <c r="BY10" s="15"/>
      <c r="CE10" s="15"/>
      <c r="CF10" s="15"/>
      <c r="CL10" s="15"/>
      <c r="CM10" s="15"/>
      <c r="CO10" s="16"/>
      <c r="CP10" s="16"/>
      <c r="CQ10" s="16"/>
      <c r="CR10" s="16"/>
      <c r="CS10" s="30"/>
      <c r="CT10" s="30"/>
      <c r="CU10" s="16"/>
      <c r="CV10" s="16"/>
      <c r="CW10" s="16"/>
      <c r="CX10" s="16"/>
      <c r="CY10" s="16"/>
      <c r="CZ10" s="30"/>
      <c r="DA10" s="15"/>
      <c r="DG10" s="15"/>
      <c r="DH10" s="15"/>
      <c r="DN10" s="15"/>
      <c r="DO10" s="15"/>
    </row>
    <row r="11" spans="1:123" x14ac:dyDescent="0.2">
      <c r="A11" s="14" t="s">
        <v>58</v>
      </c>
      <c r="B11" s="25"/>
      <c r="C11" s="25"/>
      <c r="D11" s="25"/>
      <c r="E11" s="25"/>
      <c r="F11" s="24"/>
      <c r="G11" s="24"/>
      <c r="H11" s="25"/>
      <c r="I11" s="25"/>
      <c r="J11" s="25"/>
      <c r="K11" s="25"/>
      <c r="L11" s="25"/>
      <c r="M11" s="24"/>
      <c r="N11" s="24"/>
      <c r="O11" s="25"/>
      <c r="P11" s="25"/>
      <c r="Q11" s="25"/>
      <c r="R11" s="25"/>
      <c r="S11" s="25"/>
      <c r="T11" s="24"/>
      <c r="U11" s="24"/>
      <c r="V11" s="25"/>
      <c r="W11" s="25"/>
      <c r="X11" s="25"/>
      <c r="Y11" s="25"/>
      <c r="Z11" s="25"/>
      <c r="AA11" s="24"/>
      <c r="AB11" s="24"/>
      <c r="AC11" s="25"/>
      <c r="AD11"/>
      <c r="AF11" s="16"/>
      <c r="AG11" s="16"/>
      <c r="AH11" s="30"/>
      <c r="AI11" s="30"/>
      <c r="AJ11" s="16"/>
      <c r="AK11" s="16"/>
      <c r="AL11" s="16"/>
      <c r="AM11" s="16"/>
      <c r="AN11" s="16"/>
      <c r="AO11" s="30"/>
      <c r="AP11" s="30"/>
      <c r="AQ11" s="16"/>
      <c r="AV11" s="15"/>
      <c r="AW11" s="15"/>
      <c r="BC11" s="15"/>
      <c r="BD11" s="15"/>
      <c r="BJ11" s="15"/>
      <c r="BK11" s="30" t="s">
        <v>43</v>
      </c>
      <c r="BL11" s="16"/>
      <c r="BM11" s="16"/>
      <c r="BN11" s="16"/>
      <c r="BO11" s="16"/>
      <c r="BP11" s="16"/>
      <c r="BQ11" s="30"/>
      <c r="BR11" s="30"/>
      <c r="BS11" s="16"/>
      <c r="BT11" s="16"/>
      <c r="BU11" s="16"/>
      <c r="BV11" s="16"/>
      <c r="BX11" s="15"/>
      <c r="BY11" s="15"/>
      <c r="CC11" t="s">
        <v>44</v>
      </c>
      <c r="CD11" t="s">
        <v>44</v>
      </c>
      <c r="CE11" s="15"/>
      <c r="CF11" s="15"/>
      <c r="CG11" t="s">
        <v>44</v>
      </c>
      <c r="CL11" s="15"/>
      <c r="CM11" s="15"/>
      <c r="CO11" s="16"/>
      <c r="CP11" s="16"/>
      <c r="CQ11" s="16"/>
      <c r="CR11" s="16"/>
      <c r="CS11" s="30"/>
      <c r="CT11" s="30"/>
      <c r="CU11" s="16"/>
      <c r="CV11" s="16"/>
      <c r="CW11" s="16"/>
      <c r="CX11" s="16"/>
      <c r="CY11" s="16"/>
      <c r="CZ11" s="30"/>
      <c r="DA11" s="15"/>
      <c r="DG11" s="15"/>
      <c r="DH11" s="15"/>
      <c r="DN11" s="15"/>
      <c r="DO11" s="15"/>
    </row>
    <row r="12" spans="1:123" x14ac:dyDescent="0.2">
      <c r="A12" s="14" t="s">
        <v>59</v>
      </c>
      <c r="B12" s="25"/>
      <c r="C12" s="25"/>
      <c r="D12" s="25"/>
      <c r="E12" s="25"/>
      <c r="F12" s="24"/>
      <c r="G12" s="24"/>
      <c r="H12" s="25"/>
      <c r="I12" s="25"/>
      <c r="J12" s="25"/>
      <c r="K12" s="25"/>
      <c r="L12" s="25"/>
      <c r="M12" s="24"/>
      <c r="N12" s="24"/>
      <c r="O12" s="25"/>
      <c r="P12" s="25"/>
      <c r="Q12" s="25"/>
      <c r="R12" s="25"/>
      <c r="S12" s="25"/>
      <c r="T12" s="24"/>
      <c r="U12" s="24"/>
      <c r="V12" s="25"/>
      <c r="W12" s="25"/>
      <c r="X12" s="25"/>
      <c r="Y12" s="25"/>
      <c r="Z12" s="25"/>
      <c r="AA12" s="24"/>
      <c r="AB12" s="24"/>
      <c r="AC12" s="25"/>
      <c r="AD12"/>
      <c r="AF12" s="16"/>
      <c r="AG12" s="16"/>
      <c r="AH12" s="30"/>
      <c r="AI12" s="30"/>
      <c r="AJ12" s="16"/>
      <c r="AK12" s="16"/>
      <c r="AL12" s="16"/>
      <c r="AM12" s="16"/>
      <c r="AN12" s="16"/>
      <c r="AO12" s="30"/>
      <c r="AP12" s="30"/>
      <c r="AQ12" s="16"/>
      <c r="AV12" s="15"/>
      <c r="AW12" s="15"/>
      <c r="BC12" s="15"/>
      <c r="BD12" s="15"/>
      <c r="BJ12" s="15"/>
      <c r="BK12" s="30"/>
      <c r="BL12" s="16"/>
      <c r="BM12" s="16"/>
      <c r="BN12" s="16"/>
      <c r="BO12" s="16"/>
      <c r="BP12" s="16"/>
      <c r="BQ12" s="30"/>
      <c r="BR12" s="30"/>
      <c r="BS12" s="16"/>
      <c r="BT12" s="16"/>
      <c r="BU12" s="16"/>
      <c r="BV12" s="16"/>
      <c r="BX12" s="15"/>
      <c r="BY12" s="15"/>
      <c r="CE12" s="15"/>
      <c r="CF12" s="15"/>
      <c r="CL12" s="15"/>
      <c r="CM12" s="15"/>
      <c r="CO12" s="16"/>
      <c r="CP12" s="16"/>
      <c r="CQ12" s="16"/>
      <c r="CR12" s="16"/>
      <c r="CS12" s="30"/>
      <c r="CT12" s="30"/>
      <c r="CU12" s="16"/>
      <c r="CV12" s="16"/>
      <c r="CW12" s="16"/>
      <c r="CX12" s="16"/>
      <c r="CY12" s="16"/>
      <c r="CZ12" s="30"/>
      <c r="DA12" s="15"/>
      <c r="DG12" s="15"/>
      <c r="DH12" s="15"/>
      <c r="DN12" s="15"/>
      <c r="DO12" s="15"/>
    </row>
    <row r="13" spans="1:123" s="29" customFormat="1" x14ac:dyDescent="0.2"/>
    <row r="14" spans="1:123" s="29" customFormat="1" x14ac:dyDescent="0.2"/>
    <row r="15" spans="1:123" s="29" customFormat="1" x14ac:dyDescent="0.2"/>
    <row r="16" spans="1:123" s="29" customFormat="1" x14ac:dyDescent="0.2"/>
    <row r="17" s="29" customFormat="1" x14ac:dyDescent="0.2"/>
    <row r="18" s="29" customFormat="1" x14ac:dyDescent="0.2"/>
    <row r="19" s="29" customFormat="1" x14ac:dyDescent="0.2"/>
    <row r="20" s="29" customFormat="1" x14ac:dyDescent="0.2"/>
    <row r="21" s="29" customFormat="1" x14ac:dyDescent="0.2"/>
    <row r="22" s="29" customFormat="1" x14ac:dyDescent="0.2"/>
    <row r="23" s="29" customFormat="1" x14ac:dyDescent="0.2"/>
    <row r="24" s="29" customFormat="1" x14ac:dyDescent="0.2"/>
    <row r="25" s="29" customFormat="1" x14ac:dyDescent="0.2"/>
    <row r="26" s="29" customFormat="1" x14ac:dyDescent="0.2"/>
    <row r="27" s="29" customFormat="1" x14ac:dyDescent="0.2"/>
    <row r="28" s="29" customFormat="1" x14ac:dyDescent="0.2"/>
    <row r="29" s="29" customFormat="1" x14ac:dyDescent="0.2"/>
    <row r="30" s="29" customFormat="1" x14ac:dyDescent="0.2"/>
    <row r="31" s="29" customFormat="1" x14ac:dyDescent="0.2"/>
    <row r="32" s="29" customFormat="1" x14ac:dyDescent="0.2"/>
    <row r="33" s="29" customFormat="1" x14ac:dyDescent="0.2"/>
    <row r="34" s="29" customFormat="1" x14ac:dyDescent="0.2"/>
    <row r="35" s="29" customFormat="1" x14ac:dyDescent="0.2"/>
    <row r="36" s="29" customFormat="1" x14ac:dyDescent="0.2"/>
    <row r="37" s="29" customFormat="1" x14ac:dyDescent="0.2"/>
    <row r="38" s="29" customFormat="1" x14ac:dyDescent="0.2"/>
    <row r="39" s="29" customFormat="1" x14ac:dyDescent="0.2"/>
    <row r="40" s="29" customFormat="1" x14ac:dyDescent="0.2"/>
    <row r="41" s="29" customFormat="1" x14ac:dyDescent="0.2"/>
    <row r="42" s="29" customFormat="1" x14ac:dyDescent="0.2"/>
    <row r="43" s="29" customFormat="1" x14ac:dyDescent="0.2"/>
    <row r="44" s="29" customFormat="1" x14ac:dyDescent="0.2"/>
    <row r="45" s="29" customFormat="1" x14ac:dyDescent="0.2"/>
    <row r="46" s="29" customFormat="1" x14ac:dyDescent="0.2"/>
    <row r="47" s="29" customFormat="1" x14ac:dyDescent="0.2"/>
    <row r="48" s="29" customFormat="1" x14ac:dyDescent="0.2"/>
    <row r="49" s="29" customFormat="1" x14ac:dyDescent="0.2"/>
    <row r="50" s="29" customFormat="1" x14ac:dyDescent="0.2"/>
    <row r="51" s="29" customFormat="1" x14ac:dyDescent="0.2"/>
    <row r="52" s="29" customFormat="1" x14ac:dyDescent="0.2"/>
  </sheetData>
  <conditionalFormatting sqref="BK2:CN11">
    <cfRule type="cellIs" dxfId="45" priority="5" operator="equal">
      <formula>"B"</formula>
    </cfRule>
    <cfRule type="cellIs" dxfId="44" priority="6" operator="equal">
      <formula>"L"</formula>
    </cfRule>
  </conditionalFormatting>
  <conditionalFormatting sqref="B1:AC12">
    <cfRule type="cellIs" dxfId="43" priority="1" operator="equal">
      <formula>"B"</formula>
    </cfRule>
    <cfRule type="cellIs" dxfId="42" priority="2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9"/>
  <sheetViews>
    <sheetView zoomScale="186" workbookViewId="0">
      <selection activeCell="J3" sqref="J3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63</v>
      </c>
      <c r="B1" t="s">
        <v>60</v>
      </c>
      <c r="C1" t="s">
        <v>61</v>
      </c>
      <c r="D1" t="s">
        <v>62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</row>
    <row r="2" spans="1:10" x14ac:dyDescent="0.2">
      <c r="A2" s="14" t="s">
        <v>10</v>
      </c>
      <c r="B2">
        <v>15</v>
      </c>
      <c r="C2">
        <v>2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13</v>
      </c>
      <c r="B3">
        <v>10</v>
      </c>
      <c r="C3">
        <v>1</v>
      </c>
      <c r="D3">
        <v>0</v>
      </c>
    </row>
    <row r="4" spans="1:10" x14ac:dyDescent="0.2">
      <c r="A4" s="14" t="s">
        <v>12</v>
      </c>
      <c r="B4">
        <v>2</v>
      </c>
      <c r="C4">
        <v>2</v>
      </c>
      <c r="D4">
        <v>0</v>
      </c>
    </row>
    <row r="5" spans="1:10" x14ac:dyDescent="0.2">
      <c r="A5" s="14" t="s">
        <v>14</v>
      </c>
      <c r="B5">
        <v>0</v>
      </c>
      <c r="C5">
        <v>1</v>
      </c>
      <c r="D5">
        <v>0</v>
      </c>
    </row>
    <row r="6" spans="1:10" x14ac:dyDescent="0.2">
      <c r="A6" s="14" t="s">
        <v>11</v>
      </c>
      <c r="B6">
        <v>0</v>
      </c>
      <c r="C6">
        <v>1</v>
      </c>
      <c r="D6">
        <v>1</v>
      </c>
    </row>
    <row r="7" spans="1:10" x14ac:dyDescent="0.2">
      <c r="A7" s="14" t="s">
        <v>9</v>
      </c>
      <c r="B7">
        <v>0</v>
      </c>
      <c r="C7">
        <v>1</v>
      </c>
      <c r="D7">
        <v>1</v>
      </c>
    </row>
    <row r="8" spans="1:10" x14ac:dyDescent="0.2">
      <c r="A8" s="14" t="s">
        <v>22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DS12"/>
  <sheetViews>
    <sheetView tabSelected="1" zoomScale="87" workbookViewId="0">
      <selection sqref="A1:XFD1"/>
    </sheetView>
  </sheetViews>
  <sheetFormatPr baseColWidth="10" defaultRowHeight="16" x14ac:dyDescent="0.2"/>
  <cols>
    <col min="1" max="31" width="10.83203125" customWidth="1"/>
    <col min="32" max="32" width="10.83203125" style="15"/>
    <col min="38" max="39" width="10.83203125" style="15"/>
    <col min="45" max="46" width="10.83203125" style="15"/>
    <col min="52" max="53" width="10.83203125" style="15"/>
    <col min="59" max="60" width="10.83203125" style="15"/>
  </cols>
  <sheetData>
    <row r="1" spans="1:123" x14ac:dyDescent="0.2">
      <c r="A1" s="14" t="s">
        <v>0</v>
      </c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74</v>
      </c>
      <c r="O1" s="25" t="s">
        <v>75</v>
      </c>
      <c r="P1" s="25" t="s">
        <v>76</v>
      </c>
      <c r="Q1" s="25" t="s">
        <v>77</v>
      </c>
      <c r="R1" s="25" t="s">
        <v>78</v>
      </c>
      <c r="S1" s="25" t="s">
        <v>79</v>
      </c>
      <c r="T1" s="24" t="s">
        <v>80</v>
      </c>
      <c r="U1" s="24" t="s">
        <v>81</v>
      </c>
      <c r="V1" s="25" t="s">
        <v>82</v>
      </c>
      <c r="W1" s="25" t="s">
        <v>83</v>
      </c>
      <c r="X1" s="25" t="s">
        <v>84</v>
      </c>
      <c r="Y1" s="25" t="s">
        <v>85</v>
      </c>
      <c r="Z1" s="25" t="s">
        <v>86</v>
      </c>
      <c r="AA1" s="24" t="s">
        <v>87</v>
      </c>
      <c r="AB1" s="24" t="s">
        <v>88</v>
      </c>
      <c r="AC1" s="25" t="s">
        <v>89</v>
      </c>
      <c r="AD1" t="s">
        <v>90</v>
      </c>
      <c r="AE1" t="s">
        <v>91</v>
      </c>
      <c r="AF1" s="16">
        <v>46032</v>
      </c>
      <c r="AG1" s="16">
        <v>46063</v>
      </c>
      <c r="AH1" s="30">
        <v>46091</v>
      </c>
      <c r="AI1" s="30">
        <v>46122</v>
      </c>
      <c r="AJ1" s="16">
        <v>46152</v>
      </c>
      <c r="AK1" s="16">
        <v>46183</v>
      </c>
      <c r="AL1" s="16">
        <v>46213</v>
      </c>
      <c r="AM1" s="16">
        <v>46244</v>
      </c>
      <c r="AN1" s="16">
        <v>46275</v>
      </c>
      <c r="AO1" s="30">
        <v>46305</v>
      </c>
      <c r="AP1" s="30">
        <v>46336</v>
      </c>
      <c r="AQ1" s="16">
        <v>46366</v>
      </c>
      <c r="AR1" t="s">
        <v>73</v>
      </c>
      <c r="AS1" t="s">
        <v>92</v>
      </c>
      <c r="AT1" t="s">
        <v>93</v>
      </c>
      <c r="AU1" t="s">
        <v>94</v>
      </c>
      <c r="AV1" s="15" t="s">
        <v>95</v>
      </c>
      <c r="AW1" s="15" t="s">
        <v>96</v>
      </c>
      <c r="AX1" t="s">
        <v>97</v>
      </c>
      <c r="AY1" t="s">
        <v>98</v>
      </c>
      <c r="AZ1" t="s">
        <v>99</v>
      </c>
      <c r="BA1" t="s">
        <v>100</v>
      </c>
      <c r="BB1" t="s">
        <v>101</v>
      </c>
      <c r="BC1" s="15" t="s">
        <v>102</v>
      </c>
      <c r="BD1" s="15" t="s">
        <v>103</v>
      </c>
      <c r="BE1" t="s">
        <v>104</v>
      </c>
      <c r="BF1" t="s">
        <v>105</v>
      </c>
      <c r="BG1" t="s">
        <v>106</v>
      </c>
      <c r="BH1" t="s">
        <v>72</v>
      </c>
      <c r="BI1" t="s">
        <v>71</v>
      </c>
      <c r="BJ1" s="15" t="s">
        <v>70</v>
      </c>
      <c r="BK1" s="30">
        <v>46033</v>
      </c>
      <c r="BL1" s="16">
        <v>46064</v>
      </c>
      <c r="BM1" s="16">
        <v>46092</v>
      </c>
      <c r="BN1" s="16">
        <v>46123</v>
      </c>
      <c r="BO1" s="16">
        <v>46153</v>
      </c>
      <c r="BP1" s="16">
        <v>46184</v>
      </c>
      <c r="BQ1" s="30">
        <v>46214</v>
      </c>
      <c r="BR1" s="30">
        <v>46245</v>
      </c>
      <c r="BS1" s="16">
        <v>46276</v>
      </c>
      <c r="BT1" s="16">
        <v>46306</v>
      </c>
      <c r="BU1" s="16">
        <v>46337</v>
      </c>
      <c r="BV1" s="16">
        <v>46367</v>
      </c>
      <c r="BW1" t="s">
        <v>25</v>
      </c>
      <c r="BX1" s="15" t="s">
        <v>26</v>
      </c>
      <c r="BY1" s="15" t="s">
        <v>27</v>
      </c>
      <c r="BZ1" t="s">
        <v>28</v>
      </c>
      <c r="CA1" t="s">
        <v>29</v>
      </c>
      <c r="CB1" t="s">
        <v>30</v>
      </c>
      <c r="CC1" t="s">
        <v>31</v>
      </c>
      <c r="CD1" t="s">
        <v>32</v>
      </c>
      <c r="CE1" s="15" t="s">
        <v>33</v>
      </c>
      <c r="CF1" s="15" t="s">
        <v>34</v>
      </c>
      <c r="CG1" t="s">
        <v>35</v>
      </c>
      <c r="CH1" t="s">
        <v>36</v>
      </c>
      <c r="CI1" t="s">
        <v>37</v>
      </c>
      <c r="CJ1" t="s">
        <v>38</v>
      </c>
      <c r="CK1" t="s">
        <v>39</v>
      </c>
      <c r="CL1" s="15" t="s">
        <v>40</v>
      </c>
      <c r="CM1" s="15" t="s">
        <v>41</v>
      </c>
      <c r="CN1" t="s">
        <v>42</v>
      </c>
      <c r="CO1" s="16">
        <v>46034</v>
      </c>
      <c r="CP1" s="16">
        <v>46065</v>
      </c>
      <c r="CQ1" s="16">
        <v>46093</v>
      </c>
      <c r="CR1" s="16">
        <v>46124</v>
      </c>
      <c r="CS1" s="30">
        <v>46154</v>
      </c>
      <c r="CT1" s="30">
        <v>46185</v>
      </c>
      <c r="CU1" s="16">
        <v>46215</v>
      </c>
      <c r="CV1" s="16">
        <v>46246</v>
      </c>
      <c r="CW1" s="16">
        <v>46277</v>
      </c>
      <c r="CX1" s="16">
        <v>46307</v>
      </c>
      <c r="CY1" s="16">
        <v>46338</v>
      </c>
      <c r="CZ1" s="30">
        <v>46368</v>
      </c>
      <c r="DA1" s="15" t="s">
        <v>107</v>
      </c>
      <c r="DB1" t="s">
        <v>108</v>
      </c>
      <c r="DC1" t="s">
        <v>109</v>
      </c>
      <c r="DD1" t="s">
        <v>110</v>
      </c>
      <c r="DE1" t="s">
        <v>111</v>
      </c>
      <c r="DF1" t="s">
        <v>112</v>
      </c>
      <c r="DG1" s="15" t="s">
        <v>113</v>
      </c>
      <c r="DH1" s="15" t="s">
        <v>114</v>
      </c>
      <c r="DI1" t="s">
        <v>115</v>
      </c>
      <c r="DJ1" t="s">
        <v>116</v>
      </c>
      <c r="DK1" t="s">
        <v>117</v>
      </c>
      <c r="DL1" t="s">
        <v>118</v>
      </c>
      <c r="DM1" t="s">
        <v>119</v>
      </c>
      <c r="DN1" s="15" t="s">
        <v>120</v>
      </c>
      <c r="DO1" s="15" t="s">
        <v>121</v>
      </c>
      <c r="DP1" t="s">
        <v>122</v>
      </c>
      <c r="DQ1" t="s">
        <v>123</v>
      </c>
      <c r="DR1" t="s">
        <v>124</v>
      </c>
      <c r="DS1" t="s">
        <v>125</v>
      </c>
    </row>
    <row r="2" spans="1:123" x14ac:dyDescent="0.2">
      <c r="A2" s="14" t="s">
        <v>49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  <row r="3" spans="1:123" x14ac:dyDescent="0.2">
      <c r="A3" s="14" t="s">
        <v>50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</row>
    <row r="4" spans="1:123" x14ac:dyDescent="0.2">
      <c r="A4" s="14" t="s">
        <v>51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</row>
    <row r="5" spans="1:123" x14ac:dyDescent="0.2">
      <c r="A5" s="14" t="s">
        <v>52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</row>
    <row r="6" spans="1:123" x14ac:dyDescent="0.2">
      <c r="A6" s="14" t="s">
        <v>53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</row>
    <row r="7" spans="1:123" x14ac:dyDescent="0.2">
      <c r="A7" s="14" t="s">
        <v>54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</row>
    <row r="8" spans="1:123" x14ac:dyDescent="0.2">
      <c r="A8" s="14" t="s">
        <v>55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</row>
    <row r="9" spans="1:123" x14ac:dyDescent="0.2">
      <c r="A9" s="14" t="s">
        <v>56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</row>
    <row r="10" spans="1:123" x14ac:dyDescent="0.2">
      <c r="A10" s="14" t="s">
        <v>57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</row>
    <row r="11" spans="1:123" x14ac:dyDescent="0.2">
      <c r="A11" s="14" t="s">
        <v>58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</row>
    <row r="12" spans="1:123" x14ac:dyDescent="0.2">
      <c r="A12" s="14" t="s">
        <v>59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</row>
  </sheetData>
  <phoneticPr fontId="26" type="noConversion"/>
  <conditionalFormatting sqref="AF2:BI12">
    <cfRule type="cellIs" dxfId="41" priority="5" operator="equal">
      <formula>"B"</formula>
    </cfRule>
    <cfRule type="cellIs" dxfId="40" priority="6" operator="equal">
      <formula>"L"</formula>
    </cfRule>
  </conditionalFormatting>
  <conditionalFormatting sqref="B1:AC1">
    <cfRule type="cellIs" dxfId="39" priority="1" operator="equal">
      <formula>"B"</formula>
    </cfRule>
    <cfRule type="cellIs" dxfId="38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DS12"/>
  <sheetViews>
    <sheetView zoomScale="75" workbookViewId="0">
      <selection sqref="A1:XFD1"/>
    </sheetView>
  </sheetViews>
  <sheetFormatPr baseColWidth="10" defaultRowHeight="16" x14ac:dyDescent="0.2"/>
  <cols>
    <col min="1" max="1" width="24.5" customWidth="1"/>
    <col min="6" max="7" width="10.83203125" style="15"/>
    <col min="13" max="14" width="10.83203125" style="15"/>
    <col min="20" max="21" width="10.83203125" style="15"/>
    <col min="27" max="28" width="10.83203125" style="15"/>
  </cols>
  <sheetData>
    <row r="1" spans="1:123" x14ac:dyDescent="0.2">
      <c r="A1" s="14" t="s">
        <v>0</v>
      </c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74</v>
      </c>
      <c r="O1" s="25" t="s">
        <v>75</v>
      </c>
      <c r="P1" s="25" t="s">
        <v>76</v>
      </c>
      <c r="Q1" s="25" t="s">
        <v>77</v>
      </c>
      <c r="R1" s="25" t="s">
        <v>78</v>
      </c>
      <c r="S1" s="25" t="s">
        <v>79</v>
      </c>
      <c r="T1" s="24" t="s">
        <v>80</v>
      </c>
      <c r="U1" s="24" t="s">
        <v>81</v>
      </c>
      <c r="V1" s="25" t="s">
        <v>82</v>
      </c>
      <c r="W1" s="25" t="s">
        <v>83</v>
      </c>
      <c r="X1" s="25" t="s">
        <v>84</v>
      </c>
      <c r="Y1" s="25" t="s">
        <v>85</v>
      </c>
      <c r="Z1" s="25" t="s">
        <v>86</v>
      </c>
      <c r="AA1" s="24" t="s">
        <v>87</v>
      </c>
      <c r="AB1" s="24" t="s">
        <v>88</v>
      </c>
      <c r="AC1" s="25" t="s">
        <v>89</v>
      </c>
      <c r="AD1" t="s">
        <v>90</v>
      </c>
      <c r="AE1" t="s">
        <v>91</v>
      </c>
      <c r="AF1" s="16">
        <v>46032</v>
      </c>
      <c r="AG1" s="16">
        <v>46063</v>
      </c>
      <c r="AH1" s="30">
        <v>46091</v>
      </c>
      <c r="AI1" s="30">
        <v>46122</v>
      </c>
      <c r="AJ1" s="16">
        <v>46152</v>
      </c>
      <c r="AK1" s="16">
        <v>46183</v>
      </c>
      <c r="AL1" s="16">
        <v>46213</v>
      </c>
      <c r="AM1" s="16">
        <v>46244</v>
      </c>
      <c r="AN1" s="16">
        <v>46275</v>
      </c>
      <c r="AO1" s="30">
        <v>46305</v>
      </c>
      <c r="AP1" s="30">
        <v>46336</v>
      </c>
      <c r="AQ1" s="16">
        <v>46366</v>
      </c>
      <c r="AR1" t="s">
        <v>73</v>
      </c>
      <c r="AS1" t="s">
        <v>92</v>
      </c>
      <c r="AT1" t="s">
        <v>93</v>
      </c>
      <c r="AU1" t="s">
        <v>94</v>
      </c>
      <c r="AV1" s="15" t="s">
        <v>95</v>
      </c>
      <c r="AW1" s="15" t="s">
        <v>96</v>
      </c>
      <c r="AX1" t="s">
        <v>97</v>
      </c>
      <c r="AY1" t="s">
        <v>98</v>
      </c>
      <c r="AZ1" t="s">
        <v>99</v>
      </c>
      <c r="BA1" t="s">
        <v>100</v>
      </c>
      <c r="BB1" t="s">
        <v>101</v>
      </c>
      <c r="BC1" s="15" t="s">
        <v>102</v>
      </c>
      <c r="BD1" s="15" t="s">
        <v>103</v>
      </c>
      <c r="BE1" t="s">
        <v>104</v>
      </c>
      <c r="BF1" t="s">
        <v>105</v>
      </c>
      <c r="BG1" t="s">
        <v>106</v>
      </c>
      <c r="BH1" t="s">
        <v>72</v>
      </c>
      <c r="BI1" t="s">
        <v>71</v>
      </c>
      <c r="BJ1" s="15" t="s">
        <v>70</v>
      </c>
      <c r="BK1" s="30">
        <v>46033</v>
      </c>
      <c r="BL1" s="16">
        <v>46064</v>
      </c>
      <c r="BM1" s="16">
        <v>46092</v>
      </c>
      <c r="BN1" s="16">
        <v>46123</v>
      </c>
      <c r="BO1" s="16">
        <v>46153</v>
      </c>
      <c r="BP1" s="16">
        <v>46184</v>
      </c>
      <c r="BQ1" s="30">
        <v>46214</v>
      </c>
      <c r="BR1" s="30">
        <v>46245</v>
      </c>
      <c r="BS1" s="16">
        <v>46276</v>
      </c>
      <c r="BT1" s="16">
        <v>46306</v>
      </c>
      <c r="BU1" s="16">
        <v>46337</v>
      </c>
      <c r="BV1" s="16">
        <v>46367</v>
      </c>
      <c r="BW1" t="s">
        <v>25</v>
      </c>
      <c r="BX1" s="15" t="s">
        <v>26</v>
      </c>
      <c r="BY1" s="15" t="s">
        <v>27</v>
      </c>
      <c r="BZ1" t="s">
        <v>28</v>
      </c>
      <c r="CA1" t="s">
        <v>29</v>
      </c>
      <c r="CB1" t="s">
        <v>30</v>
      </c>
      <c r="CC1" t="s">
        <v>31</v>
      </c>
      <c r="CD1" t="s">
        <v>32</v>
      </c>
      <c r="CE1" s="15" t="s">
        <v>33</v>
      </c>
      <c r="CF1" s="15" t="s">
        <v>34</v>
      </c>
      <c r="CG1" t="s">
        <v>35</v>
      </c>
      <c r="CH1" t="s">
        <v>36</v>
      </c>
      <c r="CI1" t="s">
        <v>37</v>
      </c>
      <c r="CJ1" t="s">
        <v>38</v>
      </c>
      <c r="CK1" t="s">
        <v>39</v>
      </c>
      <c r="CL1" s="15" t="s">
        <v>40</v>
      </c>
      <c r="CM1" s="15" t="s">
        <v>41</v>
      </c>
      <c r="CN1" t="s">
        <v>42</v>
      </c>
      <c r="CO1" s="16">
        <v>46034</v>
      </c>
      <c r="CP1" s="16">
        <v>46065</v>
      </c>
      <c r="CQ1" s="16">
        <v>46093</v>
      </c>
      <c r="CR1" s="16">
        <v>46124</v>
      </c>
      <c r="CS1" s="30">
        <v>46154</v>
      </c>
      <c r="CT1" s="30">
        <v>46185</v>
      </c>
      <c r="CU1" s="16">
        <v>46215</v>
      </c>
      <c r="CV1" s="16">
        <v>46246</v>
      </c>
      <c r="CW1" s="16">
        <v>46277</v>
      </c>
      <c r="CX1" s="16">
        <v>46307</v>
      </c>
      <c r="CY1" s="16">
        <v>46338</v>
      </c>
      <c r="CZ1" s="30">
        <v>46368</v>
      </c>
      <c r="DA1" s="15" t="s">
        <v>107</v>
      </c>
      <c r="DB1" t="s">
        <v>108</v>
      </c>
      <c r="DC1" t="s">
        <v>109</v>
      </c>
      <c r="DD1" t="s">
        <v>110</v>
      </c>
      <c r="DE1" t="s">
        <v>111</v>
      </c>
      <c r="DF1" t="s">
        <v>112</v>
      </c>
      <c r="DG1" s="15" t="s">
        <v>113</v>
      </c>
      <c r="DH1" s="15" t="s">
        <v>114</v>
      </c>
      <c r="DI1" t="s">
        <v>115</v>
      </c>
      <c r="DJ1" t="s">
        <v>116</v>
      </c>
      <c r="DK1" t="s">
        <v>117</v>
      </c>
      <c r="DL1" t="s">
        <v>118</v>
      </c>
      <c r="DM1" t="s">
        <v>119</v>
      </c>
      <c r="DN1" s="15" t="s">
        <v>120</v>
      </c>
      <c r="DO1" s="15" t="s">
        <v>121</v>
      </c>
      <c r="DP1" t="s">
        <v>122</v>
      </c>
      <c r="DQ1" t="s">
        <v>123</v>
      </c>
      <c r="DR1" t="s">
        <v>124</v>
      </c>
      <c r="DS1" t="s">
        <v>125</v>
      </c>
    </row>
    <row r="2" spans="1:123" x14ac:dyDescent="0.2">
      <c r="A2" s="14" t="s">
        <v>49</v>
      </c>
    </row>
    <row r="3" spans="1:123" x14ac:dyDescent="0.2">
      <c r="A3" s="14" t="s">
        <v>50</v>
      </c>
    </row>
    <row r="4" spans="1:123" x14ac:dyDescent="0.2">
      <c r="A4" s="14" t="s">
        <v>51</v>
      </c>
    </row>
    <row r="5" spans="1:123" x14ac:dyDescent="0.2">
      <c r="A5" s="14" t="s">
        <v>52</v>
      </c>
    </row>
    <row r="6" spans="1:123" x14ac:dyDescent="0.2">
      <c r="A6" s="14" t="s">
        <v>53</v>
      </c>
    </row>
    <row r="7" spans="1:123" x14ac:dyDescent="0.2">
      <c r="A7" s="14" t="s">
        <v>54</v>
      </c>
    </row>
    <row r="8" spans="1:123" x14ac:dyDescent="0.2">
      <c r="A8" s="14" t="s">
        <v>55</v>
      </c>
    </row>
    <row r="9" spans="1:123" x14ac:dyDescent="0.2">
      <c r="A9" s="14" t="s">
        <v>56</v>
      </c>
    </row>
    <row r="10" spans="1:123" x14ac:dyDescent="0.2">
      <c r="A10" s="14" t="s">
        <v>57</v>
      </c>
    </row>
    <row r="11" spans="1:123" x14ac:dyDescent="0.2">
      <c r="A11" s="14" t="s">
        <v>58</v>
      </c>
    </row>
    <row r="12" spans="1:123" x14ac:dyDescent="0.2">
      <c r="A12" s="14" t="s">
        <v>59</v>
      </c>
    </row>
  </sheetData>
  <conditionalFormatting sqref="B2:AC12">
    <cfRule type="cellIs" dxfId="37" priority="9" operator="equal">
      <formula>"B"</formula>
    </cfRule>
    <cfRule type="cellIs" dxfId="36" priority="10" operator="equal">
      <formula>"L"</formula>
    </cfRule>
  </conditionalFormatting>
  <conditionalFormatting sqref="B2:AC12">
    <cfRule type="containsBlanks" priority="3" stopIfTrue="1">
      <formula>LEN(TRIM(B2))=0</formula>
    </cfRule>
    <cfRule type="cellIs" dxfId="35" priority="7" operator="equal">
      <formula>1</formula>
    </cfRule>
    <cfRule type="cellIs" dxfId="34" priority="8" operator="equal">
      <formula>0</formula>
    </cfRule>
  </conditionalFormatting>
  <conditionalFormatting sqref="B1:AC1">
    <cfRule type="cellIs" dxfId="33" priority="1" operator="equal">
      <formula>"B"</formula>
    </cfRule>
    <cfRule type="cellIs" dxfId="32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DS12"/>
  <sheetViews>
    <sheetView zoomScale="50" workbookViewId="0">
      <selection sqref="A1:XFD1"/>
    </sheetView>
  </sheetViews>
  <sheetFormatPr baseColWidth="10" defaultRowHeight="16" x14ac:dyDescent="0.2"/>
  <cols>
    <col min="6" max="7" width="10.83203125" style="15"/>
    <col min="13" max="14" width="10.83203125" style="15"/>
    <col min="20" max="21" width="10.83203125" style="15"/>
    <col min="27" max="28" width="10.83203125" style="15"/>
  </cols>
  <sheetData>
    <row r="1" spans="1:123" x14ac:dyDescent="0.2">
      <c r="A1" s="14" t="s">
        <v>3</v>
      </c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74</v>
      </c>
      <c r="O1" s="25" t="s">
        <v>75</v>
      </c>
      <c r="P1" s="25" t="s">
        <v>76</v>
      </c>
      <c r="Q1" s="25" t="s">
        <v>77</v>
      </c>
      <c r="R1" s="25" t="s">
        <v>78</v>
      </c>
      <c r="S1" s="25" t="s">
        <v>79</v>
      </c>
      <c r="T1" s="24" t="s">
        <v>80</v>
      </c>
      <c r="U1" s="24" t="s">
        <v>81</v>
      </c>
      <c r="V1" s="25" t="s">
        <v>82</v>
      </c>
      <c r="W1" s="25" t="s">
        <v>83</v>
      </c>
      <c r="X1" s="25" t="s">
        <v>84</v>
      </c>
      <c r="Y1" s="25" t="s">
        <v>85</v>
      </c>
      <c r="Z1" s="25" t="s">
        <v>86</v>
      </c>
      <c r="AA1" s="24" t="s">
        <v>87</v>
      </c>
      <c r="AB1" s="24" t="s">
        <v>88</v>
      </c>
      <c r="AC1" s="25" t="s">
        <v>89</v>
      </c>
      <c r="AD1" t="s">
        <v>90</v>
      </c>
      <c r="AE1" t="s">
        <v>91</v>
      </c>
      <c r="AF1" s="16">
        <v>46032</v>
      </c>
      <c r="AG1" s="16">
        <v>46063</v>
      </c>
      <c r="AH1" s="30">
        <v>46091</v>
      </c>
      <c r="AI1" s="30">
        <v>46122</v>
      </c>
      <c r="AJ1" s="16">
        <v>46152</v>
      </c>
      <c r="AK1" s="16">
        <v>46183</v>
      </c>
      <c r="AL1" s="16">
        <v>46213</v>
      </c>
      <c r="AM1" s="16">
        <v>46244</v>
      </c>
      <c r="AN1" s="16">
        <v>46275</v>
      </c>
      <c r="AO1" s="30">
        <v>46305</v>
      </c>
      <c r="AP1" s="30">
        <v>46336</v>
      </c>
      <c r="AQ1" s="16">
        <v>46366</v>
      </c>
      <c r="AR1" t="s">
        <v>73</v>
      </c>
      <c r="AS1" t="s">
        <v>92</v>
      </c>
      <c r="AT1" t="s">
        <v>93</v>
      </c>
      <c r="AU1" t="s">
        <v>94</v>
      </c>
      <c r="AV1" s="15" t="s">
        <v>95</v>
      </c>
      <c r="AW1" s="15" t="s">
        <v>96</v>
      </c>
      <c r="AX1" t="s">
        <v>97</v>
      </c>
      <c r="AY1" t="s">
        <v>98</v>
      </c>
      <c r="AZ1" t="s">
        <v>99</v>
      </c>
      <c r="BA1" t="s">
        <v>100</v>
      </c>
      <c r="BB1" t="s">
        <v>101</v>
      </c>
      <c r="BC1" s="15" t="s">
        <v>102</v>
      </c>
      <c r="BD1" s="15" t="s">
        <v>103</v>
      </c>
      <c r="BE1" t="s">
        <v>104</v>
      </c>
      <c r="BF1" t="s">
        <v>105</v>
      </c>
      <c r="BG1" t="s">
        <v>106</v>
      </c>
      <c r="BH1" t="s">
        <v>72</v>
      </c>
      <c r="BI1" t="s">
        <v>71</v>
      </c>
      <c r="BJ1" s="15" t="s">
        <v>70</v>
      </c>
      <c r="BK1" s="30">
        <v>46033</v>
      </c>
      <c r="BL1" s="16">
        <v>46064</v>
      </c>
      <c r="BM1" s="16">
        <v>46092</v>
      </c>
      <c r="BN1" s="16">
        <v>46123</v>
      </c>
      <c r="BO1" s="16">
        <v>46153</v>
      </c>
      <c r="BP1" s="16">
        <v>46184</v>
      </c>
      <c r="BQ1" s="30">
        <v>46214</v>
      </c>
      <c r="BR1" s="30">
        <v>46245</v>
      </c>
      <c r="BS1" s="16">
        <v>46276</v>
      </c>
      <c r="BT1" s="16">
        <v>46306</v>
      </c>
      <c r="BU1" s="16">
        <v>46337</v>
      </c>
      <c r="BV1" s="16">
        <v>46367</v>
      </c>
      <c r="BW1" t="s">
        <v>25</v>
      </c>
      <c r="BX1" s="15" t="s">
        <v>26</v>
      </c>
      <c r="BY1" s="15" t="s">
        <v>27</v>
      </c>
      <c r="BZ1" t="s">
        <v>28</v>
      </c>
      <c r="CA1" t="s">
        <v>29</v>
      </c>
      <c r="CB1" t="s">
        <v>30</v>
      </c>
      <c r="CC1" t="s">
        <v>31</v>
      </c>
      <c r="CD1" t="s">
        <v>32</v>
      </c>
      <c r="CE1" s="15" t="s">
        <v>33</v>
      </c>
      <c r="CF1" s="15" t="s">
        <v>34</v>
      </c>
      <c r="CG1" t="s">
        <v>35</v>
      </c>
      <c r="CH1" t="s">
        <v>36</v>
      </c>
      <c r="CI1" t="s">
        <v>37</v>
      </c>
      <c r="CJ1" t="s">
        <v>38</v>
      </c>
      <c r="CK1" t="s">
        <v>39</v>
      </c>
      <c r="CL1" s="15" t="s">
        <v>40</v>
      </c>
      <c r="CM1" s="15" t="s">
        <v>41</v>
      </c>
      <c r="CN1" t="s">
        <v>42</v>
      </c>
      <c r="CO1" s="16">
        <v>46034</v>
      </c>
      <c r="CP1" s="16">
        <v>46065</v>
      </c>
      <c r="CQ1" s="16">
        <v>46093</v>
      </c>
      <c r="CR1" s="16">
        <v>46124</v>
      </c>
      <c r="CS1" s="30">
        <v>46154</v>
      </c>
      <c r="CT1" s="30">
        <v>46185</v>
      </c>
      <c r="CU1" s="16">
        <v>46215</v>
      </c>
      <c r="CV1" s="16">
        <v>46246</v>
      </c>
      <c r="CW1" s="16">
        <v>46277</v>
      </c>
      <c r="CX1" s="16">
        <v>46307</v>
      </c>
      <c r="CY1" s="16">
        <v>46338</v>
      </c>
      <c r="CZ1" s="30">
        <v>46368</v>
      </c>
      <c r="DA1" s="15" t="s">
        <v>107</v>
      </c>
      <c r="DB1" t="s">
        <v>108</v>
      </c>
      <c r="DC1" t="s">
        <v>109</v>
      </c>
      <c r="DD1" t="s">
        <v>110</v>
      </c>
      <c r="DE1" t="s">
        <v>111</v>
      </c>
      <c r="DF1" t="s">
        <v>112</v>
      </c>
      <c r="DG1" s="15" t="s">
        <v>113</v>
      </c>
      <c r="DH1" s="15" t="s">
        <v>114</v>
      </c>
      <c r="DI1" t="s">
        <v>115</v>
      </c>
      <c r="DJ1" t="s">
        <v>116</v>
      </c>
      <c r="DK1" t="s">
        <v>117</v>
      </c>
      <c r="DL1" t="s">
        <v>118</v>
      </c>
      <c r="DM1" t="s">
        <v>119</v>
      </c>
      <c r="DN1" s="15" t="s">
        <v>120</v>
      </c>
      <c r="DO1" s="15" t="s">
        <v>121</v>
      </c>
      <c r="DP1" t="s">
        <v>122</v>
      </c>
      <c r="DQ1" t="s">
        <v>123</v>
      </c>
      <c r="DR1" t="s">
        <v>124</v>
      </c>
      <c r="DS1" t="s">
        <v>125</v>
      </c>
    </row>
    <row r="2" spans="1:123" x14ac:dyDescent="0.2">
      <c r="A2" s="14" t="s">
        <v>10</v>
      </c>
      <c r="B2">
        <v>3</v>
      </c>
      <c r="C2">
        <v>3</v>
      </c>
      <c r="D2">
        <v>3</v>
      </c>
      <c r="E2">
        <v>3</v>
      </c>
      <c r="F2" s="15">
        <v>0</v>
      </c>
      <c r="G2" s="15">
        <v>0</v>
      </c>
      <c r="H2">
        <v>3</v>
      </c>
      <c r="I2">
        <v>3</v>
      </c>
      <c r="J2">
        <v>3</v>
      </c>
      <c r="K2">
        <v>3</v>
      </c>
      <c r="L2">
        <v>3</v>
      </c>
      <c r="M2" s="15">
        <v>0</v>
      </c>
      <c r="N2" s="15">
        <v>0</v>
      </c>
      <c r="O2">
        <v>3</v>
      </c>
      <c r="P2">
        <v>3</v>
      </c>
      <c r="Q2">
        <v>3</v>
      </c>
      <c r="R2">
        <v>3</v>
      </c>
      <c r="S2">
        <v>3</v>
      </c>
      <c r="T2" s="15">
        <v>0</v>
      </c>
      <c r="U2" s="15">
        <v>0</v>
      </c>
      <c r="V2">
        <v>3</v>
      </c>
      <c r="W2">
        <v>3</v>
      </c>
      <c r="X2">
        <v>3</v>
      </c>
      <c r="Y2">
        <v>3</v>
      </c>
      <c r="Z2">
        <v>3</v>
      </c>
      <c r="AA2" s="15">
        <v>0</v>
      </c>
      <c r="AB2" s="15">
        <v>0</v>
      </c>
      <c r="AC2">
        <v>3</v>
      </c>
      <c r="AD2">
        <v>3</v>
      </c>
      <c r="AE2">
        <v>3</v>
      </c>
      <c r="AF2">
        <v>3</v>
      </c>
      <c r="AG2">
        <v>3</v>
      </c>
      <c r="AH2" s="15">
        <v>0</v>
      </c>
      <c r="AI2" s="15">
        <v>0</v>
      </c>
      <c r="AJ2">
        <v>3</v>
      </c>
      <c r="AK2">
        <v>3</v>
      </c>
      <c r="AL2">
        <v>3</v>
      </c>
      <c r="AM2">
        <v>3</v>
      </c>
      <c r="AN2">
        <v>3</v>
      </c>
      <c r="AO2" s="15">
        <v>0</v>
      </c>
      <c r="AP2" s="15">
        <v>0</v>
      </c>
      <c r="AQ2">
        <v>3</v>
      </c>
      <c r="AR2">
        <v>3</v>
      </c>
      <c r="AS2">
        <v>3</v>
      </c>
      <c r="AT2">
        <v>3</v>
      </c>
      <c r="AU2">
        <v>3</v>
      </c>
      <c r="AV2" s="15">
        <v>0</v>
      </c>
      <c r="AW2" s="15">
        <v>0</v>
      </c>
      <c r="AX2">
        <v>3</v>
      </c>
      <c r="AY2">
        <v>3</v>
      </c>
      <c r="AZ2">
        <v>3</v>
      </c>
      <c r="BA2">
        <v>3</v>
      </c>
      <c r="BB2">
        <v>3</v>
      </c>
      <c r="BC2" s="15">
        <v>0</v>
      </c>
      <c r="BD2" s="15">
        <v>0</v>
      </c>
      <c r="BE2">
        <v>3</v>
      </c>
      <c r="BF2">
        <v>3</v>
      </c>
      <c r="BG2">
        <v>3</v>
      </c>
      <c r="BH2">
        <v>3</v>
      </c>
      <c r="BI2">
        <v>3</v>
      </c>
      <c r="BJ2" s="15">
        <v>0</v>
      </c>
      <c r="BK2" s="15">
        <v>0</v>
      </c>
      <c r="BL2">
        <v>3</v>
      </c>
      <c r="BM2">
        <v>3</v>
      </c>
      <c r="BN2">
        <v>3</v>
      </c>
      <c r="BO2">
        <v>3</v>
      </c>
      <c r="BP2">
        <v>3</v>
      </c>
      <c r="BQ2" s="15">
        <v>0</v>
      </c>
      <c r="BR2" s="15">
        <v>0</v>
      </c>
      <c r="BS2">
        <v>3</v>
      </c>
      <c r="BT2">
        <v>3</v>
      </c>
      <c r="BU2">
        <v>3</v>
      </c>
      <c r="BV2">
        <v>3</v>
      </c>
      <c r="BW2">
        <v>3</v>
      </c>
      <c r="BX2" s="15">
        <v>0</v>
      </c>
      <c r="BY2" s="15">
        <v>0</v>
      </c>
      <c r="BZ2">
        <v>3</v>
      </c>
      <c r="CA2">
        <v>3</v>
      </c>
      <c r="CB2">
        <v>3</v>
      </c>
      <c r="CC2">
        <v>3</v>
      </c>
      <c r="CD2">
        <v>3</v>
      </c>
      <c r="CE2" s="15">
        <v>0</v>
      </c>
      <c r="CF2" s="15">
        <v>0</v>
      </c>
      <c r="CG2">
        <v>3</v>
      </c>
      <c r="CH2">
        <v>3</v>
      </c>
      <c r="CI2">
        <v>3</v>
      </c>
      <c r="CJ2">
        <v>3</v>
      </c>
      <c r="CK2">
        <v>3</v>
      </c>
      <c r="CL2" s="15">
        <v>0</v>
      </c>
      <c r="CM2" s="15">
        <v>0</v>
      </c>
      <c r="CN2">
        <v>3</v>
      </c>
      <c r="CO2">
        <v>3</v>
      </c>
      <c r="CP2">
        <v>3</v>
      </c>
      <c r="CQ2">
        <v>3</v>
      </c>
      <c r="CR2">
        <v>3</v>
      </c>
      <c r="CS2" s="15">
        <v>0</v>
      </c>
      <c r="CT2" s="15">
        <v>0</v>
      </c>
      <c r="CU2">
        <v>3</v>
      </c>
      <c r="CV2">
        <v>3</v>
      </c>
      <c r="CW2">
        <v>3</v>
      </c>
      <c r="CX2">
        <v>3</v>
      </c>
      <c r="CY2">
        <v>3</v>
      </c>
      <c r="CZ2" s="15">
        <v>0</v>
      </c>
      <c r="DA2" s="15">
        <v>0</v>
      </c>
      <c r="DB2">
        <v>3</v>
      </c>
      <c r="DC2">
        <v>3</v>
      </c>
      <c r="DD2">
        <v>3</v>
      </c>
      <c r="DE2">
        <v>3</v>
      </c>
      <c r="DF2">
        <v>3</v>
      </c>
      <c r="DG2" s="15">
        <v>0</v>
      </c>
      <c r="DH2" s="15">
        <v>0</v>
      </c>
      <c r="DI2">
        <v>3</v>
      </c>
      <c r="DJ2">
        <v>3</v>
      </c>
      <c r="DK2">
        <v>3</v>
      </c>
      <c r="DL2">
        <v>3</v>
      </c>
      <c r="DM2">
        <v>3</v>
      </c>
      <c r="DN2" s="15">
        <v>0</v>
      </c>
      <c r="DO2" s="15">
        <v>0</v>
      </c>
      <c r="DP2">
        <v>3</v>
      </c>
      <c r="DQ2">
        <v>3</v>
      </c>
      <c r="DR2">
        <v>3</v>
      </c>
      <c r="DS2">
        <v>3</v>
      </c>
    </row>
    <row r="3" spans="1:123" x14ac:dyDescent="0.2">
      <c r="A3" s="14" t="s">
        <v>13</v>
      </c>
      <c r="B3">
        <v>2</v>
      </c>
      <c r="C3">
        <v>2</v>
      </c>
      <c r="D3">
        <v>2</v>
      </c>
      <c r="E3">
        <v>2</v>
      </c>
      <c r="F3" s="15">
        <v>0</v>
      </c>
      <c r="G3" s="15">
        <v>0</v>
      </c>
      <c r="H3">
        <v>2</v>
      </c>
      <c r="I3">
        <v>2</v>
      </c>
      <c r="J3">
        <v>2</v>
      </c>
      <c r="K3">
        <v>2</v>
      </c>
      <c r="L3">
        <v>2</v>
      </c>
      <c r="M3" s="15">
        <v>0</v>
      </c>
      <c r="N3" s="15">
        <v>0</v>
      </c>
      <c r="O3">
        <v>2</v>
      </c>
      <c r="P3">
        <v>2</v>
      </c>
      <c r="Q3">
        <v>2</v>
      </c>
      <c r="R3">
        <v>2</v>
      </c>
      <c r="S3">
        <v>2</v>
      </c>
      <c r="T3" s="15">
        <v>0</v>
      </c>
      <c r="U3" s="15">
        <v>0</v>
      </c>
      <c r="V3">
        <v>2</v>
      </c>
      <c r="W3">
        <v>2</v>
      </c>
      <c r="X3">
        <v>2</v>
      </c>
      <c r="Y3">
        <v>2</v>
      </c>
      <c r="Z3">
        <v>2</v>
      </c>
      <c r="AA3" s="15">
        <v>0</v>
      </c>
      <c r="AB3" s="15">
        <v>0</v>
      </c>
      <c r="AC3">
        <v>2</v>
      </c>
      <c r="AD3">
        <v>2</v>
      </c>
      <c r="AE3">
        <v>2</v>
      </c>
      <c r="AF3">
        <v>2</v>
      </c>
      <c r="AG3">
        <v>2</v>
      </c>
      <c r="AH3" s="15">
        <v>0</v>
      </c>
      <c r="AI3" s="15">
        <v>0</v>
      </c>
      <c r="AJ3">
        <v>2</v>
      </c>
      <c r="AK3">
        <v>2</v>
      </c>
      <c r="AL3">
        <v>2</v>
      </c>
      <c r="AM3">
        <v>2</v>
      </c>
      <c r="AN3">
        <v>2</v>
      </c>
      <c r="AO3" s="15">
        <v>0</v>
      </c>
      <c r="AP3" s="15">
        <v>0</v>
      </c>
      <c r="AQ3">
        <v>2</v>
      </c>
      <c r="AR3">
        <v>2</v>
      </c>
      <c r="AS3">
        <v>2</v>
      </c>
      <c r="AT3">
        <v>2</v>
      </c>
      <c r="AU3">
        <v>2</v>
      </c>
      <c r="AV3" s="15">
        <v>0</v>
      </c>
      <c r="AW3" s="15">
        <v>0</v>
      </c>
      <c r="AX3">
        <v>2</v>
      </c>
      <c r="AY3">
        <v>2</v>
      </c>
      <c r="AZ3">
        <v>2</v>
      </c>
      <c r="BA3">
        <v>2</v>
      </c>
      <c r="BB3">
        <v>2</v>
      </c>
      <c r="BC3" s="15">
        <v>0</v>
      </c>
      <c r="BD3" s="15">
        <v>0</v>
      </c>
      <c r="BE3">
        <v>2</v>
      </c>
      <c r="BF3">
        <v>2</v>
      </c>
      <c r="BG3">
        <v>2</v>
      </c>
      <c r="BH3">
        <v>2</v>
      </c>
      <c r="BI3">
        <v>2</v>
      </c>
      <c r="BJ3" s="15">
        <v>0</v>
      </c>
      <c r="BK3" s="15">
        <v>0</v>
      </c>
      <c r="BL3">
        <v>2</v>
      </c>
      <c r="BM3">
        <v>2</v>
      </c>
      <c r="BN3">
        <v>2</v>
      </c>
      <c r="BO3">
        <v>2</v>
      </c>
      <c r="BP3">
        <v>2</v>
      </c>
      <c r="BQ3" s="15">
        <v>0</v>
      </c>
      <c r="BR3" s="15">
        <v>0</v>
      </c>
      <c r="BS3">
        <v>2</v>
      </c>
      <c r="BT3">
        <v>2</v>
      </c>
      <c r="BU3">
        <v>2</v>
      </c>
      <c r="BV3">
        <v>2</v>
      </c>
      <c r="BW3">
        <v>2</v>
      </c>
      <c r="BX3" s="15">
        <v>0</v>
      </c>
      <c r="BY3" s="15">
        <v>0</v>
      </c>
      <c r="BZ3">
        <v>2</v>
      </c>
      <c r="CA3">
        <v>2</v>
      </c>
      <c r="CB3">
        <v>2</v>
      </c>
      <c r="CC3">
        <v>2</v>
      </c>
      <c r="CD3">
        <v>2</v>
      </c>
      <c r="CE3" s="15">
        <v>0</v>
      </c>
      <c r="CF3" s="15">
        <v>0</v>
      </c>
      <c r="CG3">
        <v>2</v>
      </c>
      <c r="CH3">
        <v>2</v>
      </c>
      <c r="CI3">
        <v>2</v>
      </c>
      <c r="CJ3">
        <v>2</v>
      </c>
      <c r="CK3">
        <v>2</v>
      </c>
      <c r="CL3" s="15">
        <v>0</v>
      </c>
      <c r="CM3" s="15">
        <v>0</v>
      </c>
      <c r="CN3">
        <v>2</v>
      </c>
      <c r="CO3">
        <v>2</v>
      </c>
      <c r="CP3">
        <v>2</v>
      </c>
      <c r="CQ3">
        <v>2</v>
      </c>
      <c r="CR3">
        <v>2</v>
      </c>
      <c r="CS3" s="15">
        <v>0</v>
      </c>
      <c r="CT3" s="15">
        <v>0</v>
      </c>
      <c r="CU3">
        <v>2</v>
      </c>
      <c r="CV3">
        <v>2</v>
      </c>
      <c r="CW3">
        <v>2</v>
      </c>
      <c r="CX3">
        <v>2</v>
      </c>
      <c r="CY3">
        <v>2</v>
      </c>
      <c r="CZ3" s="15">
        <v>0</v>
      </c>
      <c r="DA3" s="15">
        <v>0</v>
      </c>
      <c r="DB3">
        <v>2</v>
      </c>
      <c r="DC3">
        <v>2</v>
      </c>
      <c r="DD3">
        <v>2</v>
      </c>
      <c r="DE3">
        <v>2</v>
      </c>
      <c r="DF3">
        <v>2</v>
      </c>
      <c r="DG3" s="15">
        <v>0</v>
      </c>
      <c r="DH3" s="15">
        <v>0</v>
      </c>
      <c r="DI3">
        <v>2</v>
      </c>
      <c r="DJ3">
        <v>2</v>
      </c>
      <c r="DK3">
        <v>2</v>
      </c>
      <c r="DL3">
        <v>2</v>
      </c>
      <c r="DM3">
        <v>2</v>
      </c>
      <c r="DN3" s="15">
        <v>0</v>
      </c>
      <c r="DO3" s="15">
        <v>0</v>
      </c>
      <c r="DP3">
        <v>2</v>
      </c>
      <c r="DQ3">
        <v>2</v>
      </c>
      <c r="DR3">
        <v>2</v>
      </c>
      <c r="DS3">
        <v>2</v>
      </c>
    </row>
    <row r="4" spans="1:123" x14ac:dyDescent="0.2">
      <c r="A4" s="14" t="s">
        <v>12</v>
      </c>
      <c r="B4">
        <v>2</v>
      </c>
      <c r="C4">
        <v>2</v>
      </c>
      <c r="D4">
        <v>2</v>
      </c>
      <c r="E4">
        <v>2</v>
      </c>
      <c r="F4" s="15">
        <v>0</v>
      </c>
      <c r="G4" s="15">
        <v>0</v>
      </c>
      <c r="H4">
        <v>2</v>
      </c>
      <c r="I4">
        <v>2</v>
      </c>
      <c r="J4">
        <v>2</v>
      </c>
      <c r="K4">
        <v>2</v>
      </c>
      <c r="L4">
        <v>2</v>
      </c>
      <c r="M4" s="15">
        <v>0</v>
      </c>
      <c r="N4" s="15">
        <v>0</v>
      </c>
      <c r="O4">
        <v>2</v>
      </c>
      <c r="P4">
        <v>2</v>
      </c>
      <c r="Q4">
        <v>2</v>
      </c>
      <c r="R4">
        <v>2</v>
      </c>
      <c r="S4">
        <v>2</v>
      </c>
      <c r="T4" s="15">
        <v>0</v>
      </c>
      <c r="U4" s="15">
        <v>0</v>
      </c>
      <c r="V4">
        <v>2</v>
      </c>
      <c r="W4">
        <v>2</v>
      </c>
      <c r="X4">
        <v>2</v>
      </c>
      <c r="Y4">
        <v>2</v>
      </c>
      <c r="Z4">
        <v>2</v>
      </c>
      <c r="AA4" s="15">
        <v>0</v>
      </c>
      <c r="AB4" s="15">
        <v>0</v>
      </c>
      <c r="AC4">
        <v>2</v>
      </c>
      <c r="AD4">
        <v>2</v>
      </c>
      <c r="AE4">
        <v>2</v>
      </c>
      <c r="AF4">
        <v>2</v>
      </c>
      <c r="AG4">
        <v>2</v>
      </c>
      <c r="AH4" s="15">
        <v>0</v>
      </c>
      <c r="AI4" s="15">
        <v>0</v>
      </c>
      <c r="AJ4">
        <v>2</v>
      </c>
      <c r="AK4">
        <v>2</v>
      </c>
      <c r="AL4">
        <v>2</v>
      </c>
      <c r="AM4" s="15">
        <v>2</v>
      </c>
      <c r="AN4">
        <v>2</v>
      </c>
      <c r="AO4" s="15">
        <v>0</v>
      </c>
      <c r="AP4" s="15">
        <v>0</v>
      </c>
      <c r="AQ4">
        <v>2</v>
      </c>
      <c r="AR4">
        <v>2</v>
      </c>
      <c r="AS4">
        <v>2</v>
      </c>
      <c r="AT4">
        <v>2</v>
      </c>
      <c r="AU4">
        <v>2</v>
      </c>
      <c r="AV4" s="15">
        <v>0</v>
      </c>
      <c r="AW4" s="15">
        <v>0</v>
      </c>
      <c r="AX4">
        <v>2</v>
      </c>
      <c r="AY4">
        <v>2</v>
      </c>
      <c r="AZ4">
        <v>2</v>
      </c>
      <c r="BA4">
        <v>2</v>
      </c>
      <c r="BB4">
        <v>2</v>
      </c>
      <c r="BC4" s="15">
        <v>0</v>
      </c>
      <c r="BD4" s="15">
        <v>0</v>
      </c>
      <c r="BE4">
        <v>2</v>
      </c>
      <c r="BF4">
        <v>2</v>
      </c>
      <c r="BG4">
        <v>2</v>
      </c>
      <c r="BH4">
        <v>2</v>
      </c>
      <c r="BI4">
        <v>2</v>
      </c>
      <c r="BJ4" s="15">
        <v>0</v>
      </c>
      <c r="BK4" s="15">
        <v>0</v>
      </c>
      <c r="BL4">
        <v>2</v>
      </c>
      <c r="BM4">
        <v>2</v>
      </c>
      <c r="BN4">
        <v>2</v>
      </c>
      <c r="BO4">
        <v>2</v>
      </c>
      <c r="BP4">
        <v>2</v>
      </c>
      <c r="BQ4" s="15">
        <v>0</v>
      </c>
      <c r="BR4" s="15">
        <v>0</v>
      </c>
      <c r="BS4">
        <v>2</v>
      </c>
      <c r="BT4">
        <v>2</v>
      </c>
      <c r="BU4">
        <v>2</v>
      </c>
      <c r="BV4">
        <v>2</v>
      </c>
      <c r="BW4">
        <v>2</v>
      </c>
      <c r="BX4" s="15">
        <v>0</v>
      </c>
      <c r="BY4" s="15">
        <v>0</v>
      </c>
      <c r="BZ4">
        <v>2</v>
      </c>
      <c r="CA4">
        <v>2</v>
      </c>
      <c r="CB4">
        <v>2</v>
      </c>
      <c r="CC4">
        <v>2</v>
      </c>
      <c r="CD4">
        <v>2</v>
      </c>
      <c r="CE4" s="15">
        <v>0</v>
      </c>
      <c r="CF4" s="15">
        <v>0</v>
      </c>
      <c r="CG4">
        <v>2</v>
      </c>
      <c r="CH4">
        <v>2</v>
      </c>
      <c r="CI4">
        <v>2</v>
      </c>
      <c r="CJ4">
        <v>2</v>
      </c>
      <c r="CK4">
        <v>2</v>
      </c>
      <c r="CL4" s="15">
        <v>0</v>
      </c>
      <c r="CM4" s="15">
        <v>0</v>
      </c>
      <c r="CN4">
        <v>2</v>
      </c>
      <c r="CO4">
        <v>2</v>
      </c>
      <c r="CP4">
        <v>2</v>
      </c>
      <c r="CQ4">
        <v>2</v>
      </c>
      <c r="CR4">
        <v>2</v>
      </c>
      <c r="CS4" s="15">
        <v>0</v>
      </c>
      <c r="CT4" s="15">
        <v>0</v>
      </c>
      <c r="CU4">
        <v>2</v>
      </c>
      <c r="CV4">
        <v>2</v>
      </c>
      <c r="CW4">
        <v>2</v>
      </c>
      <c r="CX4">
        <v>2</v>
      </c>
      <c r="CY4">
        <v>2</v>
      </c>
      <c r="CZ4" s="15">
        <v>0</v>
      </c>
      <c r="DA4" s="15">
        <v>0</v>
      </c>
      <c r="DB4">
        <v>2</v>
      </c>
      <c r="DC4">
        <v>2</v>
      </c>
      <c r="DD4">
        <v>2</v>
      </c>
      <c r="DE4">
        <v>2</v>
      </c>
      <c r="DF4">
        <v>2</v>
      </c>
      <c r="DG4" s="15">
        <v>0</v>
      </c>
      <c r="DH4" s="15">
        <v>0</v>
      </c>
      <c r="DI4">
        <v>2</v>
      </c>
      <c r="DJ4">
        <v>2</v>
      </c>
      <c r="DK4">
        <v>2</v>
      </c>
      <c r="DL4">
        <v>2</v>
      </c>
      <c r="DM4">
        <v>2</v>
      </c>
      <c r="DN4" s="15">
        <v>0</v>
      </c>
      <c r="DO4" s="15">
        <v>0</v>
      </c>
      <c r="DP4">
        <v>2</v>
      </c>
      <c r="DQ4">
        <v>2</v>
      </c>
      <c r="DR4">
        <v>2</v>
      </c>
      <c r="DS4">
        <v>2</v>
      </c>
    </row>
    <row r="5" spans="1:123" x14ac:dyDescent="0.2">
      <c r="A5" s="14" t="s">
        <v>14</v>
      </c>
      <c r="B5">
        <v>1</v>
      </c>
      <c r="C5">
        <v>1</v>
      </c>
      <c r="D5">
        <v>1</v>
      </c>
      <c r="E5">
        <v>1</v>
      </c>
      <c r="F5" s="15">
        <v>0</v>
      </c>
      <c r="G5" s="15">
        <v>0</v>
      </c>
      <c r="H5">
        <v>1</v>
      </c>
      <c r="I5">
        <v>1</v>
      </c>
      <c r="J5">
        <v>1</v>
      </c>
      <c r="K5">
        <v>1</v>
      </c>
      <c r="L5">
        <v>1</v>
      </c>
      <c r="M5" s="15">
        <v>0</v>
      </c>
      <c r="N5" s="15">
        <v>0</v>
      </c>
      <c r="O5">
        <v>1</v>
      </c>
      <c r="P5">
        <v>1</v>
      </c>
      <c r="Q5">
        <v>1</v>
      </c>
      <c r="R5">
        <v>1</v>
      </c>
      <c r="S5">
        <v>1</v>
      </c>
      <c r="T5" s="15">
        <v>0</v>
      </c>
      <c r="U5" s="15">
        <v>0</v>
      </c>
      <c r="V5">
        <v>1</v>
      </c>
      <c r="W5">
        <v>1</v>
      </c>
      <c r="X5">
        <v>1</v>
      </c>
      <c r="Y5">
        <v>1</v>
      </c>
      <c r="Z5">
        <v>1</v>
      </c>
      <c r="AA5" s="15">
        <v>0</v>
      </c>
      <c r="AB5" s="15">
        <v>0</v>
      </c>
      <c r="AC5">
        <v>1</v>
      </c>
      <c r="AD5">
        <v>1</v>
      </c>
      <c r="AE5">
        <v>1</v>
      </c>
      <c r="AF5">
        <v>1</v>
      </c>
      <c r="AG5">
        <v>1</v>
      </c>
      <c r="AH5" s="15">
        <v>0</v>
      </c>
      <c r="AI5" s="15">
        <v>0</v>
      </c>
      <c r="AJ5">
        <v>1</v>
      </c>
      <c r="AK5">
        <v>1</v>
      </c>
      <c r="AL5">
        <v>1</v>
      </c>
      <c r="AM5">
        <v>1</v>
      </c>
      <c r="AN5">
        <v>1</v>
      </c>
      <c r="AO5" s="15">
        <v>0</v>
      </c>
      <c r="AP5" s="15">
        <v>0</v>
      </c>
      <c r="AQ5">
        <v>1</v>
      </c>
      <c r="AR5">
        <v>1</v>
      </c>
      <c r="AS5">
        <v>1</v>
      </c>
      <c r="AT5">
        <v>1</v>
      </c>
      <c r="AU5">
        <v>1</v>
      </c>
      <c r="AV5" s="15">
        <v>0</v>
      </c>
      <c r="AW5" s="15">
        <v>0</v>
      </c>
      <c r="AX5">
        <v>1</v>
      </c>
      <c r="AY5">
        <v>1</v>
      </c>
      <c r="AZ5">
        <v>1</v>
      </c>
      <c r="BA5">
        <v>1</v>
      </c>
      <c r="BB5">
        <v>1</v>
      </c>
      <c r="BC5" s="15">
        <v>0</v>
      </c>
      <c r="BD5" s="15">
        <v>0</v>
      </c>
      <c r="BE5">
        <v>1</v>
      </c>
      <c r="BF5">
        <v>1</v>
      </c>
      <c r="BG5">
        <v>1</v>
      </c>
      <c r="BH5">
        <v>1</v>
      </c>
      <c r="BI5">
        <v>1</v>
      </c>
      <c r="BJ5" s="15">
        <v>0</v>
      </c>
      <c r="BK5" s="15">
        <v>0</v>
      </c>
      <c r="BL5">
        <v>1</v>
      </c>
      <c r="BM5">
        <v>1</v>
      </c>
      <c r="BN5">
        <v>1</v>
      </c>
      <c r="BO5">
        <v>1</v>
      </c>
      <c r="BP5">
        <v>1</v>
      </c>
      <c r="BQ5" s="15">
        <v>0</v>
      </c>
      <c r="BR5" s="15">
        <v>0</v>
      </c>
      <c r="BS5">
        <v>1</v>
      </c>
      <c r="BT5">
        <v>1</v>
      </c>
      <c r="BU5">
        <v>1</v>
      </c>
      <c r="BV5">
        <v>1</v>
      </c>
      <c r="BW5">
        <v>1</v>
      </c>
      <c r="BX5" s="15">
        <v>0</v>
      </c>
      <c r="BY5" s="15">
        <v>0</v>
      </c>
      <c r="BZ5">
        <v>1</v>
      </c>
      <c r="CA5">
        <v>1</v>
      </c>
      <c r="CB5">
        <v>1</v>
      </c>
      <c r="CC5">
        <v>1</v>
      </c>
      <c r="CD5">
        <v>1</v>
      </c>
      <c r="CE5" s="15">
        <v>0</v>
      </c>
      <c r="CF5" s="15">
        <v>0</v>
      </c>
      <c r="CG5">
        <v>1</v>
      </c>
      <c r="CH5">
        <v>1</v>
      </c>
      <c r="CI5">
        <v>1</v>
      </c>
      <c r="CJ5">
        <v>1</v>
      </c>
      <c r="CK5">
        <v>1</v>
      </c>
      <c r="CL5" s="15">
        <v>0</v>
      </c>
      <c r="CM5" s="15">
        <v>0</v>
      </c>
      <c r="CN5">
        <v>1</v>
      </c>
      <c r="CO5">
        <v>1</v>
      </c>
      <c r="CP5">
        <v>1</v>
      </c>
      <c r="CQ5">
        <v>1</v>
      </c>
      <c r="CR5">
        <v>1</v>
      </c>
      <c r="CS5" s="15">
        <v>0</v>
      </c>
      <c r="CT5" s="15">
        <v>0</v>
      </c>
      <c r="CU5">
        <v>1</v>
      </c>
      <c r="CV5">
        <v>1</v>
      </c>
      <c r="CW5">
        <v>1</v>
      </c>
      <c r="CX5">
        <v>1</v>
      </c>
      <c r="CY5">
        <v>1</v>
      </c>
      <c r="CZ5" s="15">
        <v>0</v>
      </c>
      <c r="DA5" s="15">
        <v>0</v>
      </c>
      <c r="DB5">
        <v>1</v>
      </c>
      <c r="DC5">
        <v>1</v>
      </c>
      <c r="DD5">
        <v>1</v>
      </c>
      <c r="DE5">
        <v>1</v>
      </c>
      <c r="DF5">
        <v>1</v>
      </c>
      <c r="DG5" s="15">
        <v>0</v>
      </c>
      <c r="DH5" s="15">
        <v>0</v>
      </c>
      <c r="DI5">
        <v>1</v>
      </c>
      <c r="DJ5">
        <v>1</v>
      </c>
      <c r="DK5">
        <v>1</v>
      </c>
      <c r="DL5">
        <v>1</v>
      </c>
      <c r="DM5">
        <v>1</v>
      </c>
      <c r="DN5" s="15">
        <v>0</v>
      </c>
      <c r="DO5" s="15">
        <v>0</v>
      </c>
      <c r="DP5">
        <v>1</v>
      </c>
      <c r="DQ5">
        <v>1</v>
      </c>
      <c r="DR5">
        <v>1</v>
      </c>
      <c r="DS5">
        <v>1</v>
      </c>
    </row>
    <row r="6" spans="1:123" x14ac:dyDescent="0.2">
      <c r="A6" s="14" t="s">
        <v>11</v>
      </c>
      <c r="B6">
        <v>1</v>
      </c>
      <c r="C6">
        <v>1</v>
      </c>
      <c r="D6">
        <v>1</v>
      </c>
      <c r="E6">
        <v>1</v>
      </c>
      <c r="F6" s="15">
        <v>0</v>
      </c>
      <c r="G6" s="15">
        <v>0</v>
      </c>
      <c r="H6">
        <v>1</v>
      </c>
      <c r="I6">
        <v>1</v>
      </c>
      <c r="J6">
        <v>1</v>
      </c>
      <c r="K6">
        <v>1</v>
      </c>
      <c r="L6">
        <v>1</v>
      </c>
      <c r="M6" s="15">
        <v>0</v>
      </c>
      <c r="N6" s="15">
        <v>0</v>
      </c>
      <c r="O6">
        <v>1</v>
      </c>
      <c r="P6">
        <v>1</v>
      </c>
      <c r="Q6">
        <v>1</v>
      </c>
      <c r="R6">
        <v>1</v>
      </c>
      <c r="S6">
        <v>1</v>
      </c>
      <c r="T6" s="15">
        <v>0</v>
      </c>
      <c r="U6" s="15">
        <v>0</v>
      </c>
      <c r="V6">
        <v>1</v>
      </c>
      <c r="W6">
        <v>1</v>
      </c>
      <c r="X6">
        <v>1</v>
      </c>
      <c r="Y6">
        <v>1</v>
      </c>
      <c r="Z6">
        <v>1</v>
      </c>
      <c r="AA6" s="15">
        <v>0</v>
      </c>
      <c r="AB6" s="15">
        <v>0</v>
      </c>
      <c r="AC6">
        <v>1</v>
      </c>
      <c r="AD6">
        <v>1</v>
      </c>
      <c r="AE6">
        <v>1</v>
      </c>
      <c r="AF6">
        <v>1</v>
      </c>
      <c r="AG6">
        <v>1</v>
      </c>
      <c r="AH6" s="15">
        <v>0</v>
      </c>
      <c r="AI6" s="15">
        <v>0</v>
      </c>
      <c r="AJ6">
        <v>1</v>
      </c>
      <c r="AK6">
        <v>1</v>
      </c>
      <c r="AL6">
        <v>1</v>
      </c>
      <c r="AM6">
        <v>1</v>
      </c>
      <c r="AN6">
        <v>1</v>
      </c>
      <c r="AO6" s="15">
        <v>0</v>
      </c>
      <c r="AP6" s="15">
        <v>0</v>
      </c>
      <c r="AQ6">
        <v>1</v>
      </c>
      <c r="AR6">
        <v>1</v>
      </c>
      <c r="AS6">
        <v>1</v>
      </c>
      <c r="AT6">
        <v>1</v>
      </c>
      <c r="AU6">
        <v>1</v>
      </c>
      <c r="AV6" s="15">
        <v>0</v>
      </c>
      <c r="AW6" s="15">
        <v>0</v>
      </c>
      <c r="AX6">
        <v>1</v>
      </c>
      <c r="AY6">
        <v>1</v>
      </c>
      <c r="AZ6">
        <v>1</v>
      </c>
      <c r="BA6">
        <v>1</v>
      </c>
      <c r="BB6">
        <v>1</v>
      </c>
      <c r="BC6" s="15">
        <v>0</v>
      </c>
      <c r="BD6" s="15">
        <v>0</v>
      </c>
      <c r="BE6">
        <v>1</v>
      </c>
      <c r="BF6">
        <v>1</v>
      </c>
      <c r="BG6">
        <v>1</v>
      </c>
      <c r="BH6">
        <v>1</v>
      </c>
      <c r="BI6">
        <v>1</v>
      </c>
      <c r="BJ6" s="15">
        <v>0</v>
      </c>
      <c r="BK6" s="15">
        <v>0</v>
      </c>
      <c r="BL6">
        <v>1</v>
      </c>
      <c r="BM6">
        <v>1</v>
      </c>
      <c r="BN6">
        <v>1</v>
      </c>
      <c r="BO6">
        <v>1</v>
      </c>
      <c r="BP6">
        <v>1</v>
      </c>
      <c r="BQ6" s="15">
        <v>0</v>
      </c>
      <c r="BR6" s="15">
        <v>0</v>
      </c>
      <c r="BS6">
        <v>1</v>
      </c>
      <c r="BT6">
        <v>1</v>
      </c>
      <c r="BU6">
        <v>1</v>
      </c>
      <c r="BV6">
        <v>1</v>
      </c>
      <c r="BW6">
        <v>1</v>
      </c>
      <c r="BX6" s="15">
        <v>0</v>
      </c>
      <c r="BY6" s="15">
        <v>0</v>
      </c>
      <c r="BZ6">
        <v>1</v>
      </c>
      <c r="CA6">
        <v>1</v>
      </c>
      <c r="CB6">
        <v>1</v>
      </c>
      <c r="CC6">
        <v>1</v>
      </c>
      <c r="CD6">
        <v>1</v>
      </c>
      <c r="CE6" s="15">
        <v>0</v>
      </c>
      <c r="CF6" s="15">
        <v>0</v>
      </c>
      <c r="CG6">
        <v>1</v>
      </c>
      <c r="CH6">
        <v>1</v>
      </c>
      <c r="CI6">
        <v>1</v>
      </c>
      <c r="CJ6">
        <v>1</v>
      </c>
      <c r="CK6">
        <v>1</v>
      </c>
      <c r="CL6" s="15">
        <v>0</v>
      </c>
      <c r="CM6" s="15">
        <v>0</v>
      </c>
      <c r="CN6">
        <v>1</v>
      </c>
      <c r="CO6">
        <v>1</v>
      </c>
      <c r="CP6">
        <v>1</v>
      </c>
      <c r="CQ6">
        <v>1</v>
      </c>
      <c r="CR6">
        <v>1</v>
      </c>
      <c r="CS6" s="15">
        <v>0</v>
      </c>
      <c r="CT6" s="15">
        <v>0</v>
      </c>
      <c r="CU6">
        <v>1</v>
      </c>
      <c r="CV6">
        <v>1</v>
      </c>
      <c r="CW6">
        <v>1</v>
      </c>
      <c r="CX6">
        <v>1</v>
      </c>
      <c r="CY6">
        <v>1</v>
      </c>
      <c r="CZ6" s="15">
        <v>0</v>
      </c>
      <c r="DA6" s="15">
        <v>0</v>
      </c>
      <c r="DB6">
        <v>1</v>
      </c>
      <c r="DC6">
        <v>1</v>
      </c>
      <c r="DD6">
        <v>1</v>
      </c>
      <c r="DE6">
        <v>1</v>
      </c>
      <c r="DF6">
        <v>1</v>
      </c>
      <c r="DG6" s="15">
        <v>0</v>
      </c>
      <c r="DH6" s="15">
        <v>0</v>
      </c>
      <c r="DI6">
        <v>1</v>
      </c>
      <c r="DJ6">
        <v>1</v>
      </c>
      <c r="DK6">
        <v>1</v>
      </c>
      <c r="DL6">
        <v>1</v>
      </c>
      <c r="DM6">
        <v>1</v>
      </c>
      <c r="DN6" s="15">
        <v>0</v>
      </c>
      <c r="DO6" s="15">
        <v>0</v>
      </c>
      <c r="DP6">
        <v>1</v>
      </c>
      <c r="DQ6">
        <v>1</v>
      </c>
      <c r="DR6">
        <v>1</v>
      </c>
      <c r="DS6">
        <v>1</v>
      </c>
    </row>
    <row r="7" spans="1:123" x14ac:dyDescent="0.2">
      <c r="A7" s="14" t="s">
        <v>9</v>
      </c>
      <c r="B7">
        <v>1</v>
      </c>
      <c r="C7">
        <v>1</v>
      </c>
      <c r="D7">
        <v>1</v>
      </c>
      <c r="E7">
        <v>1</v>
      </c>
      <c r="F7" s="15">
        <v>0</v>
      </c>
      <c r="G7" s="15">
        <v>0</v>
      </c>
      <c r="H7">
        <v>1</v>
      </c>
      <c r="I7">
        <v>1</v>
      </c>
      <c r="J7">
        <v>1</v>
      </c>
      <c r="K7">
        <v>1</v>
      </c>
      <c r="L7">
        <v>1</v>
      </c>
      <c r="M7" s="15">
        <v>0</v>
      </c>
      <c r="N7" s="15">
        <v>0</v>
      </c>
      <c r="O7">
        <v>1</v>
      </c>
      <c r="P7">
        <v>1</v>
      </c>
      <c r="Q7">
        <v>1</v>
      </c>
      <c r="R7">
        <v>1</v>
      </c>
      <c r="S7">
        <v>1</v>
      </c>
      <c r="T7" s="15">
        <v>0</v>
      </c>
      <c r="U7" s="15">
        <v>0</v>
      </c>
      <c r="V7">
        <v>1</v>
      </c>
      <c r="W7">
        <v>1</v>
      </c>
      <c r="X7">
        <v>1</v>
      </c>
      <c r="Y7">
        <v>1</v>
      </c>
      <c r="Z7">
        <v>1</v>
      </c>
      <c r="AA7" s="15">
        <v>0</v>
      </c>
      <c r="AB7" s="15">
        <v>0</v>
      </c>
      <c r="AC7">
        <v>1</v>
      </c>
      <c r="AD7">
        <v>1</v>
      </c>
      <c r="AE7">
        <v>1</v>
      </c>
      <c r="AF7">
        <v>1</v>
      </c>
      <c r="AG7">
        <v>1</v>
      </c>
      <c r="AH7" s="15">
        <v>0</v>
      </c>
      <c r="AI7" s="15">
        <v>0</v>
      </c>
      <c r="AJ7">
        <v>1</v>
      </c>
      <c r="AK7">
        <v>1</v>
      </c>
      <c r="AL7">
        <v>1</v>
      </c>
      <c r="AM7">
        <v>1</v>
      </c>
      <c r="AN7">
        <v>1</v>
      </c>
      <c r="AO7" s="15">
        <v>0</v>
      </c>
      <c r="AP7" s="15">
        <v>0</v>
      </c>
      <c r="AQ7">
        <v>1</v>
      </c>
      <c r="AR7">
        <v>1</v>
      </c>
      <c r="AS7">
        <v>1</v>
      </c>
      <c r="AT7">
        <v>1</v>
      </c>
      <c r="AU7">
        <v>1</v>
      </c>
      <c r="AV7" s="15">
        <v>0</v>
      </c>
      <c r="AW7" s="15">
        <v>0</v>
      </c>
      <c r="AX7">
        <v>1</v>
      </c>
      <c r="AY7">
        <v>1</v>
      </c>
      <c r="AZ7">
        <v>1</v>
      </c>
      <c r="BA7">
        <v>1</v>
      </c>
      <c r="BB7">
        <v>1</v>
      </c>
      <c r="BC7" s="15">
        <v>0</v>
      </c>
      <c r="BD7" s="15">
        <v>0</v>
      </c>
      <c r="BE7">
        <v>1</v>
      </c>
      <c r="BF7">
        <v>1</v>
      </c>
      <c r="BG7">
        <v>1</v>
      </c>
      <c r="BH7">
        <v>1</v>
      </c>
      <c r="BI7">
        <v>1</v>
      </c>
      <c r="BJ7" s="15">
        <v>0</v>
      </c>
      <c r="BK7" s="15">
        <v>0</v>
      </c>
      <c r="BL7">
        <v>1</v>
      </c>
      <c r="BM7">
        <v>1</v>
      </c>
      <c r="BN7">
        <v>1</v>
      </c>
      <c r="BO7">
        <v>1</v>
      </c>
      <c r="BP7">
        <v>1</v>
      </c>
      <c r="BQ7" s="15">
        <v>0</v>
      </c>
      <c r="BR7" s="15">
        <v>0</v>
      </c>
      <c r="BS7">
        <v>1</v>
      </c>
      <c r="BT7">
        <v>1</v>
      </c>
      <c r="BU7">
        <v>1</v>
      </c>
      <c r="BV7">
        <v>1</v>
      </c>
      <c r="BW7">
        <v>1</v>
      </c>
      <c r="BX7" s="15">
        <v>0</v>
      </c>
      <c r="BY7" s="15">
        <v>0</v>
      </c>
      <c r="BZ7">
        <v>1</v>
      </c>
      <c r="CA7">
        <v>1</v>
      </c>
      <c r="CB7">
        <v>1</v>
      </c>
      <c r="CC7">
        <v>1</v>
      </c>
      <c r="CD7">
        <v>1</v>
      </c>
      <c r="CE7" s="15">
        <v>0</v>
      </c>
      <c r="CF7" s="15">
        <v>0</v>
      </c>
      <c r="CG7">
        <v>1</v>
      </c>
      <c r="CH7">
        <v>1</v>
      </c>
      <c r="CI7">
        <v>1</v>
      </c>
      <c r="CJ7">
        <v>1</v>
      </c>
      <c r="CK7">
        <v>1</v>
      </c>
      <c r="CL7" s="15">
        <v>0</v>
      </c>
      <c r="CM7" s="15">
        <v>0</v>
      </c>
      <c r="CN7">
        <v>1</v>
      </c>
      <c r="CO7">
        <v>1</v>
      </c>
      <c r="CP7">
        <v>1</v>
      </c>
      <c r="CQ7">
        <v>1</v>
      </c>
      <c r="CR7">
        <v>1</v>
      </c>
      <c r="CS7" s="15">
        <v>0</v>
      </c>
      <c r="CT7" s="15">
        <v>0</v>
      </c>
      <c r="CU7">
        <v>1</v>
      </c>
      <c r="CV7">
        <v>1</v>
      </c>
      <c r="CW7">
        <v>1</v>
      </c>
      <c r="CX7">
        <v>1</v>
      </c>
      <c r="CY7">
        <v>1</v>
      </c>
      <c r="CZ7" s="15">
        <v>0</v>
      </c>
      <c r="DA7" s="15">
        <v>0</v>
      </c>
      <c r="DB7">
        <v>1</v>
      </c>
      <c r="DC7">
        <v>1</v>
      </c>
      <c r="DD7">
        <v>1</v>
      </c>
      <c r="DE7">
        <v>1</v>
      </c>
      <c r="DF7">
        <v>1</v>
      </c>
      <c r="DG7" s="15">
        <v>0</v>
      </c>
      <c r="DH7" s="15">
        <v>0</v>
      </c>
      <c r="DI7">
        <v>1</v>
      </c>
      <c r="DJ7">
        <v>1</v>
      </c>
      <c r="DK7">
        <v>1</v>
      </c>
      <c r="DL7">
        <v>1</v>
      </c>
      <c r="DM7">
        <v>1</v>
      </c>
      <c r="DN7" s="15">
        <v>0</v>
      </c>
      <c r="DO7" s="15">
        <v>0</v>
      </c>
      <c r="DP7">
        <v>1</v>
      </c>
      <c r="DQ7">
        <v>1</v>
      </c>
      <c r="DR7">
        <v>1</v>
      </c>
      <c r="DS7">
        <v>1</v>
      </c>
    </row>
    <row r="8" spans="1:123" x14ac:dyDescent="0.2">
      <c r="A8" s="14" t="s">
        <v>22</v>
      </c>
      <c r="B8">
        <v>1</v>
      </c>
      <c r="C8">
        <v>1</v>
      </c>
      <c r="D8">
        <v>1</v>
      </c>
      <c r="E8">
        <v>1</v>
      </c>
      <c r="F8" s="15">
        <v>0</v>
      </c>
      <c r="G8" s="15">
        <v>0</v>
      </c>
      <c r="H8">
        <v>1</v>
      </c>
      <c r="I8">
        <v>1</v>
      </c>
      <c r="J8">
        <v>1</v>
      </c>
      <c r="K8">
        <v>1</v>
      </c>
      <c r="L8">
        <v>1</v>
      </c>
      <c r="M8" s="15">
        <v>0</v>
      </c>
      <c r="N8" s="15">
        <v>0</v>
      </c>
      <c r="O8">
        <v>1</v>
      </c>
      <c r="P8">
        <v>1</v>
      </c>
      <c r="Q8">
        <v>1</v>
      </c>
      <c r="R8">
        <v>1</v>
      </c>
      <c r="S8">
        <v>1</v>
      </c>
      <c r="T8" s="15">
        <v>0</v>
      </c>
      <c r="U8" s="15">
        <v>0</v>
      </c>
      <c r="V8">
        <v>1</v>
      </c>
      <c r="W8">
        <v>1</v>
      </c>
      <c r="X8">
        <v>1</v>
      </c>
      <c r="Y8">
        <v>1</v>
      </c>
      <c r="Z8">
        <v>1</v>
      </c>
      <c r="AA8" s="15">
        <v>0</v>
      </c>
      <c r="AB8" s="15">
        <v>0</v>
      </c>
      <c r="AC8">
        <v>1</v>
      </c>
      <c r="AD8">
        <v>1</v>
      </c>
      <c r="AE8">
        <v>1</v>
      </c>
      <c r="AF8">
        <v>1</v>
      </c>
      <c r="AG8">
        <v>1</v>
      </c>
      <c r="AH8" s="15">
        <v>0</v>
      </c>
      <c r="AI8" s="15">
        <v>0</v>
      </c>
      <c r="AJ8">
        <v>1</v>
      </c>
      <c r="AK8">
        <v>1</v>
      </c>
      <c r="AL8">
        <v>1</v>
      </c>
      <c r="AM8">
        <v>1</v>
      </c>
      <c r="AN8">
        <v>1</v>
      </c>
      <c r="AO8" s="15">
        <v>0</v>
      </c>
      <c r="AP8" s="15">
        <v>0</v>
      </c>
      <c r="AQ8">
        <v>1</v>
      </c>
      <c r="AR8">
        <v>1</v>
      </c>
      <c r="AS8">
        <v>1</v>
      </c>
      <c r="AT8">
        <v>1</v>
      </c>
      <c r="AU8">
        <v>1</v>
      </c>
      <c r="AV8" s="15">
        <v>0</v>
      </c>
      <c r="AW8" s="15">
        <v>0</v>
      </c>
      <c r="AX8">
        <v>1</v>
      </c>
      <c r="AY8">
        <v>1</v>
      </c>
      <c r="AZ8">
        <v>1</v>
      </c>
      <c r="BA8">
        <v>1</v>
      </c>
      <c r="BB8">
        <v>1</v>
      </c>
      <c r="BC8" s="15">
        <v>0</v>
      </c>
      <c r="BD8" s="15">
        <v>0</v>
      </c>
      <c r="BE8">
        <v>1</v>
      </c>
      <c r="BF8">
        <v>1</v>
      </c>
      <c r="BG8">
        <v>1</v>
      </c>
      <c r="BH8">
        <v>1</v>
      </c>
      <c r="BI8">
        <v>1</v>
      </c>
      <c r="BJ8" s="15">
        <v>0</v>
      </c>
      <c r="BK8" s="15">
        <v>0</v>
      </c>
      <c r="BL8">
        <v>1</v>
      </c>
      <c r="BM8">
        <v>1</v>
      </c>
      <c r="BN8">
        <v>1</v>
      </c>
      <c r="BO8">
        <v>1</v>
      </c>
      <c r="BP8">
        <v>1</v>
      </c>
      <c r="BQ8" s="15">
        <v>0</v>
      </c>
      <c r="BR8" s="15">
        <v>0</v>
      </c>
      <c r="BS8">
        <v>1</v>
      </c>
      <c r="BT8">
        <v>1</v>
      </c>
      <c r="BU8">
        <v>1</v>
      </c>
      <c r="BV8">
        <v>1</v>
      </c>
      <c r="BW8">
        <v>1</v>
      </c>
      <c r="BX8" s="15">
        <v>0</v>
      </c>
      <c r="BY8" s="15">
        <v>0</v>
      </c>
      <c r="BZ8">
        <v>1</v>
      </c>
      <c r="CA8">
        <v>1</v>
      </c>
      <c r="CB8">
        <v>1</v>
      </c>
      <c r="CC8">
        <v>1</v>
      </c>
      <c r="CD8">
        <v>1</v>
      </c>
      <c r="CE8" s="15">
        <v>0</v>
      </c>
      <c r="CF8" s="15">
        <v>0</v>
      </c>
      <c r="CG8">
        <v>1</v>
      </c>
      <c r="CH8">
        <v>1</v>
      </c>
      <c r="CI8">
        <v>1</v>
      </c>
      <c r="CJ8">
        <v>1</v>
      </c>
      <c r="CK8">
        <v>1</v>
      </c>
      <c r="CL8" s="15">
        <v>0</v>
      </c>
      <c r="CM8" s="15">
        <v>0</v>
      </c>
      <c r="CN8">
        <v>1</v>
      </c>
      <c r="CO8">
        <v>1</v>
      </c>
      <c r="CP8">
        <v>1</v>
      </c>
      <c r="CQ8">
        <v>1</v>
      </c>
      <c r="CR8">
        <v>1</v>
      </c>
      <c r="CS8" s="15">
        <v>0</v>
      </c>
      <c r="CT8" s="15">
        <v>0</v>
      </c>
      <c r="CU8">
        <v>1</v>
      </c>
      <c r="CV8">
        <v>1</v>
      </c>
      <c r="CW8">
        <v>1</v>
      </c>
      <c r="CX8">
        <v>1</v>
      </c>
      <c r="CY8">
        <v>1</v>
      </c>
      <c r="CZ8" s="15">
        <v>0</v>
      </c>
      <c r="DA8" s="15">
        <v>0</v>
      </c>
      <c r="DB8">
        <v>1</v>
      </c>
      <c r="DC8">
        <v>1</v>
      </c>
      <c r="DD8">
        <v>1</v>
      </c>
      <c r="DE8">
        <v>1</v>
      </c>
      <c r="DF8">
        <v>1</v>
      </c>
      <c r="DG8" s="15">
        <v>0</v>
      </c>
      <c r="DH8" s="15">
        <v>0</v>
      </c>
      <c r="DI8">
        <v>1</v>
      </c>
      <c r="DJ8">
        <v>1</v>
      </c>
      <c r="DK8">
        <v>1</v>
      </c>
      <c r="DL8">
        <v>1</v>
      </c>
      <c r="DM8">
        <v>1</v>
      </c>
      <c r="DN8" s="15">
        <v>0</v>
      </c>
      <c r="DO8" s="15">
        <v>0</v>
      </c>
      <c r="DP8">
        <v>1</v>
      </c>
      <c r="DQ8">
        <v>1</v>
      </c>
      <c r="DR8">
        <v>1</v>
      </c>
      <c r="DS8">
        <v>1</v>
      </c>
    </row>
    <row r="9" spans="1:123" x14ac:dyDescent="0.2">
      <c r="A9" s="14"/>
    </row>
    <row r="10" spans="1:123" x14ac:dyDescent="0.2">
      <c r="A10" s="14"/>
    </row>
    <row r="11" spans="1:123" x14ac:dyDescent="0.2">
      <c r="A11" s="14"/>
    </row>
    <row r="12" spans="1:123" x14ac:dyDescent="0.2">
      <c r="A12" s="14"/>
    </row>
  </sheetData>
  <conditionalFormatting sqref="B1:AC1 A9:AC12 B2:AG8">
    <cfRule type="cellIs" dxfId="31" priority="29" operator="equal">
      <formula>"B"</formula>
    </cfRule>
    <cfRule type="cellIs" dxfId="30" priority="30" operator="equal">
      <formula>"L"</formula>
    </cfRule>
  </conditionalFormatting>
  <conditionalFormatting sqref="AH2:AN8">
    <cfRule type="cellIs" dxfId="29" priority="25" operator="equal">
      <formula>"B"</formula>
    </cfRule>
    <cfRule type="cellIs" dxfId="28" priority="26" operator="equal">
      <formula>"L"</formula>
    </cfRule>
  </conditionalFormatting>
  <conditionalFormatting sqref="AO2:AU8">
    <cfRule type="cellIs" dxfId="27" priority="23" operator="equal">
      <formula>"B"</formula>
    </cfRule>
    <cfRule type="cellIs" dxfId="26" priority="24" operator="equal">
      <formula>"L"</formula>
    </cfRule>
  </conditionalFormatting>
  <conditionalFormatting sqref="AV2:BB8">
    <cfRule type="cellIs" dxfId="25" priority="21" operator="equal">
      <formula>"B"</formula>
    </cfRule>
    <cfRule type="cellIs" dxfId="24" priority="22" operator="equal">
      <formula>"L"</formula>
    </cfRule>
  </conditionalFormatting>
  <conditionalFormatting sqref="BC2:BI8">
    <cfRule type="cellIs" dxfId="23" priority="19" operator="equal">
      <formula>"B"</formula>
    </cfRule>
    <cfRule type="cellIs" dxfId="22" priority="20" operator="equal">
      <formula>"L"</formula>
    </cfRule>
  </conditionalFormatting>
  <conditionalFormatting sqref="BJ2:BP8">
    <cfRule type="cellIs" dxfId="21" priority="17" operator="equal">
      <formula>"B"</formula>
    </cfRule>
    <cfRule type="cellIs" dxfId="20" priority="18" operator="equal">
      <formula>"L"</formula>
    </cfRule>
  </conditionalFormatting>
  <conditionalFormatting sqref="BQ2:BW8">
    <cfRule type="cellIs" dxfId="19" priority="15" operator="equal">
      <formula>"B"</formula>
    </cfRule>
    <cfRule type="cellIs" dxfId="18" priority="16" operator="equal">
      <formula>"L"</formula>
    </cfRule>
  </conditionalFormatting>
  <conditionalFormatting sqref="BX2:CD8">
    <cfRule type="cellIs" dxfId="17" priority="13" operator="equal">
      <formula>"B"</formula>
    </cfRule>
    <cfRule type="cellIs" dxfId="16" priority="14" operator="equal">
      <formula>"L"</formula>
    </cfRule>
  </conditionalFormatting>
  <conditionalFormatting sqref="CE2:CK8">
    <cfRule type="cellIs" dxfId="15" priority="11" operator="equal">
      <formula>"B"</formula>
    </cfRule>
    <cfRule type="cellIs" dxfId="14" priority="12" operator="equal">
      <formula>"L"</formula>
    </cfRule>
  </conditionalFormatting>
  <conditionalFormatting sqref="CL2:CR8">
    <cfRule type="cellIs" dxfId="13" priority="9" operator="equal">
      <formula>"B"</formula>
    </cfRule>
    <cfRule type="cellIs" dxfId="12" priority="10" operator="equal">
      <formula>"L"</formula>
    </cfRule>
  </conditionalFormatting>
  <conditionalFormatting sqref="CS2:CY8">
    <cfRule type="cellIs" dxfId="11" priority="7" operator="equal">
      <formula>"B"</formula>
    </cfRule>
    <cfRule type="cellIs" dxfId="10" priority="8" operator="equal">
      <formula>"L"</formula>
    </cfRule>
  </conditionalFormatting>
  <conditionalFormatting sqref="CZ2:DF8">
    <cfRule type="cellIs" dxfId="9" priority="5" operator="equal">
      <formula>"B"</formula>
    </cfRule>
    <cfRule type="cellIs" dxfId="8" priority="6" operator="equal">
      <formula>"L"</formula>
    </cfRule>
  </conditionalFormatting>
  <conditionalFormatting sqref="DG2:DM8">
    <cfRule type="cellIs" dxfId="7" priority="3" operator="equal">
      <formula>"B"</formula>
    </cfRule>
    <cfRule type="cellIs" dxfId="6" priority="4" operator="equal">
      <formula>"L"</formula>
    </cfRule>
  </conditionalFormatting>
  <conditionalFormatting sqref="DN2:DT8">
    <cfRule type="cellIs" dxfId="5" priority="1" operator="equal">
      <formula>"B"</formula>
    </cfRule>
    <cfRule type="cellIs" dxfId="4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DV12"/>
  <sheetViews>
    <sheetView zoomScale="75" workbookViewId="0">
      <selection activeCell="M36" sqref="M36"/>
    </sheetView>
  </sheetViews>
  <sheetFormatPr baseColWidth="10" defaultRowHeight="16" x14ac:dyDescent="0.2"/>
  <cols>
    <col min="1" max="1" width="24.5" customWidth="1"/>
    <col min="6" max="7" width="10.83203125" style="15"/>
    <col min="13" max="14" width="10.83203125" style="15"/>
    <col min="20" max="21" width="10.83203125" style="15"/>
    <col min="27" max="28" width="10.83203125" style="15"/>
  </cols>
  <sheetData>
    <row r="1" spans="1:126" x14ac:dyDescent="0.2">
      <c r="A1" s="14"/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74</v>
      </c>
      <c r="O1" s="25" t="s">
        <v>75</v>
      </c>
      <c r="P1" s="25" t="s">
        <v>76</v>
      </c>
      <c r="Q1" s="25" t="s">
        <v>77</v>
      </c>
      <c r="R1" s="25" t="s">
        <v>78</v>
      </c>
      <c r="S1" s="25" t="s">
        <v>79</v>
      </c>
      <c r="T1" s="24" t="s">
        <v>80</v>
      </c>
      <c r="U1" s="24" t="s">
        <v>81</v>
      </c>
      <c r="V1" s="25" t="s">
        <v>82</v>
      </c>
      <c r="W1" s="25" t="s">
        <v>83</v>
      </c>
      <c r="X1" s="25" t="s">
        <v>84</v>
      </c>
      <c r="Y1" s="25" t="s">
        <v>85</v>
      </c>
      <c r="Z1" s="25" t="s">
        <v>86</v>
      </c>
      <c r="AA1" s="24" t="s">
        <v>87</v>
      </c>
      <c r="AB1" s="24" t="s">
        <v>88</v>
      </c>
      <c r="AC1" s="25" t="s">
        <v>89</v>
      </c>
      <c r="AD1" t="s">
        <v>90</v>
      </c>
      <c r="AE1" t="s">
        <v>91</v>
      </c>
      <c r="AF1" s="16">
        <v>46032</v>
      </c>
      <c r="AG1" s="16">
        <v>46063</v>
      </c>
      <c r="AH1" s="30">
        <v>46091</v>
      </c>
      <c r="AI1" s="30">
        <v>46122</v>
      </c>
      <c r="AJ1" s="16">
        <v>46152</v>
      </c>
      <c r="AK1" s="16">
        <v>46183</v>
      </c>
      <c r="AL1" s="16">
        <v>46213</v>
      </c>
      <c r="AM1" s="16">
        <v>46244</v>
      </c>
      <c r="AN1" s="16">
        <v>46275</v>
      </c>
      <c r="AO1" s="30">
        <v>46305</v>
      </c>
      <c r="AP1" s="30">
        <v>46336</v>
      </c>
      <c r="AQ1" s="16">
        <v>46366</v>
      </c>
      <c r="AR1" t="s">
        <v>73</v>
      </c>
      <c r="AS1" t="s">
        <v>92</v>
      </c>
      <c r="AT1" t="s">
        <v>93</v>
      </c>
      <c r="AU1" t="s">
        <v>94</v>
      </c>
      <c r="AV1" s="15" t="s">
        <v>95</v>
      </c>
      <c r="AW1" s="15" t="s">
        <v>96</v>
      </c>
      <c r="AX1" t="s">
        <v>97</v>
      </c>
      <c r="AY1" t="s">
        <v>98</v>
      </c>
      <c r="AZ1" t="s">
        <v>99</v>
      </c>
      <c r="BA1" t="s">
        <v>100</v>
      </c>
      <c r="BB1" t="s">
        <v>101</v>
      </c>
      <c r="BC1" s="15" t="s">
        <v>102</v>
      </c>
      <c r="BD1" s="15" t="s">
        <v>103</v>
      </c>
      <c r="BE1" t="s">
        <v>104</v>
      </c>
      <c r="BF1" t="s">
        <v>105</v>
      </c>
      <c r="BG1" t="s">
        <v>106</v>
      </c>
      <c r="BH1" t="s">
        <v>72</v>
      </c>
      <c r="BI1" t="s">
        <v>71</v>
      </c>
      <c r="BJ1" s="15" t="s">
        <v>70</v>
      </c>
      <c r="BK1" s="30">
        <v>46033</v>
      </c>
      <c r="BL1" s="16">
        <v>46064</v>
      </c>
      <c r="BM1" s="16">
        <v>46092</v>
      </c>
      <c r="BN1" s="16">
        <v>46123</v>
      </c>
      <c r="BO1" s="16">
        <v>46153</v>
      </c>
      <c r="BP1" s="16">
        <v>46184</v>
      </c>
      <c r="BQ1" s="30">
        <v>46214</v>
      </c>
      <c r="BR1" s="30">
        <v>46245</v>
      </c>
      <c r="BS1" s="16">
        <v>46276</v>
      </c>
      <c r="BT1" s="16">
        <v>46306</v>
      </c>
      <c r="BU1" s="16">
        <v>46337</v>
      </c>
      <c r="BV1" s="16">
        <v>46367</v>
      </c>
      <c r="BW1" t="s">
        <v>25</v>
      </c>
      <c r="BX1" s="15" t="s">
        <v>26</v>
      </c>
      <c r="BY1" s="15" t="s">
        <v>27</v>
      </c>
      <c r="BZ1" t="s">
        <v>28</v>
      </c>
      <c r="CA1" t="s">
        <v>29</v>
      </c>
      <c r="CB1" t="s">
        <v>30</v>
      </c>
      <c r="CC1" t="s">
        <v>31</v>
      </c>
      <c r="CD1" t="s">
        <v>32</v>
      </c>
      <c r="CE1" s="15" t="s">
        <v>33</v>
      </c>
      <c r="CF1" s="15" t="s">
        <v>34</v>
      </c>
      <c r="CG1" t="s">
        <v>35</v>
      </c>
      <c r="CH1" t="s">
        <v>36</v>
      </c>
      <c r="CI1" t="s">
        <v>37</v>
      </c>
      <c r="CJ1" t="s">
        <v>38</v>
      </c>
      <c r="CK1" t="s">
        <v>39</v>
      </c>
      <c r="CL1" s="15" t="s">
        <v>40</v>
      </c>
      <c r="CM1" s="15" t="s">
        <v>41</v>
      </c>
      <c r="CN1" t="s">
        <v>42</v>
      </c>
      <c r="CO1" s="16">
        <v>46034</v>
      </c>
      <c r="CP1" s="16">
        <v>46065</v>
      </c>
      <c r="CQ1" s="16">
        <v>46093</v>
      </c>
      <c r="CR1" s="16">
        <v>46124</v>
      </c>
      <c r="CS1" s="30">
        <v>46154</v>
      </c>
      <c r="CT1" s="30">
        <v>46185</v>
      </c>
      <c r="CU1" s="16">
        <v>46215</v>
      </c>
      <c r="CV1" s="16">
        <v>46246</v>
      </c>
      <c r="CW1" s="16">
        <v>46277</v>
      </c>
      <c r="CX1" s="16">
        <v>46307</v>
      </c>
      <c r="CY1" s="16">
        <v>46338</v>
      </c>
      <c r="CZ1" s="30">
        <v>46368</v>
      </c>
      <c r="DA1" s="15" t="s">
        <v>107</v>
      </c>
      <c r="DB1" t="s">
        <v>108</v>
      </c>
      <c r="DC1" t="s">
        <v>109</v>
      </c>
      <c r="DD1" t="s">
        <v>110</v>
      </c>
      <c r="DE1" t="s">
        <v>111</v>
      </c>
      <c r="DF1" t="s">
        <v>112</v>
      </c>
      <c r="DG1" s="15" t="s">
        <v>113</v>
      </c>
      <c r="DH1" s="15" t="s">
        <v>114</v>
      </c>
      <c r="DI1" t="s">
        <v>115</v>
      </c>
      <c r="DJ1" t="s">
        <v>116</v>
      </c>
      <c r="DK1" t="s">
        <v>117</v>
      </c>
      <c r="DL1" t="s">
        <v>118</v>
      </c>
      <c r="DM1" t="s">
        <v>119</v>
      </c>
      <c r="DN1" s="15" t="s">
        <v>120</v>
      </c>
      <c r="DO1" s="15" t="s">
        <v>121</v>
      </c>
      <c r="DP1" t="s">
        <v>122</v>
      </c>
      <c r="DQ1" t="s">
        <v>123</v>
      </c>
      <c r="DR1" t="s">
        <v>124</v>
      </c>
      <c r="DS1" t="s">
        <v>125</v>
      </c>
    </row>
    <row r="2" spans="1:126" x14ac:dyDescent="0.2">
      <c r="A2" s="14" t="s">
        <v>45</v>
      </c>
      <c r="B2">
        <v>1</v>
      </c>
      <c r="C2">
        <v>1</v>
      </c>
      <c r="D2">
        <v>1</v>
      </c>
      <c r="E2">
        <v>2</v>
      </c>
      <c r="F2" s="15">
        <v>3</v>
      </c>
      <c r="G2" s="15">
        <v>1</v>
      </c>
      <c r="H2">
        <v>1</v>
      </c>
      <c r="I2">
        <v>1</v>
      </c>
      <c r="J2">
        <v>1</v>
      </c>
      <c r="K2">
        <v>1</v>
      </c>
      <c r="L2">
        <v>2</v>
      </c>
      <c r="M2" s="15">
        <v>3</v>
      </c>
      <c r="N2" s="15">
        <v>1</v>
      </c>
      <c r="O2">
        <v>1</v>
      </c>
      <c r="P2">
        <v>1</v>
      </c>
      <c r="Q2">
        <v>1</v>
      </c>
      <c r="R2">
        <v>1</v>
      </c>
      <c r="S2">
        <v>2</v>
      </c>
      <c r="T2" s="15">
        <v>3</v>
      </c>
      <c r="U2" s="15">
        <v>1</v>
      </c>
      <c r="V2">
        <v>1</v>
      </c>
      <c r="W2">
        <v>1</v>
      </c>
      <c r="X2">
        <v>1</v>
      </c>
      <c r="Y2">
        <v>1</v>
      </c>
      <c r="Z2">
        <v>2</v>
      </c>
      <c r="AA2" s="15">
        <v>3</v>
      </c>
      <c r="AB2" s="15">
        <v>1</v>
      </c>
      <c r="AC2">
        <v>1</v>
      </c>
      <c r="AD2">
        <v>1</v>
      </c>
      <c r="AE2">
        <v>1</v>
      </c>
      <c r="AF2">
        <v>1</v>
      </c>
      <c r="AG2">
        <v>2</v>
      </c>
      <c r="AH2" s="15">
        <v>3</v>
      </c>
      <c r="AI2" s="15">
        <v>1</v>
      </c>
      <c r="AJ2">
        <v>1</v>
      </c>
      <c r="AK2">
        <v>1</v>
      </c>
      <c r="AL2">
        <v>1</v>
      </c>
      <c r="AM2">
        <v>1</v>
      </c>
      <c r="AN2">
        <v>2</v>
      </c>
      <c r="AO2" s="15">
        <v>3</v>
      </c>
      <c r="AP2" s="15">
        <v>1</v>
      </c>
      <c r="AQ2">
        <v>1</v>
      </c>
      <c r="AR2">
        <v>1</v>
      </c>
      <c r="AS2">
        <v>1</v>
      </c>
      <c r="AT2">
        <v>1</v>
      </c>
      <c r="AU2">
        <v>2</v>
      </c>
      <c r="AV2" s="15">
        <v>3</v>
      </c>
      <c r="AW2" s="15">
        <v>1</v>
      </c>
      <c r="AX2">
        <v>1</v>
      </c>
      <c r="AY2">
        <v>1</v>
      </c>
      <c r="AZ2">
        <v>1</v>
      </c>
      <c r="BA2">
        <v>1</v>
      </c>
      <c r="BB2">
        <v>2</v>
      </c>
      <c r="BC2" s="15">
        <v>3</v>
      </c>
      <c r="BD2" s="15">
        <v>1</v>
      </c>
      <c r="BE2">
        <v>1</v>
      </c>
      <c r="BF2">
        <v>1</v>
      </c>
      <c r="BG2">
        <v>1</v>
      </c>
      <c r="BH2">
        <v>1</v>
      </c>
      <c r="BI2">
        <v>2</v>
      </c>
      <c r="BJ2" s="15">
        <v>3</v>
      </c>
      <c r="BK2" s="15">
        <v>1</v>
      </c>
      <c r="BL2">
        <v>1</v>
      </c>
      <c r="BM2">
        <v>1</v>
      </c>
      <c r="BN2">
        <v>1</v>
      </c>
      <c r="BO2">
        <v>1</v>
      </c>
      <c r="BP2">
        <v>2</v>
      </c>
      <c r="BQ2" s="15">
        <v>3</v>
      </c>
      <c r="BR2" s="15">
        <v>1</v>
      </c>
      <c r="BS2">
        <v>1</v>
      </c>
      <c r="BT2">
        <v>1</v>
      </c>
      <c r="BU2">
        <v>1</v>
      </c>
      <c r="BV2">
        <v>1</v>
      </c>
      <c r="BW2">
        <v>2</v>
      </c>
      <c r="BX2" s="15">
        <v>3</v>
      </c>
      <c r="BY2" s="15">
        <v>1</v>
      </c>
      <c r="BZ2">
        <v>1</v>
      </c>
      <c r="CA2">
        <v>1</v>
      </c>
      <c r="CB2">
        <v>1</v>
      </c>
      <c r="CC2">
        <v>1</v>
      </c>
      <c r="CD2">
        <v>2</v>
      </c>
      <c r="CE2" s="15">
        <v>3</v>
      </c>
      <c r="CF2" s="15">
        <v>1</v>
      </c>
      <c r="CG2">
        <v>1</v>
      </c>
      <c r="CH2">
        <v>1</v>
      </c>
      <c r="CI2">
        <v>1</v>
      </c>
      <c r="CJ2">
        <v>1</v>
      </c>
      <c r="CK2">
        <v>2</v>
      </c>
      <c r="CL2" s="15">
        <v>3</v>
      </c>
      <c r="CM2" s="15">
        <v>1</v>
      </c>
      <c r="CN2">
        <v>1</v>
      </c>
      <c r="CO2">
        <v>1</v>
      </c>
      <c r="CP2">
        <v>1</v>
      </c>
      <c r="CQ2">
        <v>1</v>
      </c>
      <c r="CR2">
        <v>2</v>
      </c>
      <c r="CS2" s="15">
        <v>3</v>
      </c>
      <c r="CT2" s="15">
        <v>1</v>
      </c>
      <c r="CU2">
        <v>1</v>
      </c>
      <c r="CV2">
        <v>1</v>
      </c>
      <c r="CW2">
        <v>1</v>
      </c>
      <c r="CX2">
        <v>1</v>
      </c>
      <c r="CY2">
        <v>2</v>
      </c>
      <c r="CZ2" s="15">
        <v>3</v>
      </c>
      <c r="DA2" s="15">
        <v>1</v>
      </c>
      <c r="DB2">
        <v>1</v>
      </c>
      <c r="DC2">
        <v>1</v>
      </c>
      <c r="DD2">
        <v>1</v>
      </c>
      <c r="DE2">
        <v>1</v>
      </c>
      <c r="DF2">
        <v>2</v>
      </c>
      <c r="DG2" s="15">
        <v>3</v>
      </c>
      <c r="DH2" s="15">
        <v>1</v>
      </c>
      <c r="DI2">
        <v>1</v>
      </c>
      <c r="DJ2">
        <v>1</v>
      </c>
      <c r="DK2">
        <v>1</v>
      </c>
      <c r="DL2">
        <v>1</v>
      </c>
      <c r="DM2">
        <v>2</v>
      </c>
      <c r="DN2" s="15">
        <v>3</v>
      </c>
      <c r="DO2" s="15">
        <v>1</v>
      </c>
      <c r="DP2">
        <v>1</v>
      </c>
      <c r="DQ2">
        <v>1</v>
      </c>
      <c r="DR2">
        <v>1</v>
      </c>
      <c r="DS2">
        <v>1</v>
      </c>
      <c r="DU2" s="15"/>
      <c r="DV2" s="15"/>
    </row>
    <row r="3" spans="1:126" x14ac:dyDescent="0.2">
      <c r="A3" s="14"/>
    </row>
    <row r="4" spans="1:126" x14ac:dyDescent="0.2">
      <c r="A4" s="14"/>
    </row>
    <row r="5" spans="1:126" x14ac:dyDescent="0.2">
      <c r="A5" s="14"/>
    </row>
    <row r="6" spans="1:126" x14ac:dyDescent="0.2">
      <c r="A6" s="14"/>
    </row>
    <row r="7" spans="1:126" x14ac:dyDescent="0.2">
      <c r="A7" s="14"/>
    </row>
    <row r="8" spans="1:126" x14ac:dyDescent="0.2">
      <c r="A8" s="14"/>
    </row>
    <row r="9" spans="1:126" x14ac:dyDescent="0.2">
      <c r="A9" s="14"/>
    </row>
    <row r="10" spans="1:126" x14ac:dyDescent="0.2">
      <c r="A10" s="14"/>
    </row>
    <row r="11" spans="1:126" x14ac:dyDescent="0.2">
      <c r="A11" s="14"/>
    </row>
    <row r="12" spans="1:126" x14ac:dyDescent="0.2">
      <c r="A12" s="14"/>
    </row>
  </sheetData>
  <conditionalFormatting sqref="A9:A12 B3:AC12 B2:EA2">
    <cfRule type="cellIs" dxfId="3" priority="5" operator="equal">
      <formula>"B"</formula>
    </cfRule>
    <cfRule type="cellIs" dxfId="2" priority="6" operator="equal">
      <formula>"L"</formula>
    </cfRule>
  </conditionalFormatting>
  <conditionalFormatting sqref="B1:AC1">
    <cfRule type="cellIs" dxfId="1" priority="1" operator="equal">
      <formula>"B"</formula>
    </cfRule>
    <cfRule type="cellIs" dxfId="0" priority="2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input_general_parameters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2026-09-27T11:16:04Z</dcterms:modified>
</cp:coreProperties>
</file>