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7" codeName="{52B413DB-416B-A148-0A32-6202AF4EA34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txuyuan/Dev/pythonProjects/CallScheduler/"/>
    </mc:Choice>
  </mc:AlternateContent>
  <xr:revisionPtr revIDLastSave="0" documentId="13_ncr:1_{6BA5EEE0-41E6-1545-83B7-68870B123A3A}" xr6:coauthVersionLast="47" xr6:coauthVersionMax="47" xr10:uidLastSave="{00000000-0000-0000-0000-000000000000}"/>
  <bookViews>
    <workbookView xWindow="0" yWindow="600" windowWidth="28800" windowHeight="17400" activeTab="1" xr2:uid="{21295E27-03F2-7648-A894-650B76265762}"/>
  </bookViews>
  <sheets>
    <sheet name="output_roster" sheetId="1" r:id="rId1"/>
    <sheet name="input_general_parameters" sheetId="14" r:id="rId2"/>
    <sheet name="input_leaves_blockouts" sheetId="5" r:id="rId3"/>
    <sheet name="input_teams" sheetId="11" r:id="rId4"/>
    <sheet name="input_calls" sheetId="12" r:id="rId5"/>
    <sheet name="input_team_requirements" sheetId="9" r:id="rId6"/>
    <sheet name="input_call_requirements" sheetId="10" r:id="rId7"/>
  </sheets>
  <definedNames>
    <definedName name="_xlnm._FilterDatabase" localSheetId="0" hidden="1">output_roster!$C$1:$BD$35</definedName>
    <definedName name="_xleta.SUM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G42" i="1" l="1"/>
  <c r="EF42" i="1"/>
  <c r="EE42" i="1"/>
  <c r="ED42" i="1"/>
  <c r="EC42" i="1"/>
  <c r="DZ42" i="1"/>
  <c r="DY42" i="1"/>
  <c r="DX42" i="1"/>
  <c r="DW42" i="1"/>
  <c r="DV42" i="1"/>
  <c r="DS42" i="1"/>
  <c r="DR42" i="1"/>
  <c r="DQ42" i="1"/>
  <c r="DP42" i="1"/>
  <c r="DO42" i="1"/>
  <c r="DL42" i="1"/>
  <c r="DK42" i="1"/>
  <c r="DJ42" i="1"/>
  <c r="DI42" i="1"/>
  <c r="DH42" i="1"/>
  <c r="DE42" i="1"/>
  <c r="DD42" i="1"/>
  <c r="DC42" i="1"/>
  <c r="DB42" i="1"/>
  <c r="DA42" i="1"/>
  <c r="CX42" i="1"/>
  <c r="CW42" i="1"/>
  <c r="CV42" i="1"/>
  <c r="CU42" i="1"/>
  <c r="CT42" i="1"/>
  <c r="EG41" i="1"/>
  <c r="EF41" i="1"/>
  <c r="EE41" i="1"/>
  <c r="ED41" i="1"/>
  <c r="EC41" i="1"/>
  <c r="DZ41" i="1"/>
  <c r="DY41" i="1"/>
  <c r="DX41" i="1"/>
  <c r="DW41" i="1"/>
  <c r="DV41" i="1"/>
  <c r="DS41" i="1"/>
  <c r="DR41" i="1"/>
  <c r="DQ41" i="1"/>
  <c r="DP41" i="1"/>
  <c r="DO41" i="1"/>
  <c r="DL41" i="1"/>
  <c r="DK41" i="1"/>
  <c r="DJ41" i="1"/>
  <c r="DI41" i="1"/>
  <c r="DH41" i="1"/>
  <c r="DE41" i="1"/>
  <c r="DD41" i="1"/>
  <c r="DC41" i="1"/>
  <c r="DB41" i="1"/>
  <c r="DA41" i="1"/>
  <c r="CX41" i="1"/>
  <c r="CW41" i="1"/>
  <c r="CV41" i="1"/>
  <c r="CU41" i="1"/>
  <c r="CT41" i="1"/>
  <c r="EG40" i="1"/>
  <c r="EF40" i="1"/>
  <c r="EE40" i="1"/>
  <c r="ED40" i="1"/>
  <c r="EC40" i="1"/>
  <c r="DZ40" i="1"/>
  <c r="DY40" i="1"/>
  <c r="DX40" i="1"/>
  <c r="DW40" i="1"/>
  <c r="DV40" i="1"/>
  <c r="DS40" i="1"/>
  <c r="DR40" i="1"/>
  <c r="DQ40" i="1"/>
  <c r="DP40" i="1"/>
  <c r="DO40" i="1"/>
  <c r="DL40" i="1"/>
  <c r="DK40" i="1"/>
  <c r="DJ40" i="1"/>
  <c r="DI40" i="1"/>
  <c r="DH40" i="1"/>
  <c r="DE40" i="1"/>
  <c r="DD40" i="1"/>
  <c r="DC40" i="1"/>
  <c r="DB40" i="1"/>
  <c r="DA40" i="1"/>
  <c r="CX40" i="1"/>
  <c r="CW40" i="1"/>
  <c r="CV40" i="1"/>
  <c r="CU40" i="1"/>
  <c r="CT40" i="1"/>
  <c r="EG39" i="1"/>
  <c r="EF39" i="1"/>
  <c r="EE39" i="1"/>
  <c r="ED39" i="1"/>
  <c r="EC39" i="1"/>
  <c r="DZ39" i="1"/>
  <c r="DY39" i="1"/>
  <c r="DX39" i="1"/>
  <c r="DW39" i="1"/>
  <c r="DV39" i="1"/>
  <c r="DS39" i="1"/>
  <c r="DR39" i="1"/>
  <c r="DQ39" i="1"/>
  <c r="DP39" i="1"/>
  <c r="DO39" i="1"/>
  <c r="DL39" i="1"/>
  <c r="DK39" i="1"/>
  <c r="DJ39" i="1"/>
  <c r="DI39" i="1"/>
  <c r="DH39" i="1"/>
  <c r="DE39" i="1"/>
  <c r="DD39" i="1"/>
  <c r="DC39" i="1"/>
  <c r="DB39" i="1"/>
  <c r="DA39" i="1"/>
  <c r="CX39" i="1"/>
  <c r="CW39" i="1"/>
  <c r="CV39" i="1"/>
  <c r="CU39" i="1"/>
  <c r="CT39" i="1"/>
  <c r="EG38" i="1"/>
  <c r="EF38" i="1"/>
  <c r="EE38" i="1"/>
  <c r="ED38" i="1"/>
  <c r="EC38" i="1"/>
  <c r="DZ38" i="1"/>
  <c r="DY38" i="1"/>
  <c r="DX38" i="1"/>
  <c r="DW38" i="1"/>
  <c r="DV38" i="1"/>
  <c r="DS38" i="1"/>
  <c r="DR38" i="1"/>
  <c r="DQ38" i="1"/>
  <c r="DP38" i="1"/>
  <c r="DO38" i="1"/>
  <c r="DL38" i="1"/>
  <c r="DK38" i="1"/>
  <c r="DJ38" i="1"/>
  <c r="DI38" i="1"/>
  <c r="DH38" i="1"/>
  <c r="DE38" i="1"/>
  <c r="DD38" i="1"/>
  <c r="DC38" i="1"/>
  <c r="DB38" i="1"/>
  <c r="DA38" i="1"/>
  <c r="CX38" i="1"/>
  <c r="CW38" i="1"/>
  <c r="CV38" i="1"/>
  <c r="CU38" i="1"/>
  <c r="CT38" i="1"/>
  <c r="EG37" i="1"/>
  <c r="EF37" i="1"/>
  <c r="EE37" i="1"/>
  <c r="ED37" i="1"/>
  <c r="EC37" i="1"/>
  <c r="DZ37" i="1"/>
  <c r="DY37" i="1"/>
  <c r="DX37" i="1"/>
  <c r="DW37" i="1"/>
  <c r="DV37" i="1"/>
  <c r="DS37" i="1"/>
  <c r="DR37" i="1"/>
  <c r="DQ37" i="1"/>
  <c r="DP37" i="1"/>
  <c r="DO37" i="1"/>
  <c r="DL37" i="1"/>
  <c r="DK37" i="1"/>
  <c r="DJ37" i="1"/>
  <c r="DI37" i="1"/>
  <c r="DH37" i="1"/>
  <c r="DE37" i="1"/>
  <c r="DD37" i="1"/>
  <c r="DC37" i="1"/>
  <c r="DB37" i="1"/>
  <c r="DA37" i="1"/>
  <c r="CX37" i="1"/>
  <c r="CW37" i="1"/>
  <c r="CV37" i="1"/>
  <c r="CU37" i="1"/>
  <c r="CT37" i="1"/>
  <c r="EG35" i="1"/>
  <c r="EF35" i="1"/>
  <c r="EE35" i="1"/>
  <c r="ED35" i="1"/>
  <c r="EC35" i="1"/>
  <c r="DZ35" i="1"/>
  <c r="DY35" i="1"/>
  <c r="DX35" i="1"/>
  <c r="DW35" i="1"/>
  <c r="DV35" i="1"/>
  <c r="DS35" i="1"/>
  <c r="DR35" i="1"/>
  <c r="DQ35" i="1"/>
  <c r="DP35" i="1"/>
  <c r="DO35" i="1"/>
  <c r="DL35" i="1"/>
  <c r="DK35" i="1"/>
  <c r="DJ35" i="1"/>
  <c r="DI35" i="1"/>
  <c r="DH35" i="1"/>
  <c r="DE35" i="1"/>
  <c r="DD35" i="1"/>
  <c r="DC35" i="1"/>
  <c r="DB35" i="1"/>
  <c r="DA35" i="1"/>
  <c r="CX35" i="1"/>
  <c r="CW35" i="1"/>
  <c r="CV35" i="1"/>
  <c r="CU35" i="1"/>
  <c r="CT35" i="1"/>
  <c r="EG34" i="1"/>
  <c r="EF34" i="1"/>
  <c r="EE34" i="1"/>
  <c r="ED34" i="1"/>
  <c r="EC34" i="1"/>
  <c r="DZ34" i="1"/>
  <c r="DY34" i="1"/>
  <c r="DX34" i="1"/>
  <c r="DW34" i="1"/>
  <c r="DV34" i="1"/>
  <c r="DS34" i="1"/>
  <c r="DR34" i="1"/>
  <c r="DQ34" i="1"/>
  <c r="DP34" i="1"/>
  <c r="DO34" i="1"/>
  <c r="DL34" i="1"/>
  <c r="DK34" i="1"/>
  <c r="DJ34" i="1"/>
  <c r="DI34" i="1"/>
  <c r="DH34" i="1"/>
  <c r="DE34" i="1"/>
  <c r="DD34" i="1"/>
  <c r="DC34" i="1"/>
  <c r="DB34" i="1"/>
  <c r="DA34" i="1"/>
  <c r="CX34" i="1"/>
  <c r="CW34" i="1"/>
  <c r="CV34" i="1"/>
  <c r="CU34" i="1"/>
  <c r="CT34" i="1"/>
  <c r="EG33" i="1"/>
  <c r="EF33" i="1"/>
  <c r="EE33" i="1"/>
  <c r="ED33" i="1"/>
  <c r="EC33" i="1"/>
  <c r="DZ33" i="1"/>
  <c r="DY33" i="1"/>
  <c r="DX33" i="1"/>
  <c r="DW33" i="1"/>
  <c r="DV33" i="1"/>
  <c r="DS33" i="1"/>
  <c r="DR33" i="1"/>
  <c r="DQ33" i="1"/>
  <c r="DP33" i="1"/>
  <c r="DO33" i="1"/>
  <c r="DL33" i="1"/>
  <c r="DK33" i="1"/>
  <c r="DJ33" i="1"/>
  <c r="DI33" i="1"/>
  <c r="DH33" i="1"/>
  <c r="DE33" i="1"/>
  <c r="DD33" i="1"/>
  <c r="DC33" i="1"/>
  <c r="DB33" i="1"/>
  <c r="DA33" i="1"/>
  <c r="CX33" i="1"/>
  <c r="CW33" i="1"/>
  <c r="CV33" i="1"/>
  <c r="CU33" i="1"/>
  <c r="CT33" i="1"/>
  <c r="EG32" i="1"/>
  <c r="EF32" i="1"/>
  <c r="EE32" i="1"/>
  <c r="ED32" i="1"/>
  <c r="EC32" i="1"/>
  <c r="DZ32" i="1"/>
  <c r="DY32" i="1"/>
  <c r="DX32" i="1"/>
  <c r="DW32" i="1"/>
  <c r="DV32" i="1"/>
  <c r="DS32" i="1"/>
  <c r="DR32" i="1"/>
  <c r="DQ32" i="1"/>
  <c r="DP32" i="1"/>
  <c r="DO32" i="1"/>
  <c r="DL32" i="1"/>
  <c r="DK32" i="1"/>
  <c r="DJ32" i="1"/>
  <c r="DI32" i="1"/>
  <c r="DH32" i="1"/>
  <c r="DE32" i="1"/>
  <c r="DD32" i="1"/>
  <c r="DC32" i="1"/>
  <c r="DB32" i="1"/>
  <c r="DA32" i="1"/>
  <c r="CX32" i="1"/>
  <c r="CW32" i="1"/>
  <c r="CV32" i="1"/>
  <c r="CU32" i="1"/>
  <c r="CT32" i="1"/>
  <c r="EG31" i="1"/>
  <c r="EF31" i="1"/>
  <c r="EE31" i="1"/>
  <c r="ED31" i="1"/>
  <c r="EC31" i="1"/>
  <c r="DZ31" i="1"/>
  <c r="DY31" i="1"/>
  <c r="DX31" i="1"/>
  <c r="DW31" i="1"/>
  <c r="DV31" i="1"/>
  <c r="DS31" i="1"/>
  <c r="DR31" i="1"/>
  <c r="DQ31" i="1"/>
  <c r="DP31" i="1"/>
  <c r="DO31" i="1"/>
  <c r="DL31" i="1"/>
  <c r="DK31" i="1"/>
  <c r="DJ31" i="1"/>
  <c r="DI31" i="1"/>
  <c r="DH31" i="1"/>
  <c r="DE31" i="1"/>
  <c r="DD31" i="1"/>
  <c r="DC31" i="1"/>
  <c r="DB31" i="1"/>
  <c r="DA31" i="1"/>
  <c r="CX31" i="1"/>
  <c r="CW31" i="1"/>
  <c r="CV31" i="1"/>
  <c r="CU31" i="1"/>
  <c r="CT31" i="1"/>
  <c r="EG30" i="1"/>
  <c r="EF30" i="1"/>
  <c r="EE30" i="1"/>
  <c r="ED30" i="1"/>
  <c r="EC30" i="1"/>
  <c r="DZ30" i="1"/>
  <c r="DY30" i="1"/>
  <c r="DX30" i="1"/>
  <c r="DW30" i="1"/>
  <c r="DV30" i="1"/>
  <c r="DS30" i="1"/>
  <c r="DR30" i="1"/>
  <c r="DQ30" i="1"/>
  <c r="DP30" i="1"/>
  <c r="DO30" i="1"/>
  <c r="DL30" i="1"/>
  <c r="DK30" i="1"/>
  <c r="DJ30" i="1"/>
  <c r="DI30" i="1"/>
  <c r="DH30" i="1"/>
  <c r="DE30" i="1"/>
  <c r="DD30" i="1"/>
  <c r="DC30" i="1"/>
  <c r="DB30" i="1"/>
  <c r="DA30" i="1"/>
  <c r="CX30" i="1"/>
  <c r="CW30" i="1"/>
  <c r="CV30" i="1"/>
  <c r="CU30" i="1"/>
  <c r="CT30" i="1"/>
  <c r="EG29" i="1"/>
  <c r="EF29" i="1"/>
  <c r="EE29" i="1"/>
  <c r="ED29" i="1"/>
  <c r="EC29" i="1"/>
  <c r="DZ29" i="1"/>
  <c r="DY29" i="1"/>
  <c r="DX29" i="1"/>
  <c r="DW29" i="1"/>
  <c r="DV29" i="1"/>
  <c r="DS29" i="1"/>
  <c r="DR29" i="1"/>
  <c r="DQ29" i="1"/>
  <c r="DP29" i="1"/>
  <c r="DO29" i="1"/>
  <c r="DL29" i="1"/>
  <c r="DK29" i="1"/>
  <c r="DJ29" i="1"/>
  <c r="DI29" i="1"/>
  <c r="DH29" i="1"/>
  <c r="DE29" i="1"/>
  <c r="DD29" i="1"/>
  <c r="DC29" i="1"/>
  <c r="DB29" i="1"/>
  <c r="DA29" i="1"/>
  <c r="CX29" i="1"/>
  <c r="CW29" i="1"/>
  <c r="CV29" i="1"/>
  <c r="CU29" i="1"/>
  <c r="CT29" i="1"/>
  <c r="EG28" i="1"/>
  <c r="EF28" i="1"/>
  <c r="EE28" i="1"/>
  <c r="ED28" i="1"/>
  <c r="EC28" i="1"/>
  <c r="DZ28" i="1"/>
  <c r="DY28" i="1"/>
  <c r="DX28" i="1"/>
  <c r="DW28" i="1"/>
  <c r="DV28" i="1"/>
  <c r="DS28" i="1"/>
  <c r="DR28" i="1"/>
  <c r="DQ28" i="1"/>
  <c r="DP28" i="1"/>
  <c r="DO28" i="1"/>
  <c r="DL28" i="1"/>
  <c r="DK28" i="1"/>
  <c r="DJ28" i="1"/>
  <c r="DI28" i="1"/>
  <c r="DH28" i="1"/>
  <c r="DE28" i="1"/>
  <c r="DD28" i="1"/>
  <c r="DC28" i="1"/>
  <c r="DB28" i="1"/>
  <c r="DA28" i="1"/>
  <c r="CX28" i="1"/>
  <c r="CW28" i="1"/>
  <c r="CV28" i="1"/>
  <c r="CU28" i="1"/>
  <c r="CT28" i="1"/>
  <c r="EG26" i="1"/>
  <c r="EF26" i="1"/>
  <c r="EE26" i="1"/>
  <c r="ED26" i="1"/>
  <c r="EC26" i="1"/>
  <c r="DZ26" i="1"/>
  <c r="DY26" i="1"/>
  <c r="DX26" i="1"/>
  <c r="DW26" i="1"/>
  <c r="DV26" i="1"/>
  <c r="DS26" i="1"/>
  <c r="DR26" i="1"/>
  <c r="DQ26" i="1"/>
  <c r="DP26" i="1"/>
  <c r="DO26" i="1"/>
  <c r="DL26" i="1"/>
  <c r="DK26" i="1"/>
  <c r="DJ26" i="1"/>
  <c r="DI26" i="1"/>
  <c r="DH26" i="1"/>
  <c r="DE26" i="1"/>
  <c r="DD26" i="1"/>
  <c r="DC26" i="1"/>
  <c r="DB26" i="1"/>
  <c r="DA26" i="1"/>
  <c r="CX26" i="1"/>
  <c r="CW26" i="1"/>
  <c r="CV26" i="1"/>
  <c r="CU26" i="1"/>
  <c r="CT26" i="1"/>
  <c r="EG25" i="1"/>
  <c r="EF25" i="1"/>
  <c r="EE25" i="1"/>
  <c r="ED25" i="1"/>
  <c r="EC25" i="1"/>
  <c r="DZ25" i="1"/>
  <c r="DY25" i="1"/>
  <c r="DX25" i="1"/>
  <c r="DW25" i="1"/>
  <c r="DV25" i="1"/>
  <c r="DS25" i="1"/>
  <c r="DR25" i="1"/>
  <c r="DQ25" i="1"/>
  <c r="DP25" i="1"/>
  <c r="DO25" i="1"/>
  <c r="DL25" i="1"/>
  <c r="DK25" i="1"/>
  <c r="DJ25" i="1"/>
  <c r="DI25" i="1"/>
  <c r="DH25" i="1"/>
  <c r="DE25" i="1"/>
  <c r="DD25" i="1"/>
  <c r="DC25" i="1"/>
  <c r="DB25" i="1"/>
  <c r="DA25" i="1"/>
  <c r="CX25" i="1"/>
  <c r="CW25" i="1"/>
  <c r="CV25" i="1"/>
  <c r="CU25" i="1"/>
  <c r="CT25" i="1"/>
  <c r="EG24" i="1"/>
  <c r="EF24" i="1"/>
  <c r="EE24" i="1"/>
  <c r="ED24" i="1"/>
  <c r="EC24" i="1"/>
  <c r="DZ24" i="1"/>
  <c r="DY24" i="1"/>
  <c r="DX24" i="1"/>
  <c r="DW24" i="1"/>
  <c r="DV24" i="1"/>
  <c r="DS24" i="1"/>
  <c r="DR24" i="1"/>
  <c r="DQ24" i="1"/>
  <c r="DP24" i="1"/>
  <c r="DO24" i="1"/>
  <c r="DL24" i="1"/>
  <c r="DK24" i="1"/>
  <c r="DJ24" i="1"/>
  <c r="DI24" i="1"/>
  <c r="DH24" i="1"/>
  <c r="DE24" i="1"/>
  <c r="DD24" i="1"/>
  <c r="DC24" i="1"/>
  <c r="DB24" i="1"/>
  <c r="DA24" i="1"/>
  <c r="CX24" i="1"/>
  <c r="CW24" i="1"/>
  <c r="CV24" i="1"/>
  <c r="CU24" i="1"/>
  <c r="CT24" i="1"/>
  <c r="EG23" i="1"/>
  <c r="EF23" i="1"/>
  <c r="EE23" i="1"/>
  <c r="ED23" i="1"/>
  <c r="EC23" i="1"/>
  <c r="DZ23" i="1"/>
  <c r="DY23" i="1"/>
  <c r="DX23" i="1"/>
  <c r="DW23" i="1"/>
  <c r="DV23" i="1"/>
  <c r="DS23" i="1"/>
  <c r="DR23" i="1"/>
  <c r="DQ23" i="1"/>
  <c r="DP23" i="1"/>
  <c r="DO23" i="1"/>
  <c r="DL23" i="1"/>
  <c r="DK23" i="1"/>
  <c r="DJ23" i="1"/>
  <c r="DI23" i="1"/>
  <c r="DH23" i="1"/>
  <c r="DE23" i="1"/>
  <c r="DD23" i="1"/>
  <c r="DC23" i="1"/>
  <c r="DB23" i="1"/>
  <c r="DA23" i="1"/>
  <c r="CX23" i="1"/>
  <c r="CW23" i="1"/>
  <c r="CV23" i="1"/>
  <c r="CU23" i="1"/>
  <c r="CT23" i="1"/>
  <c r="EG22" i="1"/>
  <c r="EF22" i="1"/>
  <c r="EE22" i="1"/>
  <c r="ED22" i="1"/>
  <c r="EC22" i="1"/>
  <c r="DZ22" i="1"/>
  <c r="DY22" i="1"/>
  <c r="DX22" i="1"/>
  <c r="DW22" i="1"/>
  <c r="DV22" i="1"/>
  <c r="DS22" i="1"/>
  <c r="DR22" i="1"/>
  <c r="DQ22" i="1"/>
  <c r="DP22" i="1"/>
  <c r="DO22" i="1"/>
  <c r="DL22" i="1"/>
  <c r="DK22" i="1"/>
  <c r="DJ22" i="1"/>
  <c r="DI22" i="1"/>
  <c r="DH22" i="1"/>
  <c r="DE22" i="1"/>
  <c r="DD22" i="1"/>
  <c r="DC22" i="1"/>
  <c r="DB22" i="1"/>
  <c r="DA22" i="1"/>
  <c r="CX22" i="1"/>
  <c r="CW22" i="1"/>
  <c r="CV22" i="1"/>
  <c r="CU22" i="1"/>
  <c r="CT22" i="1"/>
  <c r="EG21" i="1"/>
  <c r="EF21" i="1"/>
  <c r="EE21" i="1"/>
  <c r="ED21" i="1"/>
  <c r="EC21" i="1"/>
  <c r="DZ21" i="1"/>
  <c r="DY21" i="1"/>
  <c r="DX21" i="1"/>
  <c r="DW21" i="1"/>
  <c r="DV21" i="1"/>
  <c r="DS21" i="1"/>
  <c r="DR21" i="1"/>
  <c r="DQ21" i="1"/>
  <c r="DP21" i="1"/>
  <c r="DO21" i="1"/>
  <c r="DL21" i="1"/>
  <c r="DK21" i="1"/>
  <c r="DJ21" i="1"/>
  <c r="DI21" i="1"/>
  <c r="DH21" i="1"/>
  <c r="DE21" i="1"/>
  <c r="DD21" i="1"/>
  <c r="DC21" i="1"/>
  <c r="DB21" i="1"/>
  <c r="DA21" i="1"/>
  <c r="CX21" i="1"/>
  <c r="CW21" i="1"/>
  <c r="CV21" i="1"/>
  <c r="CU21" i="1"/>
  <c r="CT21" i="1"/>
  <c r="EG20" i="1"/>
  <c r="EF20" i="1"/>
  <c r="EE20" i="1"/>
  <c r="ED20" i="1"/>
  <c r="EC20" i="1"/>
  <c r="DZ20" i="1"/>
  <c r="DY20" i="1"/>
  <c r="DX20" i="1"/>
  <c r="DW20" i="1"/>
  <c r="DV20" i="1"/>
  <c r="DS20" i="1"/>
  <c r="DR20" i="1"/>
  <c r="DQ20" i="1"/>
  <c r="DP20" i="1"/>
  <c r="DO20" i="1"/>
  <c r="DL20" i="1"/>
  <c r="DK20" i="1"/>
  <c r="DJ20" i="1"/>
  <c r="DI20" i="1"/>
  <c r="DH20" i="1"/>
  <c r="DE20" i="1"/>
  <c r="DD20" i="1"/>
  <c r="DC20" i="1"/>
  <c r="DB20" i="1"/>
  <c r="DA20" i="1"/>
  <c r="CX20" i="1"/>
  <c r="CW20" i="1"/>
  <c r="CV20" i="1"/>
  <c r="CU20" i="1"/>
  <c r="CT20" i="1"/>
  <c r="EG19" i="1"/>
  <c r="EF19" i="1"/>
  <c r="EE19" i="1"/>
  <c r="ED19" i="1"/>
  <c r="EC19" i="1"/>
  <c r="DZ19" i="1"/>
  <c r="DY19" i="1"/>
  <c r="DX19" i="1"/>
  <c r="DW19" i="1"/>
  <c r="DV19" i="1"/>
  <c r="DS19" i="1"/>
  <c r="DR19" i="1"/>
  <c r="DQ19" i="1"/>
  <c r="DP19" i="1"/>
  <c r="DO19" i="1"/>
  <c r="DL19" i="1"/>
  <c r="DK19" i="1"/>
  <c r="DJ19" i="1"/>
  <c r="DI19" i="1"/>
  <c r="DH19" i="1"/>
  <c r="DE19" i="1"/>
  <c r="DD19" i="1"/>
  <c r="DC19" i="1"/>
  <c r="DB19" i="1"/>
  <c r="DA19" i="1"/>
  <c r="CX19" i="1"/>
  <c r="CW19" i="1"/>
  <c r="CV19" i="1"/>
  <c r="CU19" i="1"/>
  <c r="CT19" i="1"/>
  <c r="CQ42" i="1"/>
  <c r="CP42" i="1"/>
  <c r="CO42" i="1"/>
  <c r="CN42" i="1"/>
  <c r="CM42" i="1"/>
  <c r="CJ42" i="1"/>
  <c r="CI42" i="1"/>
  <c r="CH42" i="1"/>
  <c r="CG42" i="1"/>
  <c r="CF42" i="1"/>
  <c r="CC42" i="1"/>
  <c r="CB42" i="1"/>
  <c r="CA42" i="1"/>
  <c r="BZ42" i="1"/>
  <c r="BY42" i="1"/>
  <c r="BV42" i="1"/>
  <c r="BU42" i="1"/>
  <c r="BT42" i="1"/>
  <c r="BS42" i="1"/>
  <c r="BR42" i="1"/>
  <c r="BO42" i="1"/>
  <c r="BN42" i="1"/>
  <c r="BM42" i="1"/>
  <c r="BL42" i="1"/>
  <c r="BK42" i="1"/>
  <c r="BH42" i="1"/>
  <c r="BG42" i="1"/>
  <c r="BF42" i="1"/>
  <c r="BE42" i="1"/>
  <c r="BD42" i="1"/>
  <c r="CQ41" i="1"/>
  <c r="CP41" i="1"/>
  <c r="CO41" i="1"/>
  <c r="CN41" i="1"/>
  <c r="CM41" i="1"/>
  <c r="CJ41" i="1"/>
  <c r="CI41" i="1"/>
  <c r="CH41" i="1"/>
  <c r="CG41" i="1"/>
  <c r="CF41" i="1"/>
  <c r="CC41" i="1"/>
  <c r="CB41" i="1"/>
  <c r="CA41" i="1"/>
  <c r="BZ41" i="1"/>
  <c r="BY41" i="1"/>
  <c r="BV41" i="1"/>
  <c r="BU41" i="1"/>
  <c r="BT41" i="1"/>
  <c r="BS41" i="1"/>
  <c r="BR41" i="1"/>
  <c r="BO41" i="1"/>
  <c r="BN41" i="1"/>
  <c r="BM41" i="1"/>
  <c r="BL41" i="1"/>
  <c r="BK41" i="1"/>
  <c r="BH41" i="1"/>
  <c r="BG41" i="1"/>
  <c r="BF41" i="1"/>
  <c r="BE41" i="1"/>
  <c r="BD41" i="1"/>
  <c r="CQ40" i="1"/>
  <c r="CP40" i="1"/>
  <c r="CO40" i="1"/>
  <c r="CN40" i="1"/>
  <c r="CM40" i="1"/>
  <c r="CJ40" i="1"/>
  <c r="CI40" i="1"/>
  <c r="CH40" i="1"/>
  <c r="CG40" i="1"/>
  <c r="CF40" i="1"/>
  <c r="CC40" i="1"/>
  <c r="CB40" i="1"/>
  <c r="CA40" i="1"/>
  <c r="BZ40" i="1"/>
  <c r="BY40" i="1"/>
  <c r="BV40" i="1"/>
  <c r="BU40" i="1"/>
  <c r="BT40" i="1"/>
  <c r="BS40" i="1"/>
  <c r="BR40" i="1"/>
  <c r="BO40" i="1"/>
  <c r="BN40" i="1"/>
  <c r="BM40" i="1"/>
  <c r="BL40" i="1"/>
  <c r="BK40" i="1"/>
  <c r="BH40" i="1"/>
  <c r="BG40" i="1"/>
  <c r="BF40" i="1"/>
  <c r="BE40" i="1"/>
  <c r="BD40" i="1"/>
  <c r="CQ39" i="1"/>
  <c r="CP39" i="1"/>
  <c r="CO39" i="1"/>
  <c r="CN39" i="1"/>
  <c r="CM39" i="1"/>
  <c r="CJ39" i="1"/>
  <c r="CI39" i="1"/>
  <c r="CH39" i="1"/>
  <c r="CG39" i="1"/>
  <c r="CF39" i="1"/>
  <c r="CC39" i="1"/>
  <c r="CB39" i="1"/>
  <c r="CA39" i="1"/>
  <c r="BZ39" i="1"/>
  <c r="BY39" i="1"/>
  <c r="BV39" i="1"/>
  <c r="BU39" i="1"/>
  <c r="BT39" i="1"/>
  <c r="BS39" i="1"/>
  <c r="BR39" i="1"/>
  <c r="BO39" i="1"/>
  <c r="BN39" i="1"/>
  <c r="BM39" i="1"/>
  <c r="BL39" i="1"/>
  <c r="BK39" i="1"/>
  <c r="BH39" i="1"/>
  <c r="BG39" i="1"/>
  <c r="BF39" i="1"/>
  <c r="BE39" i="1"/>
  <c r="BD39" i="1"/>
  <c r="CQ38" i="1"/>
  <c r="CP38" i="1"/>
  <c r="CO38" i="1"/>
  <c r="CN38" i="1"/>
  <c r="CM38" i="1"/>
  <c r="CJ38" i="1"/>
  <c r="CI38" i="1"/>
  <c r="CH38" i="1"/>
  <c r="CG38" i="1"/>
  <c r="CF38" i="1"/>
  <c r="CC38" i="1"/>
  <c r="CB38" i="1"/>
  <c r="CA38" i="1"/>
  <c r="BZ38" i="1"/>
  <c r="BY38" i="1"/>
  <c r="BV38" i="1"/>
  <c r="BU38" i="1"/>
  <c r="BT38" i="1"/>
  <c r="BS38" i="1"/>
  <c r="BR38" i="1"/>
  <c r="BO38" i="1"/>
  <c r="BN38" i="1"/>
  <c r="BM38" i="1"/>
  <c r="BL38" i="1"/>
  <c r="BK38" i="1"/>
  <c r="BH38" i="1"/>
  <c r="BG38" i="1"/>
  <c r="BF38" i="1"/>
  <c r="BE38" i="1"/>
  <c r="BD38" i="1"/>
  <c r="CQ37" i="1"/>
  <c r="CP37" i="1"/>
  <c r="CO37" i="1"/>
  <c r="CN37" i="1"/>
  <c r="CM37" i="1"/>
  <c r="CJ37" i="1"/>
  <c r="CI37" i="1"/>
  <c r="CH37" i="1"/>
  <c r="CG37" i="1"/>
  <c r="CF37" i="1"/>
  <c r="CC37" i="1"/>
  <c r="CB37" i="1"/>
  <c r="CA37" i="1"/>
  <c r="BZ37" i="1"/>
  <c r="BY37" i="1"/>
  <c r="BV37" i="1"/>
  <c r="BU37" i="1"/>
  <c r="BT37" i="1"/>
  <c r="BS37" i="1"/>
  <c r="BR37" i="1"/>
  <c r="BO37" i="1"/>
  <c r="BN37" i="1"/>
  <c r="BM37" i="1"/>
  <c r="BL37" i="1"/>
  <c r="BK37" i="1"/>
  <c r="BH37" i="1"/>
  <c r="BG37" i="1"/>
  <c r="BF37" i="1"/>
  <c r="BE37" i="1"/>
  <c r="BD37" i="1"/>
  <c r="CQ35" i="1"/>
  <c r="CP35" i="1"/>
  <c r="CO35" i="1"/>
  <c r="CN35" i="1"/>
  <c r="CM35" i="1"/>
  <c r="CJ35" i="1"/>
  <c r="CI35" i="1"/>
  <c r="CH35" i="1"/>
  <c r="CG35" i="1"/>
  <c r="CF35" i="1"/>
  <c r="CC35" i="1"/>
  <c r="CB35" i="1"/>
  <c r="CA35" i="1"/>
  <c r="BZ35" i="1"/>
  <c r="BY35" i="1"/>
  <c r="BV35" i="1"/>
  <c r="BU35" i="1"/>
  <c r="BT35" i="1"/>
  <c r="BS35" i="1"/>
  <c r="BR35" i="1"/>
  <c r="BO35" i="1"/>
  <c r="BN35" i="1"/>
  <c r="BM35" i="1"/>
  <c r="BL35" i="1"/>
  <c r="BK35" i="1"/>
  <c r="BH35" i="1"/>
  <c r="BG35" i="1"/>
  <c r="BF35" i="1"/>
  <c r="BE35" i="1"/>
  <c r="BD35" i="1"/>
  <c r="CQ34" i="1"/>
  <c r="CP34" i="1"/>
  <c r="CO34" i="1"/>
  <c r="CN34" i="1"/>
  <c r="CM34" i="1"/>
  <c r="CJ34" i="1"/>
  <c r="CI34" i="1"/>
  <c r="CH34" i="1"/>
  <c r="CG34" i="1"/>
  <c r="CF34" i="1"/>
  <c r="CC34" i="1"/>
  <c r="CB34" i="1"/>
  <c r="CA34" i="1"/>
  <c r="BZ34" i="1"/>
  <c r="BY34" i="1"/>
  <c r="BV34" i="1"/>
  <c r="BU34" i="1"/>
  <c r="BT34" i="1"/>
  <c r="BS34" i="1"/>
  <c r="BR34" i="1"/>
  <c r="BO34" i="1"/>
  <c r="BN34" i="1"/>
  <c r="BM34" i="1"/>
  <c r="BL34" i="1"/>
  <c r="BK34" i="1"/>
  <c r="BH34" i="1"/>
  <c r="BG34" i="1"/>
  <c r="BF34" i="1"/>
  <c r="BE34" i="1"/>
  <c r="BD34" i="1"/>
  <c r="CQ33" i="1"/>
  <c r="CP33" i="1"/>
  <c r="CO33" i="1"/>
  <c r="CN33" i="1"/>
  <c r="CM33" i="1"/>
  <c r="CJ33" i="1"/>
  <c r="CI33" i="1"/>
  <c r="CH33" i="1"/>
  <c r="CG33" i="1"/>
  <c r="CF33" i="1"/>
  <c r="CC33" i="1"/>
  <c r="CB33" i="1"/>
  <c r="CA33" i="1"/>
  <c r="BZ33" i="1"/>
  <c r="BY33" i="1"/>
  <c r="BV33" i="1"/>
  <c r="BU33" i="1"/>
  <c r="BT33" i="1"/>
  <c r="BS33" i="1"/>
  <c r="BR33" i="1"/>
  <c r="BO33" i="1"/>
  <c r="BN33" i="1"/>
  <c r="BM33" i="1"/>
  <c r="BL33" i="1"/>
  <c r="BK33" i="1"/>
  <c r="BH33" i="1"/>
  <c r="BG33" i="1"/>
  <c r="BF33" i="1"/>
  <c r="BE33" i="1"/>
  <c r="BD33" i="1"/>
  <c r="CQ32" i="1"/>
  <c r="CP32" i="1"/>
  <c r="CO32" i="1"/>
  <c r="CN32" i="1"/>
  <c r="CM32" i="1"/>
  <c r="CJ32" i="1"/>
  <c r="CI32" i="1"/>
  <c r="CH32" i="1"/>
  <c r="CG32" i="1"/>
  <c r="CF32" i="1"/>
  <c r="CC32" i="1"/>
  <c r="CB32" i="1"/>
  <c r="CA32" i="1"/>
  <c r="BZ32" i="1"/>
  <c r="BY32" i="1"/>
  <c r="BV32" i="1"/>
  <c r="BU32" i="1"/>
  <c r="BT32" i="1"/>
  <c r="BS32" i="1"/>
  <c r="BR32" i="1"/>
  <c r="BO32" i="1"/>
  <c r="BN32" i="1"/>
  <c r="BM32" i="1"/>
  <c r="BL32" i="1"/>
  <c r="BK32" i="1"/>
  <c r="BH32" i="1"/>
  <c r="BG32" i="1"/>
  <c r="BF32" i="1"/>
  <c r="BE32" i="1"/>
  <c r="BD32" i="1"/>
  <c r="CQ31" i="1"/>
  <c r="CP31" i="1"/>
  <c r="CO31" i="1"/>
  <c r="CN31" i="1"/>
  <c r="CM31" i="1"/>
  <c r="CJ31" i="1"/>
  <c r="CI31" i="1"/>
  <c r="CH31" i="1"/>
  <c r="CG31" i="1"/>
  <c r="CF31" i="1"/>
  <c r="CC31" i="1"/>
  <c r="CB31" i="1"/>
  <c r="CA31" i="1"/>
  <c r="BZ31" i="1"/>
  <c r="BY31" i="1"/>
  <c r="BV31" i="1"/>
  <c r="BU31" i="1"/>
  <c r="BT31" i="1"/>
  <c r="BS31" i="1"/>
  <c r="BR31" i="1"/>
  <c r="BO31" i="1"/>
  <c r="BN31" i="1"/>
  <c r="BM31" i="1"/>
  <c r="BL31" i="1"/>
  <c r="BK31" i="1"/>
  <c r="BH31" i="1"/>
  <c r="BG31" i="1"/>
  <c r="BF31" i="1"/>
  <c r="BE31" i="1"/>
  <c r="BD31" i="1"/>
  <c r="CQ30" i="1"/>
  <c r="CP30" i="1"/>
  <c r="CO30" i="1"/>
  <c r="CN30" i="1"/>
  <c r="CM30" i="1"/>
  <c r="CJ30" i="1"/>
  <c r="CI30" i="1"/>
  <c r="CH30" i="1"/>
  <c r="CG30" i="1"/>
  <c r="CF30" i="1"/>
  <c r="CC30" i="1"/>
  <c r="CB30" i="1"/>
  <c r="CA30" i="1"/>
  <c r="BZ30" i="1"/>
  <c r="BY30" i="1"/>
  <c r="BV30" i="1"/>
  <c r="BU30" i="1"/>
  <c r="BT30" i="1"/>
  <c r="BS30" i="1"/>
  <c r="BR30" i="1"/>
  <c r="BO30" i="1"/>
  <c r="BN30" i="1"/>
  <c r="BM30" i="1"/>
  <c r="BL30" i="1"/>
  <c r="BK30" i="1"/>
  <c r="BH30" i="1"/>
  <c r="BG30" i="1"/>
  <c r="BF30" i="1"/>
  <c r="BE30" i="1"/>
  <c r="BD30" i="1"/>
  <c r="CQ29" i="1"/>
  <c r="CP29" i="1"/>
  <c r="CO29" i="1"/>
  <c r="CN29" i="1"/>
  <c r="CM29" i="1"/>
  <c r="CJ29" i="1"/>
  <c r="CI29" i="1"/>
  <c r="CH29" i="1"/>
  <c r="CG29" i="1"/>
  <c r="CF29" i="1"/>
  <c r="CC29" i="1"/>
  <c r="CB29" i="1"/>
  <c r="CA29" i="1"/>
  <c r="BZ29" i="1"/>
  <c r="BY29" i="1"/>
  <c r="BV29" i="1"/>
  <c r="BU29" i="1"/>
  <c r="BT29" i="1"/>
  <c r="BS29" i="1"/>
  <c r="BR29" i="1"/>
  <c r="BO29" i="1"/>
  <c r="BN29" i="1"/>
  <c r="BM29" i="1"/>
  <c r="BL29" i="1"/>
  <c r="BK29" i="1"/>
  <c r="BH29" i="1"/>
  <c r="BG29" i="1"/>
  <c r="BF29" i="1"/>
  <c r="BE29" i="1"/>
  <c r="BD29" i="1"/>
  <c r="CQ28" i="1"/>
  <c r="CP28" i="1"/>
  <c r="CO28" i="1"/>
  <c r="CN28" i="1"/>
  <c r="CM28" i="1"/>
  <c r="CJ28" i="1"/>
  <c r="CI28" i="1"/>
  <c r="CH28" i="1"/>
  <c r="CG28" i="1"/>
  <c r="CF28" i="1"/>
  <c r="CC28" i="1"/>
  <c r="CB28" i="1"/>
  <c r="CA28" i="1"/>
  <c r="BZ28" i="1"/>
  <c r="BY28" i="1"/>
  <c r="BV28" i="1"/>
  <c r="BU28" i="1"/>
  <c r="BT28" i="1"/>
  <c r="BS28" i="1"/>
  <c r="BR28" i="1"/>
  <c r="BO28" i="1"/>
  <c r="BN28" i="1"/>
  <c r="BM28" i="1"/>
  <c r="BL28" i="1"/>
  <c r="BK28" i="1"/>
  <c r="BH28" i="1"/>
  <c r="BG28" i="1"/>
  <c r="BF28" i="1"/>
  <c r="BE28" i="1"/>
  <c r="BD28" i="1"/>
  <c r="CQ26" i="1"/>
  <c r="CP26" i="1"/>
  <c r="CO26" i="1"/>
  <c r="CN26" i="1"/>
  <c r="CM26" i="1"/>
  <c r="CJ26" i="1"/>
  <c r="CI26" i="1"/>
  <c r="CH26" i="1"/>
  <c r="CG26" i="1"/>
  <c r="CF26" i="1"/>
  <c r="CC26" i="1"/>
  <c r="CB26" i="1"/>
  <c r="CA26" i="1"/>
  <c r="BZ26" i="1"/>
  <c r="BY26" i="1"/>
  <c r="BV26" i="1"/>
  <c r="BU26" i="1"/>
  <c r="BT26" i="1"/>
  <c r="BS26" i="1"/>
  <c r="BR26" i="1"/>
  <c r="BO26" i="1"/>
  <c r="BN26" i="1"/>
  <c r="BM26" i="1"/>
  <c r="BL26" i="1"/>
  <c r="BK26" i="1"/>
  <c r="BH26" i="1"/>
  <c r="BG26" i="1"/>
  <c r="BF26" i="1"/>
  <c r="BE26" i="1"/>
  <c r="BD26" i="1"/>
  <c r="CQ25" i="1"/>
  <c r="CP25" i="1"/>
  <c r="CO25" i="1"/>
  <c r="CN25" i="1"/>
  <c r="CM25" i="1"/>
  <c r="CJ25" i="1"/>
  <c r="CI25" i="1"/>
  <c r="CH25" i="1"/>
  <c r="CG25" i="1"/>
  <c r="CF25" i="1"/>
  <c r="CC25" i="1"/>
  <c r="CB25" i="1"/>
  <c r="CA25" i="1"/>
  <c r="BZ25" i="1"/>
  <c r="BY25" i="1"/>
  <c r="BV25" i="1"/>
  <c r="BU25" i="1"/>
  <c r="BT25" i="1"/>
  <c r="BS25" i="1"/>
  <c r="BR25" i="1"/>
  <c r="BO25" i="1"/>
  <c r="BN25" i="1"/>
  <c r="BM25" i="1"/>
  <c r="BL25" i="1"/>
  <c r="BK25" i="1"/>
  <c r="BH25" i="1"/>
  <c r="BG25" i="1"/>
  <c r="BF25" i="1"/>
  <c r="BE25" i="1"/>
  <c r="BD25" i="1"/>
  <c r="CQ24" i="1"/>
  <c r="CP24" i="1"/>
  <c r="CO24" i="1"/>
  <c r="CN24" i="1"/>
  <c r="CM24" i="1"/>
  <c r="CJ24" i="1"/>
  <c r="CI24" i="1"/>
  <c r="CH24" i="1"/>
  <c r="CG24" i="1"/>
  <c r="CF24" i="1"/>
  <c r="CC24" i="1"/>
  <c r="CB24" i="1"/>
  <c r="CA24" i="1"/>
  <c r="BZ24" i="1"/>
  <c r="BY24" i="1"/>
  <c r="BV24" i="1"/>
  <c r="BU24" i="1"/>
  <c r="BT24" i="1"/>
  <c r="BS24" i="1"/>
  <c r="BR24" i="1"/>
  <c r="BO24" i="1"/>
  <c r="BN24" i="1"/>
  <c r="BM24" i="1"/>
  <c r="BL24" i="1"/>
  <c r="BK24" i="1"/>
  <c r="BH24" i="1"/>
  <c r="BG24" i="1"/>
  <c r="BF24" i="1"/>
  <c r="BE24" i="1"/>
  <c r="BD24" i="1"/>
  <c r="CQ23" i="1"/>
  <c r="CP23" i="1"/>
  <c r="CO23" i="1"/>
  <c r="CN23" i="1"/>
  <c r="CM23" i="1"/>
  <c r="CJ23" i="1"/>
  <c r="CI23" i="1"/>
  <c r="CH23" i="1"/>
  <c r="CG23" i="1"/>
  <c r="CF23" i="1"/>
  <c r="CC23" i="1"/>
  <c r="CB23" i="1"/>
  <c r="CA23" i="1"/>
  <c r="BZ23" i="1"/>
  <c r="BY23" i="1"/>
  <c r="BV23" i="1"/>
  <c r="BU23" i="1"/>
  <c r="BT23" i="1"/>
  <c r="BS23" i="1"/>
  <c r="BR23" i="1"/>
  <c r="BO23" i="1"/>
  <c r="BN23" i="1"/>
  <c r="BM23" i="1"/>
  <c r="BL23" i="1"/>
  <c r="BK23" i="1"/>
  <c r="BH23" i="1"/>
  <c r="BG23" i="1"/>
  <c r="BF23" i="1"/>
  <c r="BE23" i="1"/>
  <c r="BD23" i="1"/>
  <c r="CQ22" i="1"/>
  <c r="CP22" i="1"/>
  <c r="CO22" i="1"/>
  <c r="CN22" i="1"/>
  <c r="CM22" i="1"/>
  <c r="CJ22" i="1"/>
  <c r="CI22" i="1"/>
  <c r="CH22" i="1"/>
  <c r="CG22" i="1"/>
  <c r="CF22" i="1"/>
  <c r="CC22" i="1"/>
  <c r="CB22" i="1"/>
  <c r="CA22" i="1"/>
  <c r="BZ22" i="1"/>
  <c r="BY22" i="1"/>
  <c r="BV22" i="1"/>
  <c r="BU22" i="1"/>
  <c r="BT22" i="1"/>
  <c r="BS22" i="1"/>
  <c r="BR22" i="1"/>
  <c r="BO22" i="1"/>
  <c r="BN22" i="1"/>
  <c r="BM22" i="1"/>
  <c r="BL22" i="1"/>
  <c r="BK22" i="1"/>
  <c r="BH22" i="1"/>
  <c r="BG22" i="1"/>
  <c r="BF22" i="1"/>
  <c r="BE22" i="1"/>
  <c r="BD22" i="1"/>
  <c r="CQ21" i="1"/>
  <c r="CP21" i="1"/>
  <c r="CO21" i="1"/>
  <c r="CN21" i="1"/>
  <c r="CM21" i="1"/>
  <c r="CJ21" i="1"/>
  <c r="CI21" i="1"/>
  <c r="CH21" i="1"/>
  <c r="CG21" i="1"/>
  <c r="CF21" i="1"/>
  <c r="CC21" i="1"/>
  <c r="CB21" i="1"/>
  <c r="CA21" i="1"/>
  <c r="BZ21" i="1"/>
  <c r="BY21" i="1"/>
  <c r="BV21" i="1"/>
  <c r="BU21" i="1"/>
  <c r="BT21" i="1"/>
  <c r="BS21" i="1"/>
  <c r="BR21" i="1"/>
  <c r="BO21" i="1"/>
  <c r="BN21" i="1"/>
  <c r="BM21" i="1"/>
  <c r="BL21" i="1"/>
  <c r="BK21" i="1"/>
  <c r="BH21" i="1"/>
  <c r="BG21" i="1"/>
  <c r="BF21" i="1"/>
  <c r="BE21" i="1"/>
  <c r="BD21" i="1"/>
  <c r="CQ20" i="1"/>
  <c r="CP20" i="1"/>
  <c r="CO20" i="1"/>
  <c r="CN20" i="1"/>
  <c r="CM20" i="1"/>
  <c r="CJ20" i="1"/>
  <c r="CI20" i="1"/>
  <c r="CH20" i="1"/>
  <c r="CG20" i="1"/>
  <c r="CF20" i="1"/>
  <c r="CC20" i="1"/>
  <c r="CB20" i="1"/>
  <c r="CA20" i="1"/>
  <c r="BZ20" i="1"/>
  <c r="BY20" i="1"/>
  <c r="BV20" i="1"/>
  <c r="BU20" i="1"/>
  <c r="BT20" i="1"/>
  <c r="BS20" i="1"/>
  <c r="BR20" i="1"/>
  <c r="BO20" i="1"/>
  <c r="BN20" i="1"/>
  <c r="BM20" i="1"/>
  <c r="BL20" i="1"/>
  <c r="BK20" i="1"/>
  <c r="BH20" i="1"/>
  <c r="BG20" i="1"/>
  <c r="BF20" i="1"/>
  <c r="BE20" i="1"/>
  <c r="BD20" i="1"/>
  <c r="CQ19" i="1"/>
  <c r="CP19" i="1"/>
  <c r="CO19" i="1"/>
  <c r="CN19" i="1"/>
  <c r="CM19" i="1"/>
  <c r="CJ19" i="1"/>
  <c r="CI19" i="1"/>
  <c r="CH19" i="1"/>
  <c r="CG19" i="1"/>
  <c r="CF19" i="1"/>
  <c r="CC19" i="1"/>
  <c r="CB19" i="1"/>
  <c r="CA19" i="1"/>
  <c r="BZ19" i="1"/>
  <c r="BY19" i="1"/>
  <c r="BV19" i="1"/>
  <c r="BU19" i="1"/>
  <c r="BT19" i="1"/>
  <c r="BS19" i="1"/>
  <c r="BR19" i="1"/>
  <c r="BO19" i="1"/>
  <c r="BN19" i="1"/>
  <c r="BM19" i="1"/>
  <c r="BL19" i="1"/>
  <c r="BK19" i="1"/>
  <c r="BH19" i="1"/>
  <c r="BG19" i="1"/>
  <c r="BF19" i="1"/>
  <c r="BE19" i="1"/>
  <c r="BD19" i="1"/>
  <c r="BA26" i="1"/>
  <c r="AZ26" i="1"/>
  <c r="AY26" i="1"/>
  <c r="AX26" i="1"/>
  <c r="AW26" i="1"/>
  <c r="AT26" i="1"/>
  <c r="AS26" i="1"/>
  <c r="AR26" i="1"/>
  <c r="AQ26" i="1"/>
  <c r="AP26" i="1"/>
  <c r="AM26" i="1"/>
  <c r="AL26" i="1"/>
  <c r="AK26" i="1"/>
  <c r="AJ26" i="1"/>
  <c r="AI26" i="1"/>
  <c r="AF26" i="1"/>
  <c r="AE26" i="1"/>
  <c r="AD26" i="1"/>
  <c r="AC26" i="1"/>
  <c r="AB26" i="1"/>
  <c r="Y26" i="1"/>
  <c r="X26" i="1"/>
  <c r="W26" i="1"/>
  <c r="V26" i="1"/>
  <c r="U26" i="1"/>
  <c r="R26" i="1"/>
  <c r="Q26" i="1"/>
  <c r="O26" i="1"/>
  <c r="N26" i="1"/>
  <c r="K26" i="1"/>
  <c r="J26" i="1"/>
  <c r="I26" i="1"/>
  <c r="H26" i="1"/>
  <c r="G26" i="1"/>
  <c r="D26" i="1"/>
  <c r="C26" i="1"/>
  <c r="BA25" i="1"/>
  <c r="AZ25" i="1"/>
  <c r="AY25" i="1"/>
  <c r="AX25" i="1"/>
  <c r="AW25" i="1"/>
  <c r="AT25" i="1"/>
  <c r="AS25" i="1"/>
  <c r="AR25" i="1"/>
  <c r="AQ25" i="1"/>
  <c r="AP25" i="1"/>
  <c r="AM25" i="1"/>
  <c r="AL25" i="1"/>
  <c r="AK25" i="1"/>
  <c r="AJ25" i="1"/>
  <c r="AI25" i="1"/>
  <c r="AF25" i="1"/>
  <c r="AE25" i="1"/>
  <c r="AD25" i="1"/>
  <c r="AC25" i="1"/>
  <c r="AB25" i="1"/>
  <c r="Y25" i="1"/>
  <c r="X25" i="1"/>
  <c r="W25" i="1"/>
  <c r="V25" i="1"/>
  <c r="U25" i="1"/>
  <c r="R25" i="1"/>
  <c r="Q25" i="1"/>
  <c r="O25" i="1"/>
  <c r="N25" i="1"/>
  <c r="K25" i="1"/>
  <c r="J25" i="1"/>
  <c r="I25" i="1"/>
  <c r="H25" i="1"/>
  <c r="G25" i="1"/>
  <c r="D25" i="1"/>
  <c r="C25" i="1"/>
  <c r="BA42" i="1"/>
  <c r="AZ42" i="1"/>
  <c r="AY42" i="1"/>
  <c r="AX42" i="1"/>
  <c r="AW42" i="1"/>
  <c r="BA41" i="1"/>
  <c r="AZ41" i="1"/>
  <c r="AY41" i="1"/>
  <c r="AX41" i="1"/>
  <c r="AW41" i="1"/>
  <c r="BA40" i="1"/>
  <c r="AZ40" i="1"/>
  <c r="AY40" i="1"/>
  <c r="AX40" i="1"/>
  <c r="AW40" i="1"/>
  <c r="BA39" i="1"/>
  <c r="AZ39" i="1"/>
  <c r="AY39" i="1"/>
  <c r="AX39" i="1"/>
  <c r="AW39" i="1"/>
  <c r="BA38" i="1"/>
  <c r="AZ38" i="1"/>
  <c r="AY38" i="1"/>
  <c r="AX38" i="1"/>
  <c r="AW38" i="1"/>
  <c r="BA37" i="1"/>
  <c r="AZ37" i="1"/>
  <c r="AY37" i="1"/>
  <c r="AX37" i="1"/>
  <c r="AW37" i="1"/>
  <c r="AT42" i="1"/>
  <c r="AS42" i="1"/>
  <c r="AR42" i="1"/>
  <c r="AQ42" i="1"/>
  <c r="AP42" i="1"/>
  <c r="AT41" i="1"/>
  <c r="AS41" i="1"/>
  <c r="AR41" i="1"/>
  <c r="AQ41" i="1"/>
  <c r="AP41" i="1"/>
  <c r="AT40" i="1"/>
  <c r="AS40" i="1"/>
  <c r="AR40" i="1"/>
  <c r="AQ40" i="1"/>
  <c r="AP40" i="1"/>
  <c r="AT39" i="1"/>
  <c r="AS39" i="1"/>
  <c r="AR39" i="1"/>
  <c r="AQ39" i="1"/>
  <c r="AP39" i="1"/>
  <c r="AT38" i="1"/>
  <c r="AS38" i="1"/>
  <c r="AR38" i="1"/>
  <c r="AQ38" i="1"/>
  <c r="AP38" i="1"/>
  <c r="AT37" i="1"/>
  <c r="AS37" i="1"/>
  <c r="AR37" i="1"/>
  <c r="AQ37" i="1"/>
  <c r="AP37" i="1"/>
  <c r="AM42" i="1"/>
  <c r="AL42" i="1"/>
  <c r="AK42" i="1"/>
  <c r="AJ42" i="1"/>
  <c r="AI42" i="1"/>
  <c r="AM41" i="1"/>
  <c r="AL41" i="1"/>
  <c r="AK41" i="1"/>
  <c r="AJ41" i="1"/>
  <c r="AI41" i="1"/>
  <c r="AM40" i="1"/>
  <c r="AL40" i="1"/>
  <c r="AK40" i="1"/>
  <c r="AJ40" i="1"/>
  <c r="AI40" i="1"/>
  <c r="AM39" i="1"/>
  <c r="AL39" i="1"/>
  <c r="AK39" i="1"/>
  <c r="AJ39" i="1"/>
  <c r="AI39" i="1"/>
  <c r="AM38" i="1"/>
  <c r="AL38" i="1"/>
  <c r="AK38" i="1"/>
  <c r="AJ38" i="1"/>
  <c r="AI38" i="1"/>
  <c r="AM37" i="1"/>
  <c r="AL37" i="1"/>
  <c r="AK37" i="1"/>
  <c r="AJ37" i="1"/>
  <c r="AI37" i="1"/>
  <c r="AF42" i="1"/>
  <c r="AE42" i="1"/>
  <c r="AD42" i="1"/>
  <c r="AC42" i="1"/>
  <c r="AB42" i="1"/>
  <c r="AF41" i="1"/>
  <c r="AE41" i="1"/>
  <c r="AD41" i="1"/>
  <c r="AC41" i="1"/>
  <c r="AB41" i="1"/>
  <c r="AF40" i="1"/>
  <c r="AE40" i="1"/>
  <c r="AD40" i="1"/>
  <c r="AC40" i="1"/>
  <c r="AB40" i="1"/>
  <c r="AF39" i="1"/>
  <c r="AE39" i="1"/>
  <c r="AD39" i="1"/>
  <c r="AC39" i="1"/>
  <c r="AB39" i="1"/>
  <c r="AF38" i="1"/>
  <c r="AE38" i="1"/>
  <c r="AD38" i="1"/>
  <c r="AC38" i="1"/>
  <c r="AB38" i="1"/>
  <c r="AF37" i="1"/>
  <c r="AE37" i="1"/>
  <c r="AD37" i="1"/>
  <c r="AC37" i="1"/>
  <c r="AB37" i="1"/>
  <c r="Y42" i="1"/>
  <c r="X42" i="1"/>
  <c r="W42" i="1"/>
  <c r="V42" i="1"/>
  <c r="U42" i="1"/>
  <c r="Y41" i="1"/>
  <c r="X41" i="1"/>
  <c r="W41" i="1"/>
  <c r="V41" i="1"/>
  <c r="U41" i="1"/>
  <c r="Y40" i="1"/>
  <c r="X40" i="1"/>
  <c r="W40" i="1"/>
  <c r="V40" i="1"/>
  <c r="U40" i="1"/>
  <c r="Y39" i="1"/>
  <c r="X39" i="1"/>
  <c r="W39" i="1"/>
  <c r="V39" i="1"/>
  <c r="U39" i="1"/>
  <c r="Y38" i="1"/>
  <c r="X38" i="1"/>
  <c r="W38" i="1"/>
  <c r="V38" i="1"/>
  <c r="U38" i="1"/>
  <c r="Y37" i="1"/>
  <c r="X37" i="1"/>
  <c r="W37" i="1"/>
  <c r="V37" i="1"/>
  <c r="U37" i="1"/>
  <c r="R42" i="1"/>
  <c r="Q42" i="1"/>
  <c r="O42" i="1"/>
  <c r="N42" i="1"/>
  <c r="R41" i="1"/>
  <c r="Q41" i="1"/>
  <c r="O41" i="1"/>
  <c r="N41" i="1"/>
  <c r="R40" i="1"/>
  <c r="Q40" i="1"/>
  <c r="O40" i="1"/>
  <c r="N40" i="1"/>
  <c r="R39" i="1"/>
  <c r="Q39" i="1"/>
  <c r="O39" i="1"/>
  <c r="N39" i="1"/>
  <c r="R38" i="1"/>
  <c r="Q38" i="1"/>
  <c r="O38" i="1"/>
  <c r="N38" i="1"/>
  <c r="R37" i="1"/>
  <c r="Q37" i="1"/>
  <c r="O37" i="1"/>
  <c r="N37" i="1"/>
  <c r="K42" i="1"/>
  <c r="J42" i="1"/>
  <c r="I42" i="1"/>
  <c r="H42" i="1"/>
  <c r="G42" i="1"/>
  <c r="K41" i="1"/>
  <c r="J41" i="1"/>
  <c r="I41" i="1"/>
  <c r="H41" i="1"/>
  <c r="G41" i="1"/>
  <c r="K40" i="1"/>
  <c r="J40" i="1"/>
  <c r="I40" i="1"/>
  <c r="H40" i="1"/>
  <c r="G40" i="1"/>
  <c r="K39" i="1"/>
  <c r="J39" i="1"/>
  <c r="I39" i="1"/>
  <c r="H39" i="1"/>
  <c r="G39" i="1"/>
  <c r="K38" i="1"/>
  <c r="J38" i="1"/>
  <c r="I38" i="1"/>
  <c r="H38" i="1"/>
  <c r="G38" i="1"/>
  <c r="K37" i="1"/>
  <c r="J37" i="1"/>
  <c r="I37" i="1"/>
  <c r="H37" i="1"/>
  <c r="G37" i="1"/>
  <c r="D42" i="1"/>
  <c r="C42" i="1"/>
  <c r="D41" i="1"/>
  <c r="C41" i="1"/>
  <c r="D40" i="1"/>
  <c r="C40" i="1"/>
  <c r="D39" i="1"/>
  <c r="C39" i="1"/>
  <c r="D38" i="1"/>
  <c r="C38" i="1"/>
  <c r="D37" i="1"/>
  <c r="C37" i="1"/>
  <c r="BA24" i="1"/>
  <c r="AZ24" i="1"/>
  <c r="AY24" i="1"/>
  <c r="AX24" i="1"/>
  <c r="AW24" i="1"/>
  <c r="BA23" i="1"/>
  <c r="AZ23" i="1"/>
  <c r="AY23" i="1"/>
  <c r="AX23" i="1"/>
  <c r="AW23" i="1"/>
  <c r="BA22" i="1"/>
  <c r="AZ22" i="1"/>
  <c r="AY22" i="1"/>
  <c r="AX22" i="1"/>
  <c r="AW22" i="1"/>
  <c r="BA21" i="1"/>
  <c r="AZ21" i="1"/>
  <c r="AY21" i="1"/>
  <c r="AX21" i="1"/>
  <c r="AW21" i="1"/>
  <c r="BA20" i="1"/>
  <c r="AZ20" i="1"/>
  <c r="AY20" i="1"/>
  <c r="AX20" i="1"/>
  <c r="AW20" i="1"/>
  <c r="BA19" i="1"/>
  <c r="AZ19" i="1"/>
  <c r="AY19" i="1"/>
  <c r="AX19" i="1"/>
  <c r="AW19" i="1"/>
  <c r="AT24" i="1"/>
  <c r="AS24" i="1"/>
  <c r="AR24" i="1"/>
  <c r="AQ24" i="1"/>
  <c r="AP24" i="1"/>
  <c r="AT23" i="1"/>
  <c r="AS23" i="1"/>
  <c r="AR23" i="1"/>
  <c r="AQ23" i="1"/>
  <c r="AP23" i="1"/>
  <c r="AT22" i="1"/>
  <c r="AS22" i="1"/>
  <c r="AR22" i="1"/>
  <c r="AQ22" i="1"/>
  <c r="AP22" i="1"/>
  <c r="AT21" i="1"/>
  <c r="AS21" i="1"/>
  <c r="AR21" i="1"/>
  <c r="AQ21" i="1"/>
  <c r="AP21" i="1"/>
  <c r="AT20" i="1"/>
  <c r="AS20" i="1"/>
  <c r="AR20" i="1"/>
  <c r="AQ20" i="1"/>
  <c r="AP20" i="1"/>
  <c r="AT19" i="1"/>
  <c r="AS19" i="1"/>
  <c r="AR19" i="1"/>
  <c r="AQ19" i="1"/>
  <c r="AP19" i="1"/>
  <c r="AM24" i="1"/>
  <c r="AL24" i="1"/>
  <c r="AK24" i="1"/>
  <c r="AJ24" i="1"/>
  <c r="AI24" i="1"/>
  <c r="AM23" i="1"/>
  <c r="AL23" i="1"/>
  <c r="AK23" i="1"/>
  <c r="AJ23" i="1"/>
  <c r="AI23" i="1"/>
  <c r="AM22" i="1"/>
  <c r="AL22" i="1"/>
  <c r="AK22" i="1"/>
  <c r="AJ22" i="1"/>
  <c r="AI22" i="1"/>
  <c r="AM21" i="1"/>
  <c r="AL21" i="1"/>
  <c r="AK21" i="1"/>
  <c r="AJ21" i="1"/>
  <c r="AI21" i="1"/>
  <c r="AM20" i="1"/>
  <c r="AL20" i="1"/>
  <c r="AK20" i="1"/>
  <c r="AJ20" i="1"/>
  <c r="AI20" i="1"/>
  <c r="AM19" i="1"/>
  <c r="AL19" i="1"/>
  <c r="AK19" i="1"/>
  <c r="AJ19" i="1"/>
  <c r="AI19" i="1"/>
  <c r="AF24" i="1"/>
  <c r="AE24" i="1"/>
  <c r="AD24" i="1"/>
  <c r="AC24" i="1"/>
  <c r="AB24" i="1"/>
  <c r="AF23" i="1"/>
  <c r="AE23" i="1"/>
  <c r="AD23" i="1"/>
  <c r="AC23" i="1"/>
  <c r="AB23" i="1"/>
  <c r="AF22" i="1"/>
  <c r="AE22" i="1"/>
  <c r="AD22" i="1"/>
  <c r="AC22" i="1"/>
  <c r="AB22" i="1"/>
  <c r="AF21" i="1"/>
  <c r="AE21" i="1"/>
  <c r="AD21" i="1"/>
  <c r="AC21" i="1"/>
  <c r="AB21" i="1"/>
  <c r="AF20" i="1"/>
  <c r="AE20" i="1"/>
  <c r="AD20" i="1"/>
  <c r="AC20" i="1"/>
  <c r="AB20" i="1"/>
  <c r="AF19" i="1"/>
  <c r="AE19" i="1"/>
  <c r="AD19" i="1"/>
  <c r="AC19" i="1"/>
  <c r="AB19" i="1"/>
  <c r="Y24" i="1"/>
  <c r="X24" i="1"/>
  <c r="W24" i="1"/>
  <c r="V24" i="1"/>
  <c r="U24" i="1"/>
  <c r="Y23" i="1"/>
  <c r="X23" i="1"/>
  <c r="W23" i="1"/>
  <c r="V23" i="1"/>
  <c r="U23" i="1"/>
  <c r="Y22" i="1"/>
  <c r="X22" i="1"/>
  <c r="W22" i="1"/>
  <c r="V22" i="1"/>
  <c r="U22" i="1"/>
  <c r="Y21" i="1"/>
  <c r="X21" i="1"/>
  <c r="W21" i="1"/>
  <c r="V21" i="1"/>
  <c r="U21" i="1"/>
  <c r="Y20" i="1"/>
  <c r="X20" i="1"/>
  <c r="W20" i="1"/>
  <c r="V20" i="1"/>
  <c r="U20" i="1"/>
  <c r="Y19" i="1"/>
  <c r="X19" i="1"/>
  <c r="W19" i="1"/>
  <c r="V19" i="1"/>
  <c r="U19" i="1"/>
  <c r="R24" i="1"/>
  <c r="Q24" i="1"/>
  <c r="O24" i="1"/>
  <c r="N24" i="1"/>
  <c r="R23" i="1"/>
  <c r="Q23" i="1"/>
  <c r="O23" i="1"/>
  <c r="N23" i="1"/>
  <c r="R22" i="1"/>
  <c r="Q22" i="1"/>
  <c r="O22" i="1"/>
  <c r="N22" i="1"/>
  <c r="R21" i="1"/>
  <c r="Q21" i="1"/>
  <c r="O21" i="1"/>
  <c r="N21" i="1"/>
  <c r="R20" i="1"/>
  <c r="Q20" i="1"/>
  <c r="O20" i="1"/>
  <c r="N20" i="1"/>
  <c r="R19" i="1"/>
  <c r="Q19" i="1"/>
  <c r="O19" i="1"/>
  <c r="N19" i="1"/>
  <c r="K24" i="1"/>
  <c r="J24" i="1"/>
  <c r="I24" i="1"/>
  <c r="H24" i="1"/>
  <c r="G24" i="1"/>
  <c r="K23" i="1"/>
  <c r="J23" i="1"/>
  <c r="I23" i="1"/>
  <c r="H23" i="1"/>
  <c r="G23" i="1"/>
  <c r="K22" i="1"/>
  <c r="J22" i="1"/>
  <c r="I22" i="1"/>
  <c r="H22" i="1"/>
  <c r="G22" i="1"/>
  <c r="K21" i="1"/>
  <c r="J21" i="1"/>
  <c r="I21" i="1"/>
  <c r="H21" i="1"/>
  <c r="G21" i="1"/>
  <c r="K20" i="1"/>
  <c r="J20" i="1"/>
  <c r="I20" i="1"/>
  <c r="H20" i="1"/>
  <c r="G20" i="1"/>
  <c r="K19" i="1"/>
  <c r="J19" i="1"/>
  <c r="I19" i="1"/>
  <c r="H19" i="1"/>
  <c r="G19" i="1"/>
  <c r="D24" i="1"/>
  <c r="C24" i="1"/>
  <c r="D23" i="1"/>
  <c r="C23" i="1"/>
  <c r="D22" i="1"/>
  <c r="C22" i="1"/>
  <c r="D21" i="1"/>
  <c r="C21" i="1"/>
  <c r="D20" i="1"/>
  <c r="C20" i="1"/>
  <c r="D19" i="1"/>
  <c r="C19" i="1"/>
  <c r="BA35" i="1"/>
  <c r="AZ35" i="1"/>
  <c r="AY35" i="1"/>
  <c r="AX35" i="1"/>
  <c r="AW35" i="1"/>
  <c r="AT35" i="1"/>
  <c r="AS35" i="1"/>
  <c r="AR35" i="1"/>
  <c r="AQ35" i="1"/>
  <c r="AP35" i="1"/>
  <c r="AM35" i="1"/>
  <c r="AL35" i="1"/>
  <c r="AK35" i="1"/>
  <c r="AJ35" i="1"/>
  <c r="AI35" i="1"/>
  <c r="AF35" i="1"/>
  <c r="AE35" i="1"/>
  <c r="AD35" i="1"/>
  <c r="AC35" i="1"/>
  <c r="AB35" i="1"/>
  <c r="Y35" i="1"/>
  <c r="X35" i="1"/>
  <c r="W35" i="1"/>
  <c r="V35" i="1"/>
  <c r="U35" i="1"/>
  <c r="R35" i="1"/>
  <c r="Q35" i="1"/>
  <c r="O35" i="1"/>
  <c r="N35" i="1"/>
  <c r="K35" i="1"/>
  <c r="J35" i="1"/>
  <c r="I35" i="1"/>
  <c r="H35" i="1"/>
  <c r="G35" i="1"/>
  <c r="D35" i="1"/>
  <c r="C35" i="1"/>
  <c r="BA34" i="1"/>
  <c r="AZ34" i="1"/>
  <c r="AY34" i="1"/>
  <c r="AX34" i="1"/>
  <c r="AW34" i="1"/>
  <c r="AT34" i="1"/>
  <c r="AS34" i="1"/>
  <c r="AR34" i="1"/>
  <c r="AQ34" i="1"/>
  <c r="AP34" i="1"/>
  <c r="AM34" i="1"/>
  <c r="AL34" i="1"/>
  <c r="AK34" i="1"/>
  <c r="AJ34" i="1"/>
  <c r="AI34" i="1"/>
  <c r="AF34" i="1"/>
  <c r="AE34" i="1"/>
  <c r="AD34" i="1"/>
  <c r="AC34" i="1"/>
  <c r="AB34" i="1"/>
  <c r="Y34" i="1"/>
  <c r="X34" i="1"/>
  <c r="W34" i="1"/>
  <c r="V34" i="1"/>
  <c r="U34" i="1"/>
  <c r="R34" i="1"/>
  <c r="Q34" i="1"/>
  <c r="O34" i="1"/>
  <c r="N34" i="1"/>
  <c r="K34" i="1"/>
  <c r="J34" i="1"/>
  <c r="I34" i="1"/>
  <c r="H34" i="1"/>
  <c r="G34" i="1"/>
  <c r="D34" i="1"/>
  <c r="C34" i="1"/>
  <c r="BA33" i="1"/>
  <c r="AZ33" i="1"/>
  <c r="AY33" i="1"/>
  <c r="AX33" i="1"/>
  <c r="AW33" i="1"/>
  <c r="AT33" i="1"/>
  <c r="AS33" i="1"/>
  <c r="AR33" i="1"/>
  <c r="AQ33" i="1"/>
  <c r="AP33" i="1"/>
  <c r="AM33" i="1"/>
  <c r="AL33" i="1"/>
  <c r="AK33" i="1"/>
  <c r="AJ33" i="1"/>
  <c r="AI33" i="1"/>
  <c r="AF33" i="1"/>
  <c r="AE33" i="1"/>
  <c r="AD33" i="1"/>
  <c r="AC33" i="1"/>
  <c r="AB33" i="1"/>
  <c r="Y33" i="1"/>
  <c r="X33" i="1"/>
  <c r="W33" i="1"/>
  <c r="V33" i="1"/>
  <c r="U33" i="1"/>
  <c r="R33" i="1"/>
  <c r="Q33" i="1"/>
  <c r="O33" i="1"/>
  <c r="N33" i="1"/>
  <c r="K33" i="1"/>
  <c r="J33" i="1"/>
  <c r="I33" i="1"/>
  <c r="H33" i="1"/>
  <c r="G33" i="1"/>
  <c r="D33" i="1"/>
  <c r="C33" i="1"/>
  <c r="BA32" i="1"/>
  <c r="AZ32" i="1"/>
  <c r="AY32" i="1"/>
  <c r="AX32" i="1"/>
  <c r="AW32" i="1"/>
  <c r="AT32" i="1"/>
  <c r="AS32" i="1"/>
  <c r="AR32" i="1"/>
  <c r="AQ32" i="1"/>
  <c r="AP32" i="1"/>
  <c r="AM32" i="1"/>
  <c r="AL32" i="1"/>
  <c r="AK32" i="1"/>
  <c r="AJ32" i="1"/>
  <c r="AI32" i="1"/>
  <c r="AF32" i="1"/>
  <c r="AE32" i="1"/>
  <c r="AD32" i="1"/>
  <c r="AC32" i="1"/>
  <c r="AB32" i="1"/>
  <c r="Y32" i="1"/>
  <c r="X32" i="1"/>
  <c r="W32" i="1"/>
  <c r="V32" i="1"/>
  <c r="U32" i="1"/>
  <c r="R32" i="1"/>
  <c r="Q32" i="1"/>
  <c r="O32" i="1"/>
  <c r="N32" i="1"/>
  <c r="K32" i="1"/>
  <c r="J32" i="1"/>
  <c r="I32" i="1"/>
  <c r="H32" i="1"/>
  <c r="G32" i="1"/>
  <c r="D32" i="1"/>
  <c r="C32" i="1"/>
  <c r="BA31" i="1"/>
  <c r="AZ31" i="1"/>
  <c r="AY31" i="1"/>
  <c r="AX31" i="1"/>
  <c r="AW31" i="1"/>
  <c r="AT31" i="1"/>
  <c r="AS31" i="1"/>
  <c r="AR31" i="1"/>
  <c r="AQ31" i="1"/>
  <c r="AP31" i="1"/>
  <c r="AM31" i="1"/>
  <c r="AL31" i="1"/>
  <c r="AK31" i="1"/>
  <c r="AJ31" i="1"/>
  <c r="AI31" i="1"/>
  <c r="AF31" i="1"/>
  <c r="AE31" i="1"/>
  <c r="AD31" i="1"/>
  <c r="AC31" i="1"/>
  <c r="AB31" i="1"/>
  <c r="Y31" i="1"/>
  <c r="X31" i="1"/>
  <c r="W31" i="1"/>
  <c r="V31" i="1"/>
  <c r="U31" i="1"/>
  <c r="R31" i="1"/>
  <c r="Q31" i="1"/>
  <c r="O31" i="1"/>
  <c r="N31" i="1"/>
  <c r="K31" i="1"/>
  <c r="J31" i="1"/>
  <c r="I31" i="1"/>
  <c r="H31" i="1"/>
  <c r="G31" i="1"/>
  <c r="D31" i="1"/>
  <c r="C31" i="1"/>
  <c r="BA30" i="1"/>
  <c r="AZ30" i="1"/>
  <c r="AY30" i="1"/>
  <c r="AX30" i="1"/>
  <c r="AW30" i="1"/>
  <c r="AT30" i="1"/>
  <c r="AS30" i="1"/>
  <c r="AR30" i="1"/>
  <c r="AQ30" i="1"/>
  <c r="AP30" i="1"/>
  <c r="AM30" i="1"/>
  <c r="AL30" i="1"/>
  <c r="AK30" i="1"/>
  <c r="AJ30" i="1"/>
  <c r="AI30" i="1"/>
  <c r="AF30" i="1"/>
  <c r="AE30" i="1"/>
  <c r="AD30" i="1"/>
  <c r="AC30" i="1"/>
  <c r="AB30" i="1"/>
  <c r="Y30" i="1"/>
  <c r="X30" i="1"/>
  <c r="W30" i="1"/>
  <c r="V30" i="1"/>
  <c r="U30" i="1"/>
  <c r="R30" i="1"/>
  <c r="Q30" i="1"/>
  <c r="O30" i="1"/>
  <c r="N30" i="1"/>
  <c r="K30" i="1"/>
  <c r="J30" i="1"/>
  <c r="I30" i="1"/>
  <c r="H30" i="1"/>
  <c r="G30" i="1"/>
  <c r="D30" i="1"/>
  <c r="C30" i="1"/>
  <c r="BA29" i="1"/>
  <c r="AZ29" i="1"/>
  <c r="AY29" i="1"/>
  <c r="AX29" i="1"/>
  <c r="AW29" i="1"/>
  <c r="AT29" i="1"/>
  <c r="AS29" i="1"/>
  <c r="AR29" i="1"/>
  <c r="AQ29" i="1"/>
  <c r="AP29" i="1"/>
  <c r="AM29" i="1"/>
  <c r="AL29" i="1"/>
  <c r="AK29" i="1"/>
  <c r="AJ29" i="1"/>
  <c r="AI29" i="1"/>
  <c r="AF29" i="1"/>
  <c r="AE29" i="1"/>
  <c r="AD29" i="1"/>
  <c r="AC29" i="1"/>
  <c r="AB29" i="1"/>
  <c r="Y29" i="1"/>
  <c r="X29" i="1"/>
  <c r="W29" i="1"/>
  <c r="V29" i="1"/>
  <c r="U29" i="1"/>
  <c r="R29" i="1"/>
  <c r="Q29" i="1"/>
  <c r="O29" i="1"/>
  <c r="N29" i="1"/>
  <c r="K29" i="1"/>
  <c r="J29" i="1"/>
  <c r="I29" i="1"/>
  <c r="H29" i="1"/>
  <c r="G29" i="1"/>
  <c r="D29" i="1"/>
  <c r="C29" i="1"/>
  <c r="BA28" i="1"/>
  <c r="AZ28" i="1"/>
  <c r="AY28" i="1"/>
  <c r="AX28" i="1"/>
  <c r="AW28" i="1"/>
  <c r="AT28" i="1"/>
  <c r="AS28" i="1"/>
  <c r="AR28" i="1"/>
  <c r="AQ28" i="1"/>
  <c r="AP28" i="1"/>
  <c r="AM28" i="1"/>
  <c r="AL28" i="1"/>
  <c r="AK28" i="1"/>
  <c r="AJ28" i="1"/>
  <c r="AI28" i="1"/>
  <c r="AF28" i="1"/>
  <c r="AE28" i="1"/>
  <c r="AD28" i="1"/>
  <c r="AC28" i="1"/>
  <c r="AB28" i="1"/>
  <c r="Y28" i="1"/>
  <c r="X28" i="1"/>
  <c r="W28" i="1"/>
  <c r="V28" i="1"/>
  <c r="U28" i="1"/>
  <c r="R28" i="1"/>
  <c r="Q28" i="1"/>
  <c r="O28" i="1"/>
  <c r="N28" i="1"/>
  <c r="K28" i="1"/>
  <c r="J28" i="1"/>
  <c r="I28" i="1"/>
  <c r="H28" i="1"/>
  <c r="G28" i="1"/>
  <c r="D28" i="1"/>
  <c r="C28" i="1"/>
  <c r="P39" i="1" l="1"/>
  <c r="P40" i="1"/>
  <c r="P23" i="1"/>
  <c r="P21" i="1"/>
  <c r="P30" i="1"/>
  <c r="P35" i="1"/>
  <c r="P31" i="1"/>
  <c r="P37" i="1"/>
  <c r="P38" i="1"/>
  <c r="P33" i="1"/>
  <c r="P29" i="1"/>
  <c r="P25" i="1"/>
  <c r="P34" i="1"/>
  <c r="P19" i="1"/>
  <c r="P22" i="1"/>
  <c r="P32" i="1"/>
  <c r="P26" i="1"/>
  <c r="P41" i="1"/>
  <c r="P24" i="1"/>
  <c r="P42" i="1"/>
  <c r="P20" i="1"/>
  <c r="P28" i="1"/>
</calcChain>
</file>

<file path=xl/sharedStrings.xml><?xml version="1.0" encoding="utf-8"?>
<sst xmlns="http://schemas.openxmlformats.org/spreadsheetml/2006/main" count="2521" uniqueCount="126">
  <si>
    <t>Staff</t>
  </si>
  <si>
    <t>post_call_cover</t>
  </si>
  <si>
    <t>leave</t>
  </si>
  <si>
    <t>Team</t>
  </si>
  <si>
    <t>Requirement</t>
  </si>
  <si>
    <t>Leave per team</t>
  </si>
  <si>
    <t>Priority</t>
  </si>
  <si>
    <t>go</t>
  </si>
  <si>
    <t>subobs</t>
  </si>
  <si>
    <t>bg</t>
  </si>
  <si>
    <t>9ab</t>
  </si>
  <si>
    <t>ds</t>
  </si>
  <si>
    <t>b1</t>
  </si>
  <si>
    <t>bg (call)</t>
  </si>
  <si>
    <t>ds (call)</t>
  </si>
  <si>
    <t>9ab (call)</t>
  </si>
  <si>
    <t>subobs (call)</t>
  </si>
  <si>
    <t>go (call)</t>
  </si>
  <si>
    <t>b1 (call)</t>
  </si>
  <si>
    <t xml:space="preserve">Req </t>
  </si>
  <si>
    <t>ps_cover</t>
  </si>
  <si>
    <t>Calls per team</t>
  </si>
  <si>
    <t>ps_cover (call)</t>
  </si>
  <si>
    <t>13/11/2026</t>
  </si>
  <si>
    <t>14/11/2026</t>
  </si>
  <si>
    <t>15/11/2026</t>
  </si>
  <si>
    <t>16/11/2026</t>
  </si>
  <si>
    <t>17/11/2026</t>
  </si>
  <si>
    <t>18/11/2026</t>
  </si>
  <si>
    <t>19/11/2026</t>
  </si>
  <si>
    <t>20/11/2026</t>
  </si>
  <si>
    <t>21/11/2026</t>
  </si>
  <si>
    <t>22/11/2026</t>
  </si>
  <si>
    <t>23/11/2026</t>
  </si>
  <si>
    <t>24/11/2026</t>
  </si>
  <si>
    <t>25/11/2026</t>
  </si>
  <si>
    <t>26/11/2026</t>
  </si>
  <si>
    <t>27/11/2026</t>
  </si>
  <si>
    <t>28/11/2026</t>
  </si>
  <si>
    <t>29/11/2026</t>
  </si>
  <si>
    <t>30/11/2026</t>
  </si>
  <si>
    <t>B</t>
  </si>
  <si>
    <t>L</t>
  </si>
  <si>
    <t>Call Requirement</t>
  </si>
  <si>
    <t>(call)</t>
  </si>
  <si>
    <t>Deficit per team</t>
  </si>
  <si>
    <t>&gt;&gt;&gt;</t>
  </si>
  <si>
    <t>Charmaine</t>
  </si>
  <si>
    <t>Gwendolyn</t>
  </si>
  <si>
    <t>Sean</t>
  </si>
  <si>
    <t>Haziq</t>
  </si>
  <si>
    <t>Zhichen</t>
  </si>
  <si>
    <t>Keerthana</t>
  </si>
  <si>
    <t>Maxine</t>
  </si>
  <si>
    <t>Ee Jin</t>
  </si>
  <si>
    <t>Cheng Yat</t>
  </si>
  <si>
    <t>Megan</t>
  </si>
  <si>
    <t>#shittiness</t>
  </si>
  <si>
    <t>#team</t>
  </si>
  <si>
    <t>#al_buffer_before</t>
  </si>
  <si>
    <t>#al_buffer_after</t>
  </si>
  <si>
    <t>#bl_buffer_before</t>
  </si>
  <si>
    <t>#bl_buffer_after</t>
  </si>
  <si>
    <t>#min_call_interval</t>
  </si>
  <si>
    <t>#max_solve_time_seconds</t>
  </si>
  <si>
    <t>31/10/2026</t>
  </si>
  <si>
    <t>30/10/2026</t>
  </si>
  <si>
    <t>29/10/2026</t>
  </si>
  <si>
    <t>13/10/2026</t>
  </si>
  <si>
    <t>13/09/2026</t>
  </si>
  <si>
    <t>14/09/2026</t>
  </si>
  <si>
    <t>15/09/2026</t>
  </si>
  <si>
    <t>16/09/2026</t>
  </si>
  <si>
    <t>17/09/2026</t>
  </si>
  <si>
    <t>18/09/2026</t>
  </si>
  <si>
    <t>19/09/2026</t>
  </si>
  <si>
    <t>20/09/2026</t>
  </si>
  <si>
    <t>21/09/2026</t>
  </si>
  <si>
    <t>22/09/2026</t>
  </si>
  <si>
    <t>23/09/2026</t>
  </si>
  <si>
    <t>24/09/2026</t>
  </si>
  <si>
    <t>25/09/2026</t>
  </si>
  <si>
    <t>26/09/2026</t>
  </si>
  <si>
    <t>27/09/2026</t>
  </si>
  <si>
    <t>28/09/2026</t>
  </si>
  <si>
    <t>29/09/2026</t>
  </si>
  <si>
    <t>30/09/2026</t>
  </si>
  <si>
    <t>14/10/2026</t>
  </si>
  <si>
    <t>15/10/2026</t>
  </si>
  <si>
    <t>16/10/2026</t>
  </si>
  <si>
    <t>17/10/2026</t>
  </si>
  <si>
    <t>18/10/2026</t>
  </si>
  <si>
    <t>19/10/2026</t>
  </si>
  <si>
    <t>20/10/2026</t>
  </si>
  <si>
    <t>21/10/2026</t>
  </si>
  <si>
    <t>22/10/2026</t>
  </si>
  <si>
    <t>23/10/2026</t>
  </si>
  <si>
    <t>24/10/2026</t>
  </si>
  <si>
    <t>25/10/2026</t>
  </si>
  <si>
    <t>26/10/2026</t>
  </si>
  <si>
    <t>27/10/2026</t>
  </si>
  <si>
    <t>28/10/2026</t>
  </si>
  <si>
    <t>13/12/2026</t>
  </si>
  <si>
    <t>14/12/2026</t>
  </si>
  <si>
    <t>15/12/2026</t>
  </si>
  <si>
    <t>16/12/2026</t>
  </si>
  <si>
    <t>17/12/2026</t>
  </si>
  <si>
    <t>18/12/2026</t>
  </si>
  <si>
    <t>19/12/2026</t>
  </si>
  <si>
    <t>20/12/2026</t>
  </si>
  <si>
    <t>21/12/2026</t>
  </si>
  <si>
    <t>22/12/2026</t>
  </si>
  <si>
    <t>23/12/2026</t>
  </si>
  <si>
    <t>24/12/2026</t>
  </si>
  <si>
    <t>25/12/2026</t>
  </si>
  <si>
    <t>26/12/2026</t>
  </si>
  <si>
    <t>27/12/2026</t>
  </si>
  <si>
    <t>28/12/2026</t>
  </si>
  <si>
    <t>29/12/2026</t>
  </si>
  <si>
    <t>30/12/2026</t>
  </si>
  <si>
    <t>31/12/2026</t>
  </si>
  <si>
    <t>#allowed_shortfall</t>
  </si>
  <si>
    <t>#shortfall_cost</t>
  </si>
  <si>
    <t>Hasna</t>
  </si>
  <si>
    <t>leave (call)</t>
  </si>
  <si>
    <t>#allowed_surplus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</si>
</sst>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28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2"/>
      <color theme="0"/>
      <name val="Aptos Narrow"/>
      <scheme val="minor"/>
    </font>
    <font>
      <sz val="12"/>
      <color theme="0"/>
      <name val="Aptos Narrow"/>
      <scheme val="minor"/>
    </font>
    <font>
      <sz val="12"/>
      <color theme="1" tint="0.499984740745262"/>
      <name val="Aptos Narrow"/>
      <family val="2"/>
      <scheme val="minor"/>
    </font>
    <font>
      <sz val="12"/>
      <color rgb="FFBBBEBF"/>
      <name val="Menlo"/>
      <family val="2"/>
    </font>
    <font>
      <sz val="12"/>
      <name val="Aptos Narrow"/>
      <family val="2"/>
      <scheme val="minor"/>
    </font>
    <font>
      <b/>
      <sz val="12"/>
      <name val="Aptos Narrow"/>
      <scheme val="minor"/>
    </font>
    <font>
      <sz val="12"/>
      <name val="Aptos Narrow"/>
      <scheme val="minor"/>
    </font>
    <font>
      <sz val="14"/>
      <color rgb="FF000000"/>
      <name val="Aptos Narrow"/>
    </font>
    <font>
      <sz val="8"/>
      <name val="Aptos Narrow"/>
      <family val="2"/>
      <scheme val="minor"/>
    </font>
    <font>
      <sz val="12"/>
      <color rgb="FF000000"/>
      <name val="Aptos Narrow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7">
    <xf numFmtId="0" fontId="0" fillId="0" borderId="0" xfId="0"/>
    <xf numFmtId="0" fontId="0" fillId="34" borderId="0" xfId="0" applyFill="1"/>
    <xf numFmtId="0" fontId="18" fillId="33" borderId="0" xfId="0" applyFont="1" applyFill="1"/>
    <xf numFmtId="0" fontId="19" fillId="33" borderId="0" xfId="0" applyFont="1" applyFill="1"/>
    <xf numFmtId="0" fontId="19" fillId="34" borderId="0" xfId="0" applyFont="1" applyFill="1"/>
    <xf numFmtId="0" fontId="0" fillId="34" borderId="0" xfId="0" applyFill="1" applyAlignment="1">
      <alignment horizontal="right"/>
    </xf>
    <xf numFmtId="0" fontId="19" fillId="34" borderId="0" xfId="0" applyFont="1" applyFill="1" applyAlignment="1">
      <alignment horizontal="right"/>
    </xf>
    <xf numFmtId="0" fontId="0" fillId="0" borderId="0" xfId="0" applyAlignment="1">
      <alignment horizontal="left"/>
    </xf>
    <xf numFmtId="0" fontId="20" fillId="34" borderId="0" xfId="0" applyFont="1" applyFill="1"/>
    <xf numFmtId="0" fontId="20" fillId="34" borderId="0" xfId="0" applyFont="1" applyFill="1" applyAlignment="1">
      <alignment horizontal="right"/>
    </xf>
    <xf numFmtId="0" fontId="21" fillId="0" borderId="0" xfId="0" applyFont="1"/>
    <xf numFmtId="0" fontId="0" fillId="35" borderId="0" xfId="0" applyFill="1"/>
    <xf numFmtId="14" fontId="0" fillId="0" borderId="0" xfId="0" applyNumberFormat="1"/>
    <xf numFmtId="0" fontId="0" fillId="0" borderId="0" xfId="0" applyAlignment="1">
      <alignment horizontal="right"/>
    </xf>
    <xf numFmtId="0" fontId="20" fillId="0" borderId="0" xfId="0" applyFont="1"/>
    <xf numFmtId="0" fontId="22" fillId="0" borderId="0" xfId="0" applyFont="1" applyAlignment="1">
      <alignment horizontal="left"/>
    </xf>
    <xf numFmtId="14" fontId="22" fillId="0" borderId="0" xfId="0" applyNumberFormat="1" applyFont="1" applyAlignment="1">
      <alignment horizontal="left"/>
    </xf>
    <xf numFmtId="0" fontId="23" fillId="36" borderId="0" xfId="0" applyFont="1" applyFill="1"/>
    <xf numFmtId="0" fontId="24" fillId="36" borderId="0" xfId="0" applyFont="1" applyFill="1"/>
    <xf numFmtId="164" fontId="0" fillId="35" borderId="0" xfId="0" applyNumberFormat="1" applyFill="1"/>
    <xf numFmtId="164" fontId="0" fillId="0" borderId="0" xfId="0" applyNumberFormat="1"/>
    <xf numFmtId="14" fontId="0" fillId="34" borderId="0" xfId="0" applyNumberFormat="1" applyFill="1"/>
    <xf numFmtId="0" fontId="0" fillId="37" borderId="0" xfId="0" applyFill="1"/>
    <xf numFmtId="0" fontId="14" fillId="0" borderId="0" xfId="0" applyFont="1" applyAlignment="1">
      <alignment horizontal="left"/>
    </xf>
    <xf numFmtId="14" fontId="0" fillId="35" borderId="0" xfId="0" applyNumberFormat="1" applyFill="1"/>
    <xf numFmtId="164" fontId="21" fillId="0" borderId="0" xfId="0" applyNumberFormat="1" applyFont="1"/>
    <xf numFmtId="164" fontId="27" fillId="0" borderId="0" xfId="0" applyNumberFormat="1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100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8" tint="-0.499984740745262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b val="0"/>
        <i/>
        <color theme="0" tint="-0.24994659260841701"/>
      </font>
      <fill>
        <patternFill>
          <bgColor theme="0" tint="-0.14996795556505021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color theme="0" tint="-0.24994659260841701"/>
      </font>
    </dxf>
    <dxf>
      <fill>
        <patternFill>
          <bgColor rgb="FFFFC7CE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theme="0" tint="-0.14996795556505021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 tint="-0.14996795556505021"/>
      </font>
    </dxf>
    <dxf>
      <font>
        <color theme="8" tint="-0.499984740745262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b val="0"/>
        <i/>
        <color theme="0" tint="-0.24994659260841701"/>
      </font>
      <fill>
        <patternFill>
          <bgColor theme="0" tint="-0.14996795556505021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color theme="0" tint="-0.24994659260841701"/>
      </font>
    </dxf>
    <dxf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8" tint="-0.499984740745262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color theme="0" tint="-0.2499465926084170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b val="0"/>
        <i/>
        <color rgb="FF9C0006"/>
      </font>
    </dxf>
    <dxf>
      <font>
        <color rgb="FF002060"/>
      </font>
    </dxf>
    <dxf>
      <font>
        <color theme="5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ont>
        <color theme="8" tint="-0.499984740745262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b val="0"/>
        <i/>
        <color theme="0" tint="-0.24994659260841701"/>
      </font>
      <fill>
        <patternFill>
          <bgColor theme="0" tint="-0.14996795556505021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color theme="0" tint="-0.2499465926084170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</dxfs>
  <tableStyles count="0" defaultTableStyle="TableStyleMedium2" defaultPivotStyle="PivotStyleLight16"/>
  <colors>
    <mruColors>
      <color rgb="FF0020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228601</xdr:colOff>
          <xdr:row>14</xdr:row>
          <xdr:rowOff>74839</xdr:rowOff>
        </xdr:from>
        <xdr:to>
          <xdr:col>5</xdr:col>
          <xdr:colOff>393701</xdr:colOff>
          <xdr:row>16</xdr:row>
          <xdr:rowOff>49439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Flush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642258</xdr:colOff>
          <xdr:row>14</xdr:row>
          <xdr:rowOff>62139</xdr:rowOff>
        </xdr:from>
        <xdr:to>
          <xdr:col>8</xdr:col>
          <xdr:colOff>146957</xdr:colOff>
          <xdr:row>16</xdr:row>
          <xdr:rowOff>36739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Read 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A953D-5EB7-714B-A961-32CE5CEA684C}">
  <sheetPr codeName="Sheet2"/>
  <dimension ref="A1:EH42"/>
  <sheetViews>
    <sheetView zoomScaleNormal="112" workbookViewId="0">
      <pane xSplit="2" topLeftCell="Q1" activePane="topRight" state="frozen"/>
      <selection pane="topRight" activeCell="AR12" sqref="AR12"/>
    </sheetView>
  </sheetViews>
  <sheetFormatPr baseColWidth="10" defaultRowHeight="16"/>
  <cols>
    <col min="1" max="1" width="6.6640625" customWidth="1"/>
    <col min="2" max="2" width="13.1640625" customWidth="1"/>
    <col min="3" max="4" width="8.83203125" customWidth="1"/>
    <col min="5" max="6" width="8.83203125" style="1" customWidth="1"/>
    <col min="7" max="11" width="8.83203125" customWidth="1"/>
    <col min="12" max="13" width="8.83203125" style="1" customWidth="1"/>
    <col min="14" max="18" width="8.83203125" customWidth="1"/>
    <col min="19" max="20" width="8.83203125" style="1" customWidth="1"/>
    <col min="21" max="25" width="8.83203125" customWidth="1"/>
    <col min="26" max="27" width="8.83203125" style="1" customWidth="1"/>
    <col min="28" max="32" width="8.83203125" customWidth="1"/>
    <col min="33" max="34" width="8.83203125" style="1" customWidth="1"/>
    <col min="35" max="39" width="8.83203125" customWidth="1"/>
    <col min="40" max="41" width="8.83203125" style="1" customWidth="1"/>
    <col min="42" max="46" width="8.83203125" customWidth="1"/>
    <col min="47" max="48" width="8.83203125" style="1" customWidth="1"/>
    <col min="49" max="53" width="8.83203125" customWidth="1"/>
    <col min="54" max="55" width="8.83203125" style="1" customWidth="1"/>
    <col min="56" max="57" width="8.83203125" customWidth="1"/>
    <col min="58" max="59" width="8.83203125" style="7" customWidth="1"/>
  </cols>
  <sheetData>
    <row r="1" spans="1:138" s="15" customFormat="1">
      <c r="A1" s="23" t="s">
        <v>46</v>
      </c>
      <c r="B1" s="22" t="s">
        <v>0</v>
      </c>
      <c r="C1" s="12">
        <v>46090</v>
      </c>
      <c r="D1" s="12">
        <v>46121</v>
      </c>
      <c r="E1" s="21">
        <v>46151</v>
      </c>
      <c r="F1" s="21">
        <v>46182</v>
      </c>
      <c r="G1" s="12">
        <v>46212</v>
      </c>
      <c r="H1" s="12">
        <v>46243</v>
      </c>
      <c r="I1" s="12">
        <v>46274</v>
      </c>
      <c r="J1" s="12">
        <v>46304</v>
      </c>
      <c r="K1" s="12">
        <v>46335</v>
      </c>
      <c r="L1" s="21">
        <v>46365</v>
      </c>
      <c r="M1" s="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74</v>
      </c>
      <c r="S1" s="1" t="s">
        <v>75</v>
      </c>
      <c r="T1" s="1" t="s">
        <v>76</v>
      </c>
      <c r="U1" t="s">
        <v>77</v>
      </c>
      <c r="V1" t="s">
        <v>78</v>
      </c>
      <c r="W1" t="s">
        <v>79</v>
      </c>
      <c r="X1" t="s">
        <v>80</v>
      </c>
      <c r="Y1" t="s">
        <v>81</v>
      </c>
      <c r="Z1" s="1" t="s">
        <v>82</v>
      </c>
      <c r="AA1" s="21" t="s">
        <v>83</v>
      </c>
      <c r="AB1" s="12" t="s">
        <v>84</v>
      </c>
      <c r="AC1" s="16" t="s">
        <v>85</v>
      </c>
      <c r="AD1" s="16" t="s">
        <v>86</v>
      </c>
      <c r="AE1" s="16">
        <v>46032</v>
      </c>
      <c r="AF1" s="16">
        <v>46063</v>
      </c>
      <c r="AG1" s="16">
        <v>46091</v>
      </c>
      <c r="AH1" s="16">
        <v>46122</v>
      </c>
      <c r="AI1" s="16">
        <v>46152</v>
      </c>
      <c r="AJ1" s="16">
        <v>46183</v>
      </c>
      <c r="AK1" s="16">
        <v>46213</v>
      </c>
      <c r="AL1" s="16">
        <v>46244</v>
      </c>
      <c r="AM1" s="16">
        <v>46275</v>
      </c>
      <c r="AN1" s="16">
        <v>46305</v>
      </c>
      <c r="AO1" s="16">
        <v>46336</v>
      </c>
      <c r="AP1" s="16">
        <v>46366</v>
      </c>
      <c r="AQ1" s="16" t="s">
        <v>68</v>
      </c>
      <c r="AR1" s="16" t="s">
        <v>87</v>
      </c>
      <c r="AS1" s="16" t="s">
        <v>88</v>
      </c>
      <c r="AT1" s="16" t="s">
        <v>89</v>
      </c>
      <c r="AU1" s="16" t="s">
        <v>90</v>
      </c>
      <c r="AV1" s="16" t="s">
        <v>91</v>
      </c>
      <c r="AW1" s="16" t="s">
        <v>92</v>
      </c>
      <c r="AX1" s="16" t="s">
        <v>93</v>
      </c>
      <c r="AY1" s="16" t="s">
        <v>94</v>
      </c>
      <c r="AZ1" s="16" t="s">
        <v>95</v>
      </c>
      <c r="BA1" s="16" t="s">
        <v>96</v>
      </c>
      <c r="BB1" s="16" t="s">
        <v>97</v>
      </c>
      <c r="BC1" s="1" t="s">
        <v>98</v>
      </c>
      <c r="BD1" t="s">
        <v>99</v>
      </c>
      <c r="BE1" t="s">
        <v>100</v>
      </c>
      <c r="BF1" t="s">
        <v>101</v>
      </c>
      <c r="BG1" t="s">
        <v>67</v>
      </c>
      <c r="BH1" t="s">
        <v>66</v>
      </c>
      <c r="BI1" s="1" t="s">
        <v>65</v>
      </c>
      <c r="BJ1" s="21">
        <v>46033</v>
      </c>
      <c r="BK1" s="12">
        <v>46064</v>
      </c>
      <c r="BL1" s="12">
        <v>46092</v>
      </c>
      <c r="BM1" s="12">
        <v>46123</v>
      </c>
      <c r="BN1" s="12">
        <v>46153</v>
      </c>
      <c r="BO1" s="12">
        <v>46184</v>
      </c>
      <c r="BP1" s="21">
        <v>46214</v>
      </c>
      <c r="BQ1" s="21">
        <v>46245</v>
      </c>
      <c r="BR1" s="12">
        <v>46276</v>
      </c>
      <c r="BS1" s="16">
        <v>46306</v>
      </c>
      <c r="BT1" s="16">
        <v>46337</v>
      </c>
      <c r="BU1" s="16">
        <v>46367</v>
      </c>
      <c r="BV1" s="16" t="s">
        <v>23</v>
      </c>
      <c r="BW1" s="16" t="s">
        <v>24</v>
      </c>
      <c r="BX1" s="16" t="s">
        <v>25</v>
      </c>
      <c r="BY1" s="16" t="s">
        <v>26</v>
      </c>
      <c r="BZ1" s="16" t="s">
        <v>27</v>
      </c>
      <c r="CA1" s="16" t="s">
        <v>28</v>
      </c>
      <c r="CB1" s="16" t="s">
        <v>29</v>
      </c>
      <c r="CC1" s="16" t="s">
        <v>30</v>
      </c>
      <c r="CD1" s="16" t="s">
        <v>31</v>
      </c>
      <c r="CE1" s="16" t="s">
        <v>32</v>
      </c>
      <c r="CF1" s="16" t="s">
        <v>33</v>
      </c>
      <c r="CG1" s="16" t="s">
        <v>34</v>
      </c>
      <c r="CH1" s="16" t="s">
        <v>35</v>
      </c>
      <c r="CI1" s="16" t="s">
        <v>36</v>
      </c>
      <c r="CJ1" s="16" t="s">
        <v>37</v>
      </c>
      <c r="CK1" s="16" t="s">
        <v>38</v>
      </c>
      <c r="CL1" s="16" t="s">
        <v>39</v>
      </c>
      <c r="CM1" s="16" t="s">
        <v>40</v>
      </c>
      <c r="CN1" s="16">
        <v>46034</v>
      </c>
      <c r="CO1" s="16">
        <v>46065</v>
      </c>
      <c r="CP1" s="16">
        <v>46093</v>
      </c>
      <c r="CQ1" s="16">
        <v>46124</v>
      </c>
      <c r="CR1" s="16">
        <v>46154</v>
      </c>
      <c r="CS1" s="21">
        <v>46185</v>
      </c>
      <c r="CT1" s="12">
        <v>46215</v>
      </c>
      <c r="CU1" s="12">
        <v>46246</v>
      </c>
      <c r="CV1" s="12">
        <v>46277</v>
      </c>
      <c r="CW1" s="12">
        <v>46307</v>
      </c>
      <c r="CX1" s="12">
        <v>46338</v>
      </c>
      <c r="CY1" s="21">
        <v>46368</v>
      </c>
      <c r="CZ1" s="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s="1" t="s">
        <v>108</v>
      </c>
      <c r="DG1" s="21" t="s">
        <v>109</v>
      </c>
      <c r="DH1" s="12" t="s">
        <v>110</v>
      </c>
      <c r="DI1" s="16" t="s">
        <v>111</v>
      </c>
      <c r="DJ1" s="16" t="s">
        <v>112</v>
      </c>
      <c r="DK1" s="16" t="s">
        <v>113</v>
      </c>
      <c r="DL1" s="16" t="s">
        <v>114</v>
      </c>
      <c r="DM1" s="16" t="s">
        <v>115</v>
      </c>
      <c r="DN1" s="16" t="s">
        <v>116</v>
      </c>
      <c r="DO1" s="16" t="s">
        <v>117</v>
      </c>
      <c r="DP1" s="16" t="s">
        <v>118</v>
      </c>
      <c r="DQ1" s="16" t="s">
        <v>119</v>
      </c>
      <c r="DR1" s="16" t="s">
        <v>120</v>
      </c>
      <c r="DS1" s="16" t="s">
        <v>68</v>
      </c>
      <c r="DT1" s="16" t="s">
        <v>87</v>
      </c>
      <c r="DU1" s="16" t="s">
        <v>88</v>
      </c>
      <c r="DV1" s="16" t="s">
        <v>89</v>
      </c>
      <c r="DW1" s="16" t="s">
        <v>90</v>
      </c>
      <c r="DX1" s="16" t="s">
        <v>91</v>
      </c>
      <c r="DY1" s="16" t="s">
        <v>92</v>
      </c>
      <c r="DZ1" s="16" t="s">
        <v>93</v>
      </c>
      <c r="EA1" s="16" t="s">
        <v>94</v>
      </c>
      <c r="EB1" s="16" t="s">
        <v>95</v>
      </c>
      <c r="EC1" s="16" t="s">
        <v>96</v>
      </c>
      <c r="ED1" s="16" t="s">
        <v>97</v>
      </c>
      <c r="EE1" s="16" t="s">
        <v>98</v>
      </c>
      <c r="EF1" s="16" t="s">
        <v>99</v>
      </c>
      <c r="EG1" s="16" t="s">
        <v>100</v>
      </c>
      <c r="EH1" s="16" t="s">
        <v>101</v>
      </c>
    </row>
    <row r="2" spans="1:138">
      <c r="B2" t="s">
        <v>47</v>
      </c>
      <c r="C2" t="s">
        <v>9</v>
      </c>
      <c r="D2" t="s">
        <v>9</v>
      </c>
      <c r="G2" t="s">
        <v>11</v>
      </c>
      <c r="H2" t="s">
        <v>11</v>
      </c>
      <c r="I2" t="s">
        <v>14</v>
      </c>
      <c r="J2" t="s">
        <v>20</v>
      </c>
      <c r="K2" t="s">
        <v>11</v>
      </c>
      <c r="N2" t="s">
        <v>7</v>
      </c>
      <c r="O2" t="s">
        <v>7</v>
      </c>
      <c r="P2" t="s">
        <v>7</v>
      </c>
      <c r="Q2" t="s">
        <v>7</v>
      </c>
      <c r="R2" t="s">
        <v>17</v>
      </c>
      <c r="U2" t="s">
        <v>8</v>
      </c>
      <c r="V2" t="s">
        <v>8</v>
      </c>
      <c r="W2" t="s">
        <v>8</v>
      </c>
      <c r="X2" t="s">
        <v>8</v>
      </c>
      <c r="Y2" t="s">
        <v>8</v>
      </c>
      <c r="AB2" t="s">
        <v>8</v>
      </c>
      <c r="AC2" t="s">
        <v>8</v>
      </c>
      <c r="AD2" t="s">
        <v>8</v>
      </c>
      <c r="AE2" t="s">
        <v>8</v>
      </c>
      <c r="AF2" t="s">
        <v>8</v>
      </c>
      <c r="AG2" s="1" t="s">
        <v>44</v>
      </c>
      <c r="AI2" t="s">
        <v>7</v>
      </c>
      <c r="AJ2" t="s">
        <v>8</v>
      </c>
      <c r="AK2" t="s">
        <v>14</v>
      </c>
      <c r="AL2" t="s">
        <v>20</v>
      </c>
      <c r="AM2" t="s">
        <v>2</v>
      </c>
      <c r="AP2" t="s">
        <v>2</v>
      </c>
      <c r="AQ2" t="s">
        <v>2</v>
      </c>
      <c r="AR2" t="s">
        <v>11</v>
      </c>
      <c r="AS2" t="s">
        <v>11</v>
      </c>
      <c r="AT2" t="s">
        <v>7</v>
      </c>
      <c r="AU2" s="1" t="s">
        <v>44</v>
      </c>
      <c r="AW2" t="s">
        <v>10</v>
      </c>
      <c r="AX2" t="s">
        <v>10</v>
      </c>
      <c r="AY2" t="s">
        <v>10</v>
      </c>
      <c r="AZ2" t="s">
        <v>10</v>
      </c>
      <c r="BA2" t="s">
        <v>15</v>
      </c>
      <c r="BD2" t="s">
        <v>12</v>
      </c>
      <c r="BE2" t="s">
        <v>12</v>
      </c>
      <c r="BF2" t="s">
        <v>12</v>
      </c>
      <c r="BG2" t="s">
        <v>12</v>
      </c>
      <c r="BH2" t="s">
        <v>18</v>
      </c>
      <c r="BI2" s="1"/>
      <c r="BJ2" s="1"/>
      <c r="BK2" t="s">
        <v>8</v>
      </c>
      <c r="BL2" t="s">
        <v>8</v>
      </c>
      <c r="BM2" t="s">
        <v>8</v>
      </c>
      <c r="BN2" t="s">
        <v>8</v>
      </c>
      <c r="BO2" t="s">
        <v>8</v>
      </c>
      <c r="BP2" s="1"/>
      <c r="BQ2" s="1"/>
      <c r="BR2" t="s">
        <v>10</v>
      </c>
      <c r="BS2" t="s">
        <v>10</v>
      </c>
      <c r="BT2" t="s">
        <v>10</v>
      </c>
      <c r="BU2" t="s">
        <v>10</v>
      </c>
      <c r="BV2" t="s">
        <v>10</v>
      </c>
      <c r="BW2" s="1" t="s">
        <v>44</v>
      </c>
      <c r="BX2" s="1"/>
      <c r="BY2" t="s">
        <v>11</v>
      </c>
      <c r="BZ2" t="s">
        <v>11</v>
      </c>
      <c r="CA2" t="s">
        <v>11</v>
      </c>
      <c r="CB2" t="s">
        <v>14</v>
      </c>
      <c r="CC2" t="s">
        <v>11</v>
      </c>
      <c r="CD2" s="1"/>
      <c r="CE2" s="1" t="s">
        <v>44</v>
      </c>
      <c r="CF2" t="s">
        <v>10</v>
      </c>
      <c r="CG2" t="s">
        <v>10</v>
      </c>
      <c r="CH2" t="s">
        <v>10</v>
      </c>
      <c r="CI2" t="s">
        <v>10</v>
      </c>
      <c r="CJ2" t="s">
        <v>10</v>
      </c>
      <c r="CK2" s="1"/>
      <c r="CL2" s="1" t="s">
        <v>44</v>
      </c>
      <c r="CM2" t="s">
        <v>12</v>
      </c>
      <c r="CN2" t="s">
        <v>12</v>
      </c>
      <c r="CO2" t="s">
        <v>12</v>
      </c>
      <c r="CP2" t="s">
        <v>12</v>
      </c>
      <c r="CQ2" t="s">
        <v>18</v>
      </c>
      <c r="CR2" s="1"/>
      <c r="CS2" s="1"/>
      <c r="CT2" t="s">
        <v>9</v>
      </c>
      <c r="CU2" t="s">
        <v>9</v>
      </c>
      <c r="CV2" t="s">
        <v>9</v>
      </c>
      <c r="CW2" t="s">
        <v>9</v>
      </c>
      <c r="CX2" t="s">
        <v>9</v>
      </c>
      <c r="CY2" s="1" t="s">
        <v>44</v>
      </c>
      <c r="CZ2" s="1"/>
      <c r="DA2" t="s">
        <v>10</v>
      </c>
      <c r="DB2" t="s">
        <v>15</v>
      </c>
      <c r="DC2" t="s">
        <v>10</v>
      </c>
      <c r="DD2" t="s">
        <v>10</v>
      </c>
      <c r="DE2" t="s">
        <v>10</v>
      </c>
      <c r="DF2" s="1"/>
      <c r="DG2" s="1"/>
      <c r="DH2" t="s">
        <v>20</v>
      </c>
      <c r="DI2" t="s">
        <v>20</v>
      </c>
      <c r="DJ2" t="s">
        <v>20</v>
      </c>
      <c r="DK2" t="s">
        <v>20</v>
      </c>
      <c r="DL2" t="s">
        <v>22</v>
      </c>
      <c r="DM2" s="1"/>
      <c r="DN2" s="1"/>
      <c r="DO2" t="s">
        <v>8</v>
      </c>
      <c r="DP2" t="s">
        <v>8</v>
      </c>
      <c r="DQ2" t="s">
        <v>8</v>
      </c>
      <c r="DR2" t="s">
        <v>8</v>
      </c>
      <c r="DT2" s="1"/>
      <c r="DU2" s="1"/>
      <c r="EA2" s="1"/>
      <c r="EB2" s="1"/>
      <c r="EH2" s="1"/>
    </row>
    <row r="3" spans="1:138">
      <c r="B3" t="s">
        <v>55</v>
      </c>
      <c r="C3" t="s">
        <v>11</v>
      </c>
      <c r="D3" t="s">
        <v>14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s="1" t="s">
        <v>44</v>
      </c>
      <c r="N3" t="s">
        <v>8</v>
      </c>
      <c r="O3" t="s">
        <v>8</v>
      </c>
      <c r="P3" t="s">
        <v>8</v>
      </c>
      <c r="Q3" t="s">
        <v>8</v>
      </c>
      <c r="R3" t="s">
        <v>8</v>
      </c>
      <c r="T3" s="1" t="s">
        <v>44</v>
      </c>
      <c r="U3" t="s">
        <v>20</v>
      </c>
      <c r="V3" t="s">
        <v>9</v>
      </c>
      <c r="W3" t="s">
        <v>9</v>
      </c>
      <c r="X3" t="s">
        <v>9</v>
      </c>
      <c r="Y3" t="s">
        <v>9</v>
      </c>
      <c r="AB3" t="s">
        <v>11</v>
      </c>
      <c r="AC3" t="s">
        <v>11</v>
      </c>
      <c r="AD3" t="s">
        <v>14</v>
      </c>
      <c r="AE3" t="s">
        <v>20</v>
      </c>
      <c r="AF3" t="s">
        <v>20</v>
      </c>
      <c r="AI3" t="s">
        <v>8</v>
      </c>
      <c r="AJ3" t="s">
        <v>16</v>
      </c>
      <c r="AK3" t="s">
        <v>20</v>
      </c>
      <c r="AL3" t="s">
        <v>8</v>
      </c>
      <c r="AM3" t="s">
        <v>8</v>
      </c>
      <c r="AP3" t="s">
        <v>10</v>
      </c>
      <c r="AQ3" t="s">
        <v>11</v>
      </c>
      <c r="AR3" t="s">
        <v>9</v>
      </c>
      <c r="AS3" t="s">
        <v>12</v>
      </c>
      <c r="AT3" t="s">
        <v>8</v>
      </c>
      <c r="AW3" t="s">
        <v>18</v>
      </c>
      <c r="AX3" t="s">
        <v>20</v>
      </c>
      <c r="AY3" t="s">
        <v>12</v>
      </c>
      <c r="AZ3" t="s">
        <v>12</v>
      </c>
      <c r="BA3" t="s">
        <v>12</v>
      </c>
      <c r="BB3" s="1" t="s">
        <v>44</v>
      </c>
      <c r="BD3" t="s">
        <v>7</v>
      </c>
      <c r="BE3" t="s">
        <v>7</v>
      </c>
      <c r="BF3" t="s">
        <v>7</v>
      </c>
      <c r="BG3" t="s">
        <v>7</v>
      </c>
      <c r="BH3" t="s">
        <v>7</v>
      </c>
      <c r="BI3" s="1"/>
      <c r="BJ3" s="1"/>
      <c r="BK3" t="s">
        <v>15</v>
      </c>
      <c r="BL3" t="s">
        <v>10</v>
      </c>
      <c r="BM3" t="s">
        <v>10</v>
      </c>
      <c r="BN3" t="s">
        <v>10</v>
      </c>
      <c r="BO3" t="s">
        <v>10</v>
      </c>
      <c r="BP3" s="1"/>
      <c r="BQ3" s="1"/>
      <c r="BR3" t="s">
        <v>9</v>
      </c>
      <c r="BS3" t="s">
        <v>9</v>
      </c>
      <c r="BT3" t="s">
        <v>13</v>
      </c>
      <c r="BU3" t="s">
        <v>9</v>
      </c>
      <c r="BV3" t="s">
        <v>9</v>
      </c>
      <c r="BW3" s="1"/>
      <c r="BX3" s="1"/>
      <c r="BY3" t="s">
        <v>11</v>
      </c>
      <c r="BZ3" t="s">
        <v>11</v>
      </c>
      <c r="CA3" t="s">
        <v>11</v>
      </c>
      <c r="CB3" t="s">
        <v>2</v>
      </c>
      <c r="CC3" t="s">
        <v>2</v>
      </c>
      <c r="CD3" s="1"/>
      <c r="CE3" s="1"/>
      <c r="CF3" t="s">
        <v>2</v>
      </c>
      <c r="CG3" t="s">
        <v>14</v>
      </c>
      <c r="CH3" t="s">
        <v>7</v>
      </c>
      <c r="CI3" t="s">
        <v>7</v>
      </c>
      <c r="CJ3" t="s">
        <v>7</v>
      </c>
      <c r="CK3" s="1" t="s">
        <v>44</v>
      </c>
      <c r="CL3" s="1"/>
      <c r="CM3" t="s">
        <v>20</v>
      </c>
      <c r="CN3" t="s">
        <v>20</v>
      </c>
      <c r="CO3" t="s">
        <v>20</v>
      </c>
      <c r="CP3" t="s">
        <v>20</v>
      </c>
      <c r="CQ3" t="s">
        <v>20</v>
      </c>
      <c r="CR3" s="1" t="s">
        <v>44</v>
      </c>
      <c r="CS3" s="1"/>
      <c r="CT3" t="s">
        <v>8</v>
      </c>
      <c r="CU3" t="s">
        <v>8</v>
      </c>
      <c r="CV3" t="s">
        <v>8</v>
      </c>
      <c r="CW3" t="s">
        <v>8</v>
      </c>
      <c r="CX3" t="s">
        <v>16</v>
      </c>
      <c r="CY3" s="1"/>
      <c r="CZ3" s="1"/>
      <c r="DA3" t="s">
        <v>12</v>
      </c>
      <c r="DB3" t="s">
        <v>12</v>
      </c>
      <c r="DC3" t="s">
        <v>12</v>
      </c>
      <c r="DD3" t="s">
        <v>18</v>
      </c>
      <c r="DE3" t="s">
        <v>12</v>
      </c>
      <c r="DF3" s="1"/>
      <c r="DG3" s="1" t="s">
        <v>44</v>
      </c>
      <c r="DH3" t="s">
        <v>8</v>
      </c>
      <c r="DI3" t="s">
        <v>8</v>
      </c>
      <c r="DJ3" t="s">
        <v>8</v>
      </c>
      <c r="DK3" t="s">
        <v>8</v>
      </c>
      <c r="DL3" t="s">
        <v>8</v>
      </c>
      <c r="DM3" s="1"/>
      <c r="DN3" s="1"/>
      <c r="DO3" t="s">
        <v>20</v>
      </c>
      <c r="DP3" t="s">
        <v>20</v>
      </c>
      <c r="DQ3" t="s">
        <v>20</v>
      </c>
      <c r="DR3" t="s">
        <v>20</v>
      </c>
      <c r="DT3" s="1"/>
      <c r="DU3" s="1"/>
      <c r="EA3" s="1"/>
      <c r="EB3" s="1"/>
      <c r="EH3" s="1"/>
    </row>
    <row r="4" spans="1:138">
      <c r="B4" t="s">
        <v>54</v>
      </c>
      <c r="C4" t="s">
        <v>10</v>
      </c>
      <c r="D4" t="s">
        <v>10</v>
      </c>
      <c r="G4" t="s">
        <v>8</v>
      </c>
      <c r="H4" t="s">
        <v>8</v>
      </c>
      <c r="I4" t="s">
        <v>8</v>
      </c>
      <c r="J4" t="s">
        <v>16</v>
      </c>
      <c r="K4" t="s">
        <v>20</v>
      </c>
      <c r="N4" t="s">
        <v>11</v>
      </c>
      <c r="O4" t="s">
        <v>11</v>
      </c>
      <c r="P4" t="s">
        <v>11</v>
      </c>
      <c r="Q4" t="s">
        <v>11</v>
      </c>
      <c r="R4" t="s">
        <v>14</v>
      </c>
      <c r="U4" t="s">
        <v>14</v>
      </c>
      <c r="V4" t="s">
        <v>20</v>
      </c>
      <c r="W4" t="s">
        <v>11</v>
      </c>
      <c r="X4" t="s">
        <v>11</v>
      </c>
      <c r="Y4" t="s">
        <v>11</v>
      </c>
      <c r="AB4" t="s">
        <v>17</v>
      </c>
      <c r="AC4" t="s">
        <v>20</v>
      </c>
      <c r="AD4" t="s">
        <v>7</v>
      </c>
      <c r="AE4" t="s">
        <v>10</v>
      </c>
      <c r="AF4" t="s">
        <v>10</v>
      </c>
      <c r="AI4" t="s">
        <v>2</v>
      </c>
      <c r="AJ4" t="s">
        <v>12</v>
      </c>
      <c r="AK4" t="s">
        <v>12</v>
      </c>
      <c r="AL4" t="s">
        <v>12</v>
      </c>
      <c r="AM4" t="s">
        <v>12</v>
      </c>
      <c r="AN4" s="1" t="s">
        <v>44</v>
      </c>
      <c r="AP4" t="s">
        <v>7</v>
      </c>
      <c r="AQ4" t="s">
        <v>7</v>
      </c>
      <c r="AR4" t="s">
        <v>7</v>
      </c>
      <c r="AS4" t="s">
        <v>10</v>
      </c>
      <c r="AT4" t="s">
        <v>15</v>
      </c>
      <c r="AW4" t="s">
        <v>7</v>
      </c>
      <c r="AX4" t="s">
        <v>7</v>
      </c>
      <c r="AY4" t="s">
        <v>7</v>
      </c>
      <c r="AZ4" t="s">
        <v>7</v>
      </c>
      <c r="BA4" t="s">
        <v>7</v>
      </c>
      <c r="BB4" s="1" t="s">
        <v>44</v>
      </c>
      <c r="BD4" t="s">
        <v>10</v>
      </c>
      <c r="BE4" t="s">
        <v>10</v>
      </c>
      <c r="BF4" t="s">
        <v>10</v>
      </c>
      <c r="BG4" t="s">
        <v>15</v>
      </c>
      <c r="BH4" t="s">
        <v>20</v>
      </c>
      <c r="BI4" s="1"/>
      <c r="BJ4" s="1"/>
      <c r="BK4" t="s">
        <v>20</v>
      </c>
      <c r="BL4" t="s">
        <v>20</v>
      </c>
      <c r="BM4" t="s">
        <v>20</v>
      </c>
      <c r="BN4" t="s">
        <v>20</v>
      </c>
      <c r="BO4" t="s">
        <v>22</v>
      </c>
      <c r="BP4" s="1"/>
      <c r="BQ4" s="1"/>
      <c r="BR4" t="s">
        <v>20</v>
      </c>
      <c r="BS4" t="s">
        <v>20</v>
      </c>
      <c r="BT4" t="s">
        <v>20</v>
      </c>
      <c r="BU4" t="s">
        <v>20</v>
      </c>
      <c r="BV4" t="s">
        <v>20</v>
      </c>
      <c r="BW4" s="1" t="s">
        <v>44</v>
      </c>
      <c r="BX4" s="1"/>
      <c r="BY4" t="s">
        <v>8</v>
      </c>
      <c r="BZ4" t="s">
        <v>8</v>
      </c>
      <c r="CA4" t="s">
        <v>8</v>
      </c>
      <c r="CB4" t="s">
        <v>8</v>
      </c>
      <c r="CC4" t="s">
        <v>8</v>
      </c>
      <c r="CD4" s="1"/>
      <c r="CE4" s="1"/>
      <c r="CF4" t="s">
        <v>9</v>
      </c>
      <c r="CG4" t="s">
        <v>9</v>
      </c>
      <c r="CH4" t="s">
        <v>13</v>
      </c>
      <c r="CI4" t="s">
        <v>12</v>
      </c>
      <c r="CJ4" t="s">
        <v>12</v>
      </c>
      <c r="CK4" s="1"/>
      <c r="CL4" s="1"/>
      <c r="CM4" t="s">
        <v>10</v>
      </c>
      <c r="CN4" t="s">
        <v>10</v>
      </c>
      <c r="CO4" t="s">
        <v>10</v>
      </c>
      <c r="CP4" t="s">
        <v>10</v>
      </c>
      <c r="CQ4" t="s">
        <v>15</v>
      </c>
      <c r="CR4" s="1"/>
      <c r="CS4" s="1"/>
      <c r="CT4" t="s">
        <v>11</v>
      </c>
      <c r="CU4" t="s">
        <v>11</v>
      </c>
      <c r="CV4" t="s">
        <v>11</v>
      </c>
      <c r="CW4" t="s">
        <v>11</v>
      </c>
      <c r="CX4" t="s">
        <v>11</v>
      </c>
      <c r="CY4" s="1" t="s">
        <v>44</v>
      </c>
      <c r="CZ4" s="1"/>
      <c r="DA4" t="s">
        <v>8</v>
      </c>
      <c r="DB4" t="s">
        <v>8</v>
      </c>
      <c r="DC4" t="s">
        <v>8</v>
      </c>
      <c r="DD4" t="s">
        <v>8</v>
      </c>
      <c r="DE4" t="s">
        <v>8</v>
      </c>
      <c r="DF4" s="1" t="s">
        <v>44</v>
      </c>
      <c r="DG4" s="1"/>
      <c r="DH4" t="s">
        <v>7</v>
      </c>
      <c r="DI4" t="s">
        <v>7</v>
      </c>
      <c r="DJ4" t="s">
        <v>7</v>
      </c>
      <c r="DK4" t="s">
        <v>7</v>
      </c>
      <c r="DL4" t="s">
        <v>7</v>
      </c>
      <c r="DM4" s="1" t="s">
        <v>44</v>
      </c>
      <c r="DN4" s="1"/>
      <c r="DO4" t="s">
        <v>8</v>
      </c>
      <c r="DP4" t="s">
        <v>8</v>
      </c>
      <c r="DQ4" t="s">
        <v>8</v>
      </c>
      <c r="DR4" t="s">
        <v>8</v>
      </c>
      <c r="DT4" s="1"/>
      <c r="DU4" s="1"/>
      <c r="EA4" s="1"/>
      <c r="EB4" s="1"/>
      <c r="EH4" s="1"/>
    </row>
    <row r="5" spans="1:138">
      <c r="B5" t="s">
        <v>48</v>
      </c>
      <c r="C5" t="s">
        <v>7</v>
      </c>
      <c r="D5" t="s">
        <v>7</v>
      </c>
      <c r="E5" s="1" t="s">
        <v>44</v>
      </c>
      <c r="G5" t="s">
        <v>11</v>
      </c>
      <c r="H5" t="s">
        <v>11</v>
      </c>
      <c r="I5" t="s">
        <v>11</v>
      </c>
      <c r="J5" t="s">
        <v>11</v>
      </c>
      <c r="K5" t="s">
        <v>11</v>
      </c>
      <c r="N5" t="s">
        <v>12</v>
      </c>
      <c r="O5" t="s">
        <v>12</v>
      </c>
      <c r="P5" t="s">
        <v>18</v>
      </c>
      <c r="Q5" t="s">
        <v>20</v>
      </c>
      <c r="R5" t="s">
        <v>12</v>
      </c>
      <c r="U5" t="s">
        <v>7</v>
      </c>
      <c r="V5" t="s">
        <v>7</v>
      </c>
      <c r="W5" t="s">
        <v>7</v>
      </c>
      <c r="X5" t="s">
        <v>7</v>
      </c>
      <c r="Y5" t="s">
        <v>17</v>
      </c>
      <c r="AB5" t="s">
        <v>8</v>
      </c>
      <c r="AC5" t="s">
        <v>8</v>
      </c>
      <c r="AD5" t="s">
        <v>8</v>
      </c>
      <c r="AE5" t="s">
        <v>8</v>
      </c>
      <c r="AF5" t="s">
        <v>8</v>
      </c>
      <c r="AI5" t="s">
        <v>18</v>
      </c>
      <c r="AJ5" t="s">
        <v>20</v>
      </c>
      <c r="AK5" t="s">
        <v>8</v>
      </c>
      <c r="AL5" t="s">
        <v>7</v>
      </c>
      <c r="AM5" t="s">
        <v>11</v>
      </c>
      <c r="AP5" t="s">
        <v>10</v>
      </c>
      <c r="AQ5" t="s">
        <v>10</v>
      </c>
      <c r="AR5" t="s">
        <v>10</v>
      </c>
      <c r="AS5" t="s">
        <v>10</v>
      </c>
      <c r="AT5" t="s">
        <v>10</v>
      </c>
      <c r="AU5" s="1" t="s">
        <v>44</v>
      </c>
      <c r="AW5" t="s">
        <v>10</v>
      </c>
      <c r="AX5" t="s">
        <v>10</v>
      </c>
      <c r="AY5" t="s">
        <v>15</v>
      </c>
      <c r="AZ5" t="s">
        <v>20</v>
      </c>
      <c r="BA5" t="s">
        <v>10</v>
      </c>
      <c r="BD5" t="s">
        <v>9</v>
      </c>
      <c r="BE5" t="s">
        <v>9</v>
      </c>
      <c r="BF5" t="s">
        <v>9</v>
      </c>
      <c r="BG5" t="s">
        <v>9</v>
      </c>
      <c r="BH5" t="s">
        <v>9</v>
      </c>
      <c r="BI5" s="1" t="s">
        <v>44</v>
      </c>
      <c r="BJ5" s="1"/>
      <c r="BK5" t="s">
        <v>10</v>
      </c>
      <c r="BL5" t="s">
        <v>10</v>
      </c>
      <c r="BM5" t="s">
        <v>15</v>
      </c>
      <c r="BN5" t="s">
        <v>10</v>
      </c>
      <c r="BO5" t="s">
        <v>10</v>
      </c>
      <c r="BP5" s="1"/>
      <c r="BQ5" s="1" t="s">
        <v>44</v>
      </c>
      <c r="BR5" t="s">
        <v>8</v>
      </c>
      <c r="BS5" t="s">
        <v>8</v>
      </c>
      <c r="BT5" t="s">
        <v>8</v>
      </c>
      <c r="BU5" t="s">
        <v>8</v>
      </c>
      <c r="BV5" t="s">
        <v>8</v>
      </c>
      <c r="BW5" s="1"/>
      <c r="BX5" s="1"/>
      <c r="BY5" t="s">
        <v>20</v>
      </c>
      <c r="BZ5" t="s">
        <v>20</v>
      </c>
      <c r="CA5" t="s">
        <v>20</v>
      </c>
      <c r="CB5" t="s">
        <v>20</v>
      </c>
      <c r="CC5" t="s">
        <v>22</v>
      </c>
      <c r="CD5" s="1"/>
      <c r="CE5" s="1"/>
      <c r="CF5" t="s">
        <v>2</v>
      </c>
      <c r="CG5" t="s">
        <v>2</v>
      </c>
      <c r="CH5" t="s">
        <v>2</v>
      </c>
      <c r="CI5" t="s">
        <v>2</v>
      </c>
      <c r="CJ5" t="s">
        <v>2</v>
      </c>
      <c r="CK5" s="1"/>
      <c r="CL5" s="1"/>
      <c r="CM5" t="s">
        <v>14</v>
      </c>
      <c r="CN5" t="s">
        <v>11</v>
      </c>
      <c r="CO5" t="s">
        <v>11</v>
      </c>
      <c r="CP5" t="s">
        <v>11</v>
      </c>
      <c r="CQ5" t="s">
        <v>11</v>
      </c>
      <c r="CR5" s="1"/>
      <c r="CS5" s="1" t="s">
        <v>44</v>
      </c>
      <c r="CT5" t="s">
        <v>11</v>
      </c>
      <c r="CU5" t="s">
        <v>11</v>
      </c>
      <c r="CV5" t="s">
        <v>11</v>
      </c>
      <c r="CW5" t="s">
        <v>11</v>
      </c>
      <c r="CX5" t="s">
        <v>11</v>
      </c>
      <c r="CY5" s="1"/>
      <c r="CZ5" s="1" t="s">
        <v>44</v>
      </c>
      <c r="DA5" t="s">
        <v>9</v>
      </c>
      <c r="DB5" t="s">
        <v>9</v>
      </c>
      <c r="DC5" t="s">
        <v>9</v>
      </c>
      <c r="DD5" t="s">
        <v>9</v>
      </c>
      <c r="DE5" t="s">
        <v>9</v>
      </c>
      <c r="DF5" s="1"/>
      <c r="DG5" s="1"/>
      <c r="DH5" t="s">
        <v>8</v>
      </c>
      <c r="DI5" t="s">
        <v>8</v>
      </c>
      <c r="DJ5" t="s">
        <v>8</v>
      </c>
      <c r="DK5" t="s">
        <v>16</v>
      </c>
      <c r="DL5" t="s">
        <v>8</v>
      </c>
      <c r="DM5" s="1"/>
      <c r="DN5" s="1"/>
      <c r="DO5" t="s">
        <v>12</v>
      </c>
      <c r="DP5" t="s">
        <v>12</v>
      </c>
      <c r="DQ5" t="s">
        <v>18</v>
      </c>
      <c r="DR5" t="s">
        <v>12</v>
      </c>
      <c r="DT5" s="1"/>
      <c r="DU5" s="1"/>
      <c r="EA5" s="1"/>
      <c r="EB5" s="1"/>
      <c r="EH5" s="1"/>
    </row>
    <row r="6" spans="1:138">
      <c r="B6" t="s">
        <v>123</v>
      </c>
      <c r="C6" t="s">
        <v>124</v>
      </c>
      <c r="D6" t="s">
        <v>124</v>
      </c>
      <c r="E6" s="1" t="s">
        <v>44</v>
      </c>
      <c r="F6" s="1" t="s">
        <v>44</v>
      </c>
      <c r="G6" t="s">
        <v>124</v>
      </c>
      <c r="H6" t="s">
        <v>124</v>
      </c>
      <c r="I6" t="s">
        <v>2</v>
      </c>
      <c r="J6" t="s">
        <v>2</v>
      </c>
      <c r="K6" t="s">
        <v>2</v>
      </c>
      <c r="M6" s="1" t="s">
        <v>44</v>
      </c>
      <c r="N6" t="s">
        <v>2</v>
      </c>
      <c r="O6" t="s">
        <v>2</v>
      </c>
      <c r="P6" t="s">
        <v>2</v>
      </c>
      <c r="Q6" t="s">
        <v>2</v>
      </c>
      <c r="R6" t="s">
        <v>2</v>
      </c>
      <c r="U6" t="s">
        <v>2</v>
      </c>
      <c r="V6" t="s">
        <v>2</v>
      </c>
      <c r="W6" t="s">
        <v>2</v>
      </c>
      <c r="X6" t="s">
        <v>2</v>
      </c>
      <c r="Y6" t="s">
        <v>2</v>
      </c>
      <c r="AB6" t="s">
        <v>2</v>
      </c>
      <c r="AC6" t="s">
        <v>2</v>
      </c>
      <c r="AD6" t="s">
        <v>2</v>
      </c>
      <c r="AE6" t="s">
        <v>2</v>
      </c>
      <c r="AF6" t="s">
        <v>2</v>
      </c>
      <c r="AI6" t="s">
        <v>2</v>
      </c>
      <c r="AJ6" t="s">
        <v>2</v>
      </c>
      <c r="AK6" t="s">
        <v>2</v>
      </c>
      <c r="AL6" t="s">
        <v>2</v>
      </c>
      <c r="AM6" t="s">
        <v>2</v>
      </c>
      <c r="AP6" t="s">
        <v>2</v>
      </c>
      <c r="AQ6" t="s">
        <v>2</v>
      </c>
      <c r="AR6" t="s">
        <v>2</v>
      </c>
      <c r="AS6" t="s">
        <v>2</v>
      </c>
      <c r="AT6" t="s">
        <v>2</v>
      </c>
      <c r="AW6" t="s">
        <v>2</v>
      </c>
      <c r="AX6" t="s">
        <v>2</v>
      </c>
      <c r="AY6" t="s">
        <v>2</v>
      </c>
      <c r="AZ6" t="s">
        <v>2</v>
      </c>
      <c r="BA6" t="s">
        <v>2</v>
      </c>
      <c r="BD6" t="s">
        <v>2</v>
      </c>
      <c r="BE6" t="s">
        <v>2</v>
      </c>
      <c r="BF6" t="s">
        <v>2</v>
      </c>
      <c r="BG6" t="s">
        <v>2</v>
      </c>
      <c r="BH6" t="s">
        <v>2</v>
      </c>
      <c r="BI6" s="1"/>
      <c r="BJ6" s="1" t="s">
        <v>44</v>
      </c>
      <c r="BK6" t="s">
        <v>7</v>
      </c>
      <c r="BL6" t="s">
        <v>7</v>
      </c>
      <c r="BM6" t="s">
        <v>7</v>
      </c>
      <c r="BN6" t="s">
        <v>7</v>
      </c>
      <c r="BO6" t="s">
        <v>7</v>
      </c>
      <c r="BP6" s="1"/>
      <c r="BQ6" s="1"/>
      <c r="BR6" t="s">
        <v>16</v>
      </c>
      <c r="BS6" t="s">
        <v>8</v>
      </c>
      <c r="BT6" t="s">
        <v>2</v>
      </c>
      <c r="BU6" t="s">
        <v>2</v>
      </c>
      <c r="BV6" t="s">
        <v>2</v>
      </c>
      <c r="BW6" s="1"/>
      <c r="BX6" s="1"/>
      <c r="BY6" t="s">
        <v>7</v>
      </c>
      <c r="BZ6" t="s">
        <v>17</v>
      </c>
      <c r="CA6" t="s">
        <v>7</v>
      </c>
      <c r="CB6" t="s">
        <v>7</v>
      </c>
      <c r="CC6" t="s">
        <v>7</v>
      </c>
      <c r="CD6" s="1"/>
      <c r="CE6" s="1"/>
      <c r="CF6" t="s">
        <v>10</v>
      </c>
      <c r="CG6" t="s">
        <v>10</v>
      </c>
      <c r="CH6" t="s">
        <v>10</v>
      </c>
      <c r="CI6" t="s">
        <v>10</v>
      </c>
      <c r="CJ6" t="s">
        <v>10</v>
      </c>
      <c r="CK6" s="1" t="s">
        <v>44</v>
      </c>
      <c r="CL6" s="1"/>
      <c r="CM6" t="s">
        <v>10</v>
      </c>
      <c r="CN6" t="s">
        <v>10</v>
      </c>
      <c r="CO6" t="s">
        <v>10</v>
      </c>
      <c r="CP6" t="s">
        <v>10</v>
      </c>
      <c r="CQ6" t="s">
        <v>10</v>
      </c>
      <c r="CR6" s="1" t="s">
        <v>44</v>
      </c>
      <c r="CS6" s="1"/>
      <c r="CT6" t="s">
        <v>8</v>
      </c>
      <c r="CU6" t="s">
        <v>8</v>
      </c>
      <c r="CV6" t="s">
        <v>8</v>
      </c>
      <c r="CW6" t="s">
        <v>8</v>
      </c>
      <c r="CX6" t="s">
        <v>8</v>
      </c>
      <c r="CY6" s="1"/>
      <c r="CZ6" s="1"/>
      <c r="DA6" t="s">
        <v>16</v>
      </c>
      <c r="DB6" t="s">
        <v>8</v>
      </c>
      <c r="DC6" t="s">
        <v>8</v>
      </c>
      <c r="DD6" t="s">
        <v>8</v>
      </c>
      <c r="DE6" t="s">
        <v>8</v>
      </c>
      <c r="DF6" s="1"/>
      <c r="DG6" s="1"/>
      <c r="DH6" t="s">
        <v>8</v>
      </c>
      <c r="DI6" t="s">
        <v>8</v>
      </c>
      <c r="DJ6" t="s">
        <v>16</v>
      </c>
      <c r="DK6" t="s">
        <v>8</v>
      </c>
      <c r="DL6" t="s">
        <v>8</v>
      </c>
      <c r="DM6" s="1"/>
      <c r="DN6" s="1"/>
      <c r="DO6" t="s">
        <v>7</v>
      </c>
      <c r="DP6" t="s">
        <v>7</v>
      </c>
      <c r="DQ6" t="s">
        <v>7</v>
      </c>
      <c r="DR6" t="s">
        <v>17</v>
      </c>
      <c r="DT6" s="1"/>
      <c r="DU6" s="1"/>
      <c r="EA6" s="1"/>
      <c r="EB6" s="1"/>
      <c r="EH6" s="1"/>
    </row>
    <row r="7" spans="1:138">
      <c r="B7" t="s">
        <v>50</v>
      </c>
      <c r="C7" t="s">
        <v>8</v>
      </c>
      <c r="D7" t="s">
        <v>8</v>
      </c>
      <c r="E7" s="1" t="s">
        <v>44</v>
      </c>
      <c r="G7" t="s">
        <v>8</v>
      </c>
      <c r="H7" t="s">
        <v>8</v>
      </c>
      <c r="I7" t="s">
        <v>8</v>
      </c>
      <c r="J7" t="s">
        <v>8</v>
      </c>
      <c r="K7" t="s">
        <v>8</v>
      </c>
      <c r="N7" t="s">
        <v>15</v>
      </c>
      <c r="O7" t="s">
        <v>20</v>
      </c>
      <c r="P7" t="s">
        <v>10</v>
      </c>
      <c r="Q7" t="s">
        <v>10</v>
      </c>
      <c r="R7" t="s">
        <v>10</v>
      </c>
      <c r="U7" t="s">
        <v>10</v>
      </c>
      <c r="V7" t="s">
        <v>15</v>
      </c>
      <c r="W7" t="s">
        <v>20</v>
      </c>
      <c r="X7" t="s">
        <v>10</v>
      </c>
      <c r="Y7" t="s">
        <v>10</v>
      </c>
      <c r="AA7" s="1" t="s">
        <v>44</v>
      </c>
      <c r="AB7" t="s">
        <v>20</v>
      </c>
      <c r="AC7" t="s">
        <v>9</v>
      </c>
      <c r="AD7" t="s">
        <v>9</v>
      </c>
      <c r="AE7" t="s">
        <v>9</v>
      </c>
      <c r="AF7" t="s">
        <v>9</v>
      </c>
      <c r="AG7" s="1" t="s">
        <v>44</v>
      </c>
      <c r="AI7" t="s">
        <v>10</v>
      </c>
      <c r="AJ7" t="s">
        <v>10</v>
      </c>
      <c r="AK7" t="s">
        <v>10</v>
      </c>
      <c r="AL7" t="s">
        <v>10</v>
      </c>
      <c r="AM7" t="s">
        <v>15</v>
      </c>
      <c r="AP7" t="s">
        <v>7</v>
      </c>
      <c r="AQ7" t="s">
        <v>7</v>
      </c>
      <c r="AR7" t="s">
        <v>7</v>
      </c>
      <c r="AS7" t="s">
        <v>7</v>
      </c>
      <c r="AT7" t="s">
        <v>7</v>
      </c>
      <c r="AW7" t="s">
        <v>9</v>
      </c>
      <c r="AX7" t="s">
        <v>12</v>
      </c>
      <c r="AY7" t="s">
        <v>8</v>
      </c>
      <c r="AZ7" t="s">
        <v>10</v>
      </c>
      <c r="BA7" t="s">
        <v>11</v>
      </c>
      <c r="BC7" s="1" t="s">
        <v>44</v>
      </c>
      <c r="BD7" t="s">
        <v>20</v>
      </c>
      <c r="BE7" t="s">
        <v>7</v>
      </c>
      <c r="BF7" t="s">
        <v>14</v>
      </c>
      <c r="BG7" t="s">
        <v>20</v>
      </c>
      <c r="BH7" t="s">
        <v>2</v>
      </c>
      <c r="BI7" s="1"/>
      <c r="BJ7" s="1"/>
      <c r="BK7" t="s">
        <v>8</v>
      </c>
      <c r="BL7" t="s">
        <v>8</v>
      </c>
      <c r="BM7" t="s">
        <v>8</v>
      </c>
      <c r="BN7" t="s">
        <v>8</v>
      </c>
      <c r="BO7" t="s">
        <v>8</v>
      </c>
      <c r="BP7" s="1" t="s">
        <v>44</v>
      </c>
      <c r="BQ7" s="1"/>
      <c r="BR7" t="s">
        <v>11</v>
      </c>
      <c r="BS7" t="s">
        <v>11</v>
      </c>
      <c r="BT7" t="s">
        <v>11</v>
      </c>
      <c r="BU7" t="s">
        <v>11</v>
      </c>
      <c r="BV7" t="s">
        <v>14</v>
      </c>
      <c r="BW7" s="1"/>
      <c r="BX7" s="1"/>
      <c r="BY7" t="s">
        <v>2</v>
      </c>
      <c r="BZ7" t="s">
        <v>2</v>
      </c>
      <c r="CA7" t="s">
        <v>2</v>
      </c>
      <c r="CB7" t="s">
        <v>2</v>
      </c>
      <c r="CC7" t="s">
        <v>2</v>
      </c>
      <c r="CD7" s="1"/>
      <c r="CE7" s="1"/>
      <c r="CF7" t="s">
        <v>14</v>
      </c>
      <c r="CG7" t="s">
        <v>11</v>
      </c>
      <c r="CH7" t="s">
        <v>11</v>
      </c>
      <c r="CI7" t="s">
        <v>11</v>
      </c>
      <c r="CJ7" t="s">
        <v>11</v>
      </c>
      <c r="CK7" s="1" t="s">
        <v>44</v>
      </c>
      <c r="CL7" s="1"/>
      <c r="CM7" t="s">
        <v>9</v>
      </c>
      <c r="CN7" t="s">
        <v>9</v>
      </c>
      <c r="CO7" t="s">
        <v>9</v>
      </c>
      <c r="CP7" t="s">
        <v>9</v>
      </c>
      <c r="CQ7" t="s">
        <v>9</v>
      </c>
      <c r="CR7" s="1"/>
      <c r="CS7" s="1"/>
      <c r="CT7" t="s">
        <v>12</v>
      </c>
      <c r="CU7" t="s">
        <v>18</v>
      </c>
      <c r="CV7" t="s">
        <v>12</v>
      </c>
      <c r="CW7" t="s">
        <v>12</v>
      </c>
      <c r="CX7" t="s">
        <v>12</v>
      </c>
      <c r="CY7" s="1"/>
      <c r="CZ7" s="1"/>
      <c r="DA7" t="s">
        <v>8</v>
      </c>
      <c r="DB7" t="s">
        <v>8</v>
      </c>
      <c r="DC7" t="s">
        <v>16</v>
      </c>
      <c r="DD7" t="s">
        <v>8</v>
      </c>
      <c r="DE7" t="s">
        <v>8</v>
      </c>
      <c r="DF7" s="1"/>
      <c r="DG7" s="1"/>
      <c r="DH7" t="s">
        <v>11</v>
      </c>
      <c r="DI7" t="s">
        <v>14</v>
      </c>
      <c r="DJ7" t="s">
        <v>11</v>
      </c>
      <c r="DK7" t="s">
        <v>11</v>
      </c>
      <c r="DL7" t="s">
        <v>11</v>
      </c>
      <c r="DM7" s="1" t="s">
        <v>44</v>
      </c>
      <c r="DN7" s="1"/>
      <c r="DO7" t="s">
        <v>10</v>
      </c>
      <c r="DP7" t="s">
        <v>10</v>
      </c>
      <c r="DQ7" t="s">
        <v>10</v>
      </c>
      <c r="DR7" t="s">
        <v>10</v>
      </c>
      <c r="DT7" s="1"/>
      <c r="DU7" s="1"/>
      <c r="EA7" s="1"/>
      <c r="EB7" s="1"/>
      <c r="EH7" s="1"/>
    </row>
    <row r="8" spans="1:138">
      <c r="B8" t="s">
        <v>52</v>
      </c>
      <c r="C8" t="s">
        <v>8</v>
      </c>
      <c r="D8" t="s">
        <v>8</v>
      </c>
      <c r="G8" t="s">
        <v>7</v>
      </c>
      <c r="H8" t="s">
        <v>7</v>
      </c>
      <c r="I8" t="s">
        <v>7</v>
      </c>
      <c r="J8" t="s">
        <v>7</v>
      </c>
      <c r="K8" t="s">
        <v>17</v>
      </c>
      <c r="N8" t="s">
        <v>8</v>
      </c>
      <c r="O8" t="s">
        <v>10</v>
      </c>
      <c r="P8" t="s">
        <v>9</v>
      </c>
      <c r="Q8" t="s">
        <v>12</v>
      </c>
      <c r="R8" t="s">
        <v>10</v>
      </c>
      <c r="S8" s="1" t="s">
        <v>44</v>
      </c>
      <c r="U8" t="s">
        <v>10</v>
      </c>
      <c r="V8" t="s">
        <v>10</v>
      </c>
      <c r="W8" t="s">
        <v>10</v>
      </c>
      <c r="X8" t="s">
        <v>15</v>
      </c>
      <c r="Y8" t="s">
        <v>20</v>
      </c>
      <c r="AB8" t="s">
        <v>8</v>
      </c>
      <c r="AC8" t="s">
        <v>8</v>
      </c>
      <c r="AD8" t="s">
        <v>8</v>
      </c>
      <c r="AE8" t="s">
        <v>16</v>
      </c>
      <c r="AF8" t="s">
        <v>8</v>
      </c>
      <c r="AI8" t="s">
        <v>2</v>
      </c>
      <c r="AJ8" t="s">
        <v>2</v>
      </c>
      <c r="AK8" t="s">
        <v>8</v>
      </c>
      <c r="AL8" t="s">
        <v>8</v>
      </c>
      <c r="AM8" t="s">
        <v>8</v>
      </c>
      <c r="AO8" s="1" t="s">
        <v>44</v>
      </c>
      <c r="AP8" t="s">
        <v>20</v>
      </c>
      <c r="AQ8" t="s">
        <v>10</v>
      </c>
      <c r="AR8" t="s">
        <v>10</v>
      </c>
      <c r="AS8" t="s">
        <v>9</v>
      </c>
      <c r="AT8" t="s">
        <v>9</v>
      </c>
      <c r="AV8" s="1" t="s">
        <v>44</v>
      </c>
      <c r="AW8" t="s">
        <v>20</v>
      </c>
      <c r="AX8" t="s">
        <v>9</v>
      </c>
      <c r="AY8" t="s">
        <v>9</v>
      </c>
      <c r="AZ8" t="s">
        <v>9</v>
      </c>
      <c r="BA8" t="s">
        <v>9</v>
      </c>
      <c r="BD8" t="s">
        <v>14</v>
      </c>
      <c r="BE8" t="s">
        <v>20</v>
      </c>
      <c r="BF8" t="s">
        <v>11</v>
      </c>
      <c r="BG8" t="s">
        <v>11</v>
      </c>
      <c r="BH8" t="s">
        <v>11</v>
      </c>
      <c r="BI8" s="1"/>
      <c r="BJ8" s="1"/>
      <c r="BK8" t="s">
        <v>11</v>
      </c>
      <c r="BL8" t="s">
        <v>11</v>
      </c>
      <c r="BM8" t="s">
        <v>11</v>
      </c>
      <c r="BN8" t="s">
        <v>14</v>
      </c>
      <c r="BO8" t="s">
        <v>11</v>
      </c>
      <c r="BP8" s="1"/>
      <c r="BQ8" s="1"/>
      <c r="BR8" t="s">
        <v>7</v>
      </c>
      <c r="BS8" t="s">
        <v>2</v>
      </c>
      <c r="BT8" t="s">
        <v>2</v>
      </c>
      <c r="BU8" t="s">
        <v>17</v>
      </c>
      <c r="BV8" t="s">
        <v>7</v>
      </c>
      <c r="BW8" s="1"/>
      <c r="BX8" s="1" t="s">
        <v>44</v>
      </c>
      <c r="BY8" t="s">
        <v>10</v>
      </c>
      <c r="BZ8" t="s">
        <v>10</v>
      </c>
      <c r="CA8" t="s">
        <v>10</v>
      </c>
      <c r="CB8" t="s">
        <v>10</v>
      </c>
      <c r="CC8" t="s">
        <v>10</v>
      </c>
      <c r="CD8" s="1" t="s">
        <v>44</v>
      </c>
      <c r="CE8" s="1"/>
      <c r="CF8" t="s">
        <v>12</v>
      </c>
      <c r="CG8" t="s">
        <v>12</v>
      </c>
      <c r="CH8" t="s">
        <v>12</v>
      </c>
      <c r="CI8" t="s">
        <v>2</v>
      </c>
      <c r="CJ8" t="s">
        <v>2</v>
      </c>
      <c r="CK8" s="1"/>
      <c r="CL8" s="1"/>
      <c r="CM8" t="s">
        <v>2</v>
      </c>
      <c r="CN8" t="s">
        <v>16</v>
      </c>
      <c r="CO8" t="s">
        <v>8</v>
      </c>
      <c r="CP8" t="s">
        <v>8</v>
      </c>
      <c r="CQ8" t="s">
        <v>8</v>
      </c>
      <c r="CR8" s="1"/>
      <c r="CS8" s="1"/>
      <c r="CT8" t="s">
        <v>10</v>
      </c>
      <c r="CU8" t="s">
        <v>10</v>
      </c>
      <c r="CV8" t="s">
        <v>10</v>
      </c>
      <c r="CW8" t="s">
        <v>15</v>
      </c>
      <c r="CX8" t="s">
        <v>10</v>
      </c>
      <c r="CY8" s="1"/>
      <c r="CZ8" s="1"/>
      <c r="DA8" t="s">
        <v>11</v>
      </c>
      <c r="DB8" t="s">
        <v>11</v>
      </c>
      <c r="DC8" t="s">
        <v>11</v>
      </c>
      <c r="DD8" t="s">
        <v>11</v>
      </c>
      <c r="DE8" t="s">
        <v>11</v>
      </c>
      <c r="DF8" s="1" t="s">
        <v>44</v>
      </c>
      <c r="DG8" s="1"/>
      <c r="DH8" t="s">
        <v>12</v>
      </c>
      <c r="DI8" t="s">
        <v>12</v>
      </c>
      <c r="DJ8" t="s">
        <v>12</v>
      </c>
      <c r="DK8" t="s">
        <v>12</v>
      </c>
      <c r="DL8" t="s">
        <v>12</v>
      </c>
      <c r="DM8" s="1"/>
      <c r="DN8" s="1"/>
      <c r="DO8" t="s">
        <v>16</v>
      </c>
      <c r="DP8" t="s">
        <v>8</v>
      </c>
      <c r="DQ8" t="s">
        <v>8</v>
      </c>
      <c r="DR8" t="s">
        <v>8</v>
      </c>
      <c r="DT8" s="1"/>
      <c r="DU8" s="1"/>
      <c r="EA8" s="1"/>
      <c r="EB8" s="1"/>
      <c r="EH8" s="1"/>
    </row>
    <row r="9" spans="1:138">
      <c r="B9" t="s">
        <v>53</v>
      </c>
      <c r="C9" t="s">
        <v>10</v>
      </c>
      <c r="D9" t="s">
        <v>10</v>
      </c>
      <c r="F9" s="1" t="s">
        <v>44</v>
      </c>
      <c r="G9" t="s">
        <v>20</v>
      </c>
      <c r="H9" t="s">
        <v>12</v>
      </c>
      <c r="I9" t="s">
        <v>12</v>
      </c>
      <c r="J9" t="s">
        <v>12</v>
      </c>
      <c r="K9" t="s">
        <v>18</v>
      </c>
      <c r="N9" t="s">
        <v>8</v>
      </c>
      <c r="O9" t="s">
        <v>8</v>
      </c>
      <c r="P9" t="s">
        <v>8</v>
      </c>
      <c r="Q9" t="s">
        <v>8</v>
      </c>
      <c r="R9" t="s">
        <v>8</v>
      </c>
      <c r="S9" s="1" t="s">
        <v>44</v>
      </c>
      <c r="U9" t="s">
        <v>8</v>
      </c>
      <c r="V9" t="s">
        <v>8</v>
      </c>
      <c r="W9" t="s">
        <v>8</v>
      </c>
      <c r="X9" t="s">
        <v>8</v>
      </c>
      <c r="Y9" t="s">
        <v>8</v>
      </c>
      <c r="AB9" t="s">
        <v>10</v>
      </c>
      <c r="AC9" t="s">
        <v>10</v>
      </c>
      <c r="AD9" t="s">
        <v>10</v>
      </c>
      <c r="AE9" t="s">
        <v>7</v>
      </c>
      <c r="AF9" t="s">
        <v>7</v>
      </c>
      <c r="AI9" t="s">
        <v>9</v>
      </c>
      <c r="AJ9" t="s">
        <v>9</v>
      </c>
      <c r="AK9" t="s">
        <v>9</v>
      </c>
      <c r="AL9" t="s">
        <v>9</v>
      </c>
      <c r="AM9" t="s">
        <v>9</v>
      </c>
      <c r="AN9" s="1" t="s">
        <v>44</v>
      </c>
      <c r="AP9" t="s">
        <v>8</v>
      </c>
      <c r="AQ9" t="s">
        <v>8</v>
      </c>
      <c r="AR9" t="s">
        <v>8</v>
      </c>
      <c r="AS9" t="s">
        <v>8</v>
      </c>
      <c r="AT9" t="s">
        <v>8</v>
      </c>
      <c r="AU9" s="1" t="s">
        <v>44</v>
      </c>
      <c r="AW9" t="s">
        <v>8</v>
      </c>
      <c r="AX9" t="s">
        <v>8</v>
      </c>
      <c r="AY9" t="s">
        <v>8</v>
      </c>
      <c r="AZ9" t="s">
        <v>8</v>
      </c>
      <c r="BA9" t="s">
        <v>16</v>
      </c>
      <c r="BD9" t="s">
        <v>10</v>
      </c>
      <c r="BE9" t="s">
        <v>10</v>
      </c>
      <c r="BF9" t="s">
        <v>10</v>
      </c>
      <c r="BG9" t="s">
        <v>10</v>
      </c>
      <c r="BH9" t="s">
        <v>15</v>
      </c>
      <c r="BI9" s="1"/>
      <c r="BJ9" s="1"/>
      <c r="BK9" t="s">
        <v>11</v>
      </c>
      <c r="BL9" t="s">
        <v>14</v>
      </c>
      <c r="BM9" t="s">
        <v>11</v>
      </c>
      <c r="BN9" t="s">
        <v>11</v>
      </c>
      <c r="BO9" t="s">
        <v>11</v>
      </c>
      <c r="BP9" s="1" t="s">
        <v>44</v>
      </c>
      <c r="BQ9" s="1"/>
      <c r="BR9" t="s">
        <v>12</v>
      </c>
      <c r="BS9" t="s">
        <v>12</v>
      </c>
      <c r="BT9" t="s">
        <v>12</v>
      </c>
      <c r="BU9" t="s">
        <v>12</v>
      </c>
      <c r="BV9" t="s">
        <v>12</v>
      </c>
      <c r="BW9" s="1"/>
      <c r="BX9" s="1"/>
      <c r="BY9" t="s">
        <v>10</v>
      </c>
      <c r="BZ9" t="s">
        <v>10</v>
      </c>
      <c r="CA9" t="s">
        <v>15</v>
      </c>
      <c r="CB9" t="s">
        <v>10</v>
      </c>
      <c r="CC9" t="s">
        <v>10</v>
      </c>
      <c r="CD9" s="1" t="s">
        <v>44</v>
      </c>
      <c r="CE9" s="1"/>
      <c r="CF9" t="s">
        <v>7</v>
      </c>
      <c r="CG9" t="s">
        <v>7</v>
      </c>
      <c r="CH9" t="s">
        <v>2</v>
      </c>
      <c r="CI9" t="s">
        <v>9</v>
      </c>
      <c r="CJ9" t="s">
        <v>9</v>
      </c>
      <c r="CK9" s="1"/>
      <c r="CL9" s="1"/>
      <c r="CM9" t="s">
        <v>11</v>
      </c>
      <c r="CN9" t="s">
        <v>11</v>
      </c>
      <c r="CO9" t="s">
        <v>11</v>
      </c>
      <c r="CP9" t="s">
        <v>11</v>
      </c>
      <c r="CQ9" t="s">
        <v>11</v>
      </c>
      <c r="CR9" s="1"/>
      <c r="CS9" s="1"/>
      <c r="CT9" t="s">
        <v>20</v>
      </c>
      <c r="CU9" t="s">
        <v>20</v>
      </c>
      <c r="CV9" t="s">
        <v>20</v>
      </c>
      <c r="CW9" t="s">
        <v>20</v>
      </c>
      <c r="CX9" t="s">
        <v>22</v>
      </c>
      <c r="CY9" s="1"/>
      <c r="CZ9" s="1"/>
      <c r="DA9" t="s">
        <v>7</v>
      </c>
      <c r="DB9" t="s">
        <v>7</v>
      </c>
      <c r="DC9" t="s">
        <v>7</v>
      </c>
      <c r="DD9" t="s">
        <v>7</v>
      </c>
      <c r="DE9" t="s">
        <v>17</v>
      </c>
      <c r="DF9" s="1"/>
      <c r="DG9" s="1"/>
      <c r="DH9" t="s">
        <v>10</v>
      </c>
      <c r="DI9" t="s">
        <v>10</v>
      </c>
      <c r="DJ9" t="s">
        <v>10</v>
      </c>
      <c r="DK9" t="s">
        <v>10</v>
      </c>
      <c r="DL9" t="s">
        <v>15</v>
      </c>
      <c r="DM9" s="1"/>
      <c r="DN9" s="1"/>
      <c r="DO9" t="s">
        <v>11</v>
      </c>
      <c r="DP9" t="s">
        <v>14</v>
      </c>
      <c r="DQ9" t="s">
        <v>11</v>
      </c>
      <c r="DR9" t="s">
        <v>11</v>
      </c>
      <c r="DT9" s="1"/>
      <c r="DU9" s="1"/>
      <c r="EA9" s="1"/>
      <c r="EB9" s="1"/>
      <c r="EH9" s="1"/>
    </row>
    <row r="10" spans="1:138">
      <c r="B10" t="s">
        <v>56</v>
      </c>
      <c r="C10" t="s">
        <v>11</v>
      </c>
      <c r="D10" t="s">
        <v>11</v>
      </c>
      <c r="E10" s="1" t="s">
        <v>44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M10" s="1" t="s">
        <v>44</v>
      </c>
      <c r="N10" t="s">
        <v>20</v>
      </c>
      <c r="O10" t="s">
        <v>8</v>
      </c>
      <c r="P10" t="s">
        <v>8</v>
      </c>
      <c r="Q10" t="s">
        <v>8</v>
      </c>
      <c r="R10" t="s">
        <v>8</v>
      </c>
      <c r="U10" t="s">
        <v>11</v>
      </c>
      <c r="V10" t="s">
        <v>11</v>
      </c>
      <c r="W10" t="s">
        <v>11</v>
      </c>
      <c r="X10" t="s">
        <v>11</v>
      </c>
      <c r="Y10" t="s">
        <v>11</v>
      </c>
      <c r="Z10" s="1" t="s">
        <v>44</v>
      </c>
      <c r="AB10" t="s">
        <v>9</v>
      </c>
      <c r="AC10" t="s">
        <v>7</v>
      </c>
      <c r="AD10" t="s">
        <v>11</v>
      </c>
      <c r="AE10" t="s">
        <v>11</v>
      </c>
      <c r="AF10" t="s">
        <v>14</v>
      </c>
      <c r="AI10" t="s">
        <v>8</v>
      </c>
      <c r="AJ10" t="s">
        <v>10</v>
      </c>
      <c r="AK10" t="s">
        <v>10</v>
      </c>
      <c r="AL10" t="s">
        <v>10</v>
      </c>
      <c r="AM10" t="s">
        <v>7</v>
      </c>
      <c r="AN10" s="1" t="s">
        <v>44</v>
      </c>
      <c r="AP10" t="s">
        <v>9</v>
      </c>
      <c r="AQ10" t="s">
        <v>13</v>
      </c>
      <c r="AR10" t="s">
        <v>20</v>
      </c>
      <c r="AS10" t="s">
        <v>2</v>
      </c>
      <c r="AT10" t="s">
        <v>2</v>
      </c>
      <c r="AW10" t="s">
        <v>8</v>
      </c>
      <c r="AX10" t="s">
        <v>16</v>
      </c>
      <c r="AY10" t="s">
        <v>20</v>
      </c>
      <c r="AZ10" t="s">
        <v>8</v>
      </c>
      <c r="BA10" t="s">
        <v>8</v>
      </c>
      <c r="BD10" t="s">
        <v>8</v>
      </c>
      <c r="BE10" t="s">
        <v>16</v>
      </c>
      <c r="BF10" t="s">
        <v>20</v>
      </c>
      <c r="BG10" t="s">
        <v>7</v>
      </c>
      <c r="BH10" t="s">
        <v>7</v>
      </c>
      <c r="BI10" s="1" t="s">
        <v>44</v>
      </c>
      <c r="BJ10" s="1"/>
      <c r="BK10" t="s">
        <v>9</v>
      </c>
      <c r="BL10" t="s">
        <v>9</v>
      </c>
      <c r="BM10" t="s">
        <v>9</v>
      </c>
      <c r="BN10" t="s">
        <v>9</v>
      </c>
      <c r="BO10" t="s">
        <v>9</v>
      </c>
      <c r="BP10" s="1" t="s">
        <v>44</v>
      </c>
      <c r="BQ10" s="1"/>
      <c r="BR10" t="s">
        <v>10</v>
      </c>
      <c r="BS10" t="s">
        <v>10</v>
      </c>
      <c r="BT10" t="s">
        <v>10</v>
      </c>
      <c r="BU10" t="s">
        <v>10</v>
      </c>
      <c r="BV10" t="s">
        <v>10</v>
      </c>
      <c r="BW10" s="1"/>
      <c r="BX10" s="1"/>
      <c r="BY10" t="s">
        <v>18</v>
      </c>
      <c r="BZ10" t="s">
        <v>12</v>
      </c>
      <c r="CA10" t="s">
        <v>12</v>
      </c>
      <c r="CB10" t="s">
        <v>12</v>
      </c>
      <c r="CC10" t="s">
        <v>12</v>
      </c>
      <c r="CD10" s="1"/>
      <c r="CE10" s="1"/>
      <c r="CF10" t="s">
        <v>8</v>
      </c>
      <c r="CG10" t="s">
        <v>8</v>
      </c>
      <c r="CH10" t="s">
        <v>8</v>
      </c>
      <c r="CI10" t="s">
        <v>16</v>
      </c>
      <c r="CJ10" t="s">
        <v>8</v>
      </c>
      <c r="CK10" s="1"/>
      <c r="CL10" s="1"/>
      <c r="CM10" t="s">
        <v>8</v>
      </c>
      <c r="CN10" t="s">
        <v>8</v>
      </c>
      <c r="CO10" t="s">
        <v>8</v>
      </c>
      <c r="CP10" t="s">
        <v>16</v>
      </c>
      <c r="CQ10" t="s">
        <v>8</v>
      </c>
      <c r="CR10" s="1"/>
      <c r="CS10" s="1"/>
      <c r="CT10" t="s">
        <v>7</v>
      </c>
      <c r="CU10" t="s">
        <v>7</v>
      </c>
      <c r="CV10" t="s">
        <v>17</v>
      </c>
      <c r="CW10" t="s">
        <v>7</v>
      </c>
      <c r="CX10" t="s">
        <v>7</v>
      </c>
      <c r="CY10" s="1"/>
      <c r="CZ10" s="1"/>
      <c r="DA10" t="s">
        <v>10</v>
      </c>
      <c r="DB10" t="s">
        <v>10</v>
      </c>
      <c r="DC10" t="s">
        <v>10</v>
      </c>
      <c r="DD10" t="s">
        <v>10</v>
      </c>
      <c r="DE10" t="s">
        <v>10</v>
      </c>
      <c r="DF10" s="1"/>
      <c r="DG10" s="1"/>
      <c r="DH10" t="s">
        <v>14</v>
      </c>
      <c r="DI10" t="s">
        <v>11</v>
      </c>
      <c r="DJ10" t="s">
        <v>11</v>
      </c>
      <c r="DK10" t="s">
        <v>11</v>
      </c>
      <c r="DL10" t="s">
        <v>11</v>
      </c>
      <c r="DM10" s="1"/>
      <c r="DN10" s="1"/>
      <c r="DO10" t="s">
        <v>11</v>
      </c>
      <c r="DP10" t="s">
        <v>11</v>
      </c>
      <c r="DQ10" t="s">
        <v>11</v>
      </c>
      <c r="DR10" t="s">
        <v>11</v>
      </c>
      <c r="DT10" s="1"/>
      <c r="DU10" s="1"/>
      <c r="EA10" s="1"/>
      <c r="EB10" s="1"/>
      <c r="EH10" s="1"/>
    </row>
    <row r="11" spans="1:138">
      <c r="B11" t="s">
        <v>49</v>
      </c>
      <c r="C11" t="s">
        <v>12</v>
      </c>
      <c r="D11" t="s">
        <v>18</v>
      </c>
      <c r="G11" t="s">
        <v>8</v>
      </c>
      <c r="H11" t="s">
        <v>8</v>
      </c>
      <c r="I11" t="s">
        <v>8</v>
      </c>
      <c r="J11" t="s">
        <v>8</v>
      </c>
      <c r="K11" t="s">
        <v>8</v>
      </c>
      <c r="N11" t="s">
        <v>10</v>
      </c>
      <c r="O11" t="s">
        <v>10</v>
      </c>
      <c r="P11" t="s">
        <v>10</v>
      </c>
      <c r="Q11" t="s">
        <v>15</v>
      </c>
      <c r="R11" t="s">
        <v>20</v>
      </c>
      <c r="U11" t="s">
        <v>12</v>
      </c>
      <c r="V11" t="s">
        <v>12</v>
      </c>
      <c r="W11" t="s">
        <v>12</v>
      </c>
      <c r="X11" t="s">
        <v>12</v>
      </c>
      <c r="Y11" t="s">
        <v>12</v>
      </c>
      <c r="Z11" s="1" t="s">
        <v>44</v>
      </c>
      <c r="AB11" t="s">
        <v>11</v>
      </c>
      <c r="AC11" t="s">
        <v>14</v>
      </c>
      <c r="AD11" t="s">
        <v>20</v>
      </c>
      <c r="AE11" t="s">
        <v>11</v>
      </c>
      <c r="AF11" t="s">
        <v>14</v>
      </c>
      <c r="AI11" t="s">
        <v>11</v>
      </c>
      <c r="AJ11" t="s">
        <v>11</v>
      </c>
      <c r="AK11" t="s">
        <v>7</v>
      </c>
      <c r="AL11" t="s">
        <v>14</v>
      </c>
      <c r="AM11" t="s">
        <v>20</v>
      </c>
      <c r="AP11" t="s">
        <v>8</v>
      </c>
      <c r="AQ11" t="s">
        <v>8</v>
      </c>
      <c r="AR11" t="s">
        <v>8</v>
      </c>
      <c r="AS11" t="s">
        <v>7</v>
      </c>
      <c r="AT11" t="s">
        <v>14</v>
      </c>
      <c r="AW11" t="s">
        <v>7</v>
      </c>
      <c r="AX11" t="s">
        <v>7</v>
      </c>
      <c r="AY11" t="s">
        <v>7</v>
      </c>
      <c r="AZ11" t="s">
        <v>7</v>
      </c>
      <c r="BA11" t="s">
        <v>7</v>
      </c>
      <c r="BB11" s="1" t="s">
        <v>44</v>
      </c>
      <c r="BD11" t="s">
        <v>7</v>
      </c>
      <c r="BE11" t="s">
        <v>11</v>
      </c>
      <c r="BF11" t="s">
        <v>8</v>
      </c>
      <c r="BG11" t="s">
        <v>11</v>
      </c>
      <c r="BH11" t="s">
        <v>10</v>
      </c>
      <c r="BI11" s="1"/>
      <c r="BJ11" s="1"/>
      <c r="BK11" t="s">
        <v>2</v>
      </c>
      <c r="BL11" t="s">
        <v>2</v>
      </c>
      <c r="BM11" t="s">
        <v>2</v>
      </c>
      <c r="BN11" t="s">
        <v>2</v>
      </c>
      <c r="BO11" t="s">
        <v>18</v>
      </c>
      <c r="BP11" s="1"/>
      <c r="BQ11" s="1"/>
      <c r="BR11" t="s">
        <v>11</v>
      </c>
      <c r="BS11" t="s">
        <v>11</v>
      </c>
      <c r="BT11" t="s">
        <v>8</v>
      </c>
      <c r="BU11" t="s">
        <v>11</v>
      </c>
      <c r="BV11" t="s">
        <v>14</v>
      </c>
      <c r="BW11" s="1"/>
      <c r="BX11" s="1"/>
      <c r="BY11" t="s">
        <v>9</v>
      </c>
      <c r="BZ11" t="s">
        <v>9</v>
      </c>
      <c r="CA11" t="s">
        <v>9</v>
      </c>
      <c r="CB11" t="s">
        <v>9</v>
      </c>
      <c r="CC11" t="s">
        <v>13</v>
      </c>
      <c r="CD11" s="1"/>
      <c r="CE11" s="1"/>
      <c r="CF11" t="s">
        <v>8</v>
      </c>
      <c r="CG11" t="s">
        <v>8</v>
      </c>
      <c r="CH11" t="s">
        <v>8</v>
      </c>
      <c r="CI11" t="s">
        <v>8</v>
      </c>
      <c r="CJ11" t="s">
        <v>16</v>
      </c>
      <c r="CK11" s="1"/>
      <c r="CL11" s="1"/>
      <c r="CM11" t="s">
        <v>8</v>
      </c>
      <c r="CN11" t="s">
        <v>8</v>
      </c>
      <c r="CO11" t="s">
        <v>8</v>
      </c>
      <c r="CP11" t="s">
        <v>8</v>
      </c>
      <c r="CQ11" t="s">
        <v>8</v>
      </c>
      <c r="CR11" s="1" t="s">
        <v>44</v>
      </c>
      <c r="CS11" s="1"/>
      <c r="CT11" t="s">
        <v>10</v>
      </c>
      <c r="CU11" t="s">
        <v>10</v>
      </c>
      <c r="CV11" t="s">
        <v>10</v>
      </c>
      <c r="CW11" t="s">
        <v>10</v>
      </c>
      <c r="CX11" t="s">
        <v>10</v>
      </c>
      <c r="CY11" s="1" t="s">
        <v>44</v>
      </c>
      <c r="CZ11" s="1"/>
      <c r="DA11" t="s">
        <v>11</v>
      </c>
      <c r="DB11" t="s">
        <v>11</v>
      </c>
      <c r="DC11" t="s">
        <v>11</v>
      </c>
      <c r="DD11" t="s">
        <v>11</v>
      </c>
      <c r="DE11" t="s">
        <v>11</v>
      </c>
      <c r="DF11" s="1" t="s">
        <v>44</v>
      </c>
      <c r="DG11" s="1"/>
      <c r="DH11" t="s">
        <v>9</v>
      </c>
      <c r="DI11" t="s">
        <v>9</v>
      </c>
      <c r="DJ11" t="s">
        <v>9</v>
      </c>
      <c r="DK11" t="s">
        <v>9</v>
      </c>
      <c r="DL11" t="s">
        <v>9</v>
      </c>
      <c r="DM11" s="1"/>
      <c r="DN11" s="1" t="s">
        <v>44</v>
      </c>
      <c r="DO11" t="s">
        <v>10</v>
      </c>
      <c r="DP11" t="s">
        <v>10</v>
      </c>
      <c r="DQ11" t="s">
        <v>10</v>
      </c>
      <c r="DR11" t="s">
        <v>10</v>
      </c>
      <c r="DT11" s="1"/>
      <c r="DU11" s="1"/>
      <c r="EA11" s="1"/>
      <c r="EB11" s="1"/>
      <c r="EH11" s="1"/>
    </row>
    <row r="12" spans="1:138">
      <c r="B12" t="s">
        <v>51</v>
      </c>
      <c r="C12" t="s">
        <v>8</v>
      </c>
      <c r="D12" t="s">
        <v>8</v>
      </c>
      <c r="G12" t="s">
        <v>13</v>
      </c>
      <c r="H12" t="s">
        <v>20</v>
      </c>
      <c r="I12" t="s">
        <v>9</v>
      </c>
      <c r="J12" t="s">
        <v>9</v>
      </c>
      <c r="K12" t="s">
        <v>9</v>
      </c>
      <c r="L12" s="1" t="s">
        <v>44</v>
      </c>
      <c r="N12" t="s">
        <v>11</v>
      </c>
      <c r="O12" t="s">
        <v>11</v>
      </c>
      <c r="P12" t="s">
        <v>11</v>
      </c>
      <c r="Q12" t="s">
        <v>11</v>
      </c>
      <c r="R12" t="s">
        <v>11</v>
      </c>
      <c r="U12" t="s">
        <v>9</v>
      </c>
      <c r="V12" t="s">
        <v>11</v>
      </c>
      <c r="W12" t="s">
        <v>15</v>
      </c>
      <c r="X12" t="s">
        <v>20</v>
      </c>
      <c r="Y12" t="s">
        <v>14</v>
      </c>
      <c r="AB12" t="s">
        <v>10</v>
      </c>
      <c r="AC12" t="s">
        <v>10</v>
      </c>
      <c r="AD12" t="s">
        <v>10</v>
      </c>
      <c r="AE12" t="s">
        <v>10</v>
      </c>
      <c r="AF12" t="s">
        <v>10</v>
      </c>
      <c r="AG12" s="1" t="s">
        <v>44</v>
      </c>
      <c r="AI12" t="s">
        <v>10</v>
      </c>
      <c r="AJ12" t="s">
        <v>2</v>
      </c>
      <c r="AK12" t="s">
        <v>2</v>
      </c>
      <c r="AL12" t="s">
        <v>2</v>
      </c>
      <c r="AM12" t="s">
        <v>2</v>
      </c>
      <c r="AP12" t="s">
        <v>12</v>
      </c>
      <c r="AQ12" t="s">
        <v>12</v>
      </c>
      <c r="AR12" t="s">
        <v>18</v>
      </c>
      <c r="AS12" t="s">
        <v>20</v>
      </c>
      <c r="AT12" t="s">
        <v>12</v>
      </c>
      <c r="AW12" t="s">
        <v>11</v>
      </c>
      <c r="AX12" t="s">
        <v>11</v>
      </c>
      <c r="AY12" t="s">
        <v>11</v>
      </c>
      <c r="AZ12" t="s">
        <v>14</v>
      </c>
      <c r="BA12" t="s">
        <v>20</v>
      </c>
      <c r="BD12" t="s">
        <v>8</v>
      </c>
      <c r="BE12" t="s">
        <v>8</v>
      </c>
      <c r="BF12" t="s">
        <v>7</v>
      </c>
      <c r="BG12" t="s">
        <v>8</v>
      </c>
      <c r="BH12" t="s">
        <v>8</v>
      </c>
      <c r="BI12" s="1" t="s">
        <v>44</v>
      </c>
      <c r="BJ12" s="1"/>
      <c r="BK12" t="s">
        <v>12</v>
      </c>
      <c r="BL12" t="s">
        <v>12</v>
      </c>
      <c r="BM12" t="s">
        <v>12</v>
      </c>
      <c r="BN12" t="s">
        <v>12</v>
      </c>
      <c r="BO12" t="s">
        <v>2</v>
      </c>
      <c r="BP12" s="1"/>
      <c r="BQ12" s="1"/>
      <c r="BR12" t="s">
        <v>8</v>
      </c>
      <c r="BS12" t="s">
        <v>17</v>
      </c>
      <c r="BT12" t="s">
        <v>7</v>
      </c>
      <c r="BU12" t="s">
        <v>8</v>
      </c>
      <c r="BV12" t="s">
        <v>8</v>
      </c>
      <c r="BW12" s="1" t="s">
        <v>44</v>
      </c>
      <c r="BX12" s="1"/>
      <c r="BY12" t="s">
        <v>8</v>
      </c>
      <c r="BZ12" t="s">
        <v>8</v>
      </c>
      <c r="CA12" t="s">
        <v>8</v>
      </c>
      <c r="CB12" t="s">
        <v>8</v>
      </c>
      <c r="CC12" t="s">
        <v>8</v>
      </c>
      <c r="CD12" s="1" t="s">
        <v>44</v>
      </c>
      <c r="CE12" s="1"/>
      <c r="CF12" t="s">
        <v>20</v>
      </c>
      <c r="CG12" t="s">
        <v>20</v>
      </c>
      <c r="CH12" t="s">
        <v>20</v>
      </c>
      <c r="CI12" t="s">
        <v>20</v>
      </c>
      <c r="CJ12" t="s">
        <v>22</v>
      </c>
      <c r="CK12" s="1"/>
      <c r="CL12" s="1"/>
      <c r="CM12" t="s">
        <v>7</v>
      </c>
      <c r="CN12" t="s">
        <v>7</v>
      </c>
      <c r="CO12" t="s">
        <v>17</v>
      </c>
      <c r="CP12" t="s">
        <v>7</v>
      </c>
      <c r="CQ12" t="s">
        <v>7</v>
      </c>
      <c r="CR12" s="1"/>
      <c r="CS12" s="1"/>
      <c r="CT12" t="s">
        <v>16</v>
      </c>
      <c r="CU12" t="s">
        <v>8</v>
      </c>
      <c r="CV12" t="s">
        <v>8</v>
      </c>
      <c r="CW12" t="s">
        <v>8</v>
      </c>
      <c r="CX12" t="s">
        <v>8</v>
      </c>
      <c r="CY12" s="1"/>
      <c r="CZ12" s="1"/>
      <c r="DA12" t="s">
        <v>20</v>
      </c>
      <c r="DB12" t="s">
        <v>20</v>
      </c>
      <c r="DC12" t="s">
        <v>20</v>
      </c>
      <c r="DD12" t="s">
        <v>20</v>
      </c>
      <c r="DE12" t="s">
        <v>22</v>
      </c>
      <c r="DF12" s="1"/>
      <c r="DG12" s="1"/>
      <c r="DH12" t="s">
        <v>10</v>
      </c>
      <c r="DI12" t="s">
        <v>10</v>
      </c>
      <c r="DJ12" t="s">
        <v>10</v>
      </c>
      <c r="DK12" t="s">
        <v>10</v>
      </c>
      <c r="DL12" t="s">
        <v>10</v>
      </c>
      <c r="DM12" s="1" t="s">
        <v>44</v>
      </c>
      <c r="DN12" s="1"/>
      <c r="DO12" t="s">
        <v>9</v>
      </c>
      <c r="DP12" t="s">
        <v>9</v>
      </c>
      <c r="DQ12" t="s">
        <v>9</v>
      </c>
      <c r="DR12" t="s">
        <v>9</v>
      </c>
      <c r="DT12" s="1"/>
      <c r="DU12" s="1"/>
      <c r="EA12" s="1"/>
      <c r="EB12" s="1"/>
      <c r="EH12" s="1"/>
    </row>
    <row r="13" spans="1:138">
      <c r="B13" t="s">
        <v>51</v>
      </c>
      <c r="C13" t="s">
        <v>8</v>
      </c>
      <c r="D13" t="s">
        <v>8</v>
      </c>
      <c r="G13" t="s">
        <v>13</v>
      </c>
      <c r="H13" t="s">
        <v>20</v>
      </c>
      <c r="I13" t="s">
        <v>9</v>
      </c>
      <c r="J13" t="s">
        <v>9</v>
      </c>
      <c r="K13" t="s">
        <v>9</v>
      </c>
      <c r="L13" s="1" t="s">
        <v>44</v>
      </c>
      <c r="N13" t="s">
        <v>11</v>
      </c>
      <c r="O13" t="s">
        <v>11</v>
      </c>
      <c r="P13" t="s">
        <v>11</v>
      </c>
      <c r="Q13" t="s">
        <v>11</v>
      </c>
      <c r="R13" t="s">
        <v>11</v>
      </c>
      <c r="U13" t="s">
        <v>9</v>
      </c>
      <c r="V13" t="s">
        <v>11</v>
      </c>
      <c r="W13" t="s">
        <v>15</v>
      </c>
      <c r="X13" t="s">
        <v>20</v>
      </c>
      <c r="Y13" t="s">
        <v>14</v>
      </c>
      <c r="AB13" t="s">
        <v>10</v>
      </c>
      <c r="AC13" t="s">
        <v>10</v>
      </c>
      <c r="AD13" t="s">
        <v>10</v>
      </c>
      <c r="AE13" t="s">
        <v>10</v>
      </c>
      <c r="AF13" t="s">
        <v>10</v>
      </c>
      <c r="AG13" s="1" t="s">
        <v>44</v>
      </c>
      <c r="AI13" t="s">
        <v>10</v>
      </c>
      <c r="AJ13" t="s">
        <v>2</v>
      </c>
      <c r="AK13" t="s">
        <v>2</v>
      </c>
      <c r="AL13" t="s">
        <v>2</v>
      </c>
      <c r="AM13" t="s">
        <v>2</v>
      </c>
      <c r="AP13" t="s">
        <v>12</v>
      </c>
      <c r="AQ13" t="s">
        <v>12</v>
      </c>
      <c r="AR13" t="s">
        <v>18</v>
      </c>
      <c r="AS13" t="s">
        <v>20</v>
      </c>
      <c r="AT13" t="s">
        <v>12</v>
      </c>
      <c r="AW13" t="s">
        <v>11</v>
      </c>
      <c r="AX13" t="s">
        <v>11</v>
      </c>
      <c r="AY13" t="s">
        <v>11</v>
      </c>
      <c r="AZ13" t="s">
        <v>14</v>
      </c>
      <c r="BA13" t="s">
        <v>20</v>
      </c>
      <c r="BD13" t="s">
        <v>8</v>
      </c>
      <c r="BE13" t="s">
        <v>8</v>
      </c>
      <c r="BF13" t="s">
        <v>7</v>
      </c>
      <c r="BG13" t="s">
        <v>8</v>
      </c>
      <c r="BH13" t="s">
        <v>8</v>
      </c>
      <c r="BI13" s="1" t="s">
        <v>44</v>
      </c>
      <c r="BJ13" s="1"/>
      <c r="BK13" t="s">
        <v>10</v>
      </c>
      <c r="BL13" t="s">
        <v>10</v>
      </c>
      <c r="BM13" t="s">
        <v>10</v>
      </c>
      <c r="BN13" t="s">
        <v>10</v>
      </c>
      <c r="BO13" t="s">
        <v>2</v>
      </c>
      <c r="BP13" s="1"/>
      <c r="BQ13" s="1"/>
      <c r="BR13" t="s">
        <v>9</v>
      </c>
      <c r="BS13" t="s">
        <v>13</v>
      </c>
      <c r="BT13" t="s">
        <v>9</v>
      </c>
      <c r="BU13" t="s">
        <v>9</v>
      </c>
      <c r="BV13" t="s">
        <v>9</v>
      </c>
      <c r="BW13" s="1"/>
      <c r="BX13" s="1"/>
      <c r="BY13" t="s">
        <v>8</v>
      </c>
      <c r="BZ13" t="s">
        <v>8</v>
      </c>
      <c r="CA13" t="s">
        <v>8</v>
      </c>
      <c r="CB13" t="s">
        <v>8</v>
      </c>
      <c r="CC13" t="s">
        <v>8</v>
      </c>
      <c r="CD13" s="1" t="s">
        <v>44</v>
      </c>
      <c r="CE13" s="1"/>
      <c r="CF13" t="s">
        <v>20</v>
      </c>
      <c r="CG13" t="s">
        <v>20</v>
      </c>
      <c r="CH13" t="s">
        <v>20</v>
      </c>
      <c r="CI13" t="s">
        <v>20</v>
      </c>
      <c r="CJ13" t="s">
        <v>20</v>
      </c>
      <c r="CK13" s="1"/>
      <c r="CL13" s="1" t="s">
        <v>44</v>
      </c>
      <c r="CM13" t="s">
        <v>8</v>
      </c>
      <c r="CN13" t="s">
        <v>8</v>
      </c>
      <c r="CO13" t="s">
        <v>8</v>
      </c>
      <c r="CP13" t="s">
        <v>8</v>
      </c>
      <c r="CQ13" t="s">
        <v>8</v>
      </c>
      <c r="CR13" s="1"/>
      <c r="CS13" s="1" t="s">
        <v>44</v>
      </c>
      <c r="CT13" t="s">
        <v>7</v>
      </c>
      <c r="CU13" t="s">
        <v>7</v>
      </c>
      <c r="CV13" t="s">
        <v>7</v>
      </c>
      <c r="CW13" t="s">
        <v>7</v>
      </c>
      <c r="CX13" t="s">
        <v>7</v>
      </c>
      <c r="CY13" s="1"/>
      <c r="CZ13" s="1"/>
      <c r="DA13" t="s">
        <v>14</v>
      </c>
      <c r="DB13" t="s">
        <v>11</v>
      </c>
      <c r="DC13" t="s">
        <v>11</v>
      </c>
      <c r="DD13" t="s">
        <v>11</v>
      </c>
      <c r="DE13" t="s">
        <v>11</v>
      </c>
      <c r="DF13" s="1"/>
      <c r="DG13" s="1"/>
      <c r="DH13" t="s">
        <v>12</v>
      </c>
      <c r="DI13" t="s">
        <v>12</v>
      </c>
      <c r="DJ13" t="s">
        <v>12</v>
      </c>
      <c r="DK13" t="s">
        <v>12</v>
      </c>
      <c r="DL13" t="s">
        <v>18</v>
      </c>
      <c r="DM13" s="1"/>
      <c r="DN13" s="1"/>
      <c r="DO13" t="s">
        <v>20</v>
      </c>
      <c r="DP13" t="s">
        <v>20</v>
      </c>
      <c r="DQ13" t="s">
        <v>20</v>
      </c>
      <c r="DR13" t="s">
        <v>20</v>
      </c>
      <c r="DT13" s="1"/>
      <c r="DU13" s="1"/>
      <c r="EA13" s="1"/>
      <c r="EB13" s="1"/>
      <c r="EH13" s="1"/>
    </row>
    <row r="14" spans="1:138">
      <c r="B14" s="10"/>
      <c r="BF14"/>
      <c r="BG14"/>
      <c r="BI14" s="1"/>
      <c r="BJ14" s="1"/>
      <c r="BP14" s="1"/>
      <c r="BQ14" s="1"/>
      <c r="BW14" s="1"/>
      <c r="BX14" s="1"/>
      <c r="CD14" s="1"/>
      <c r="CE14" s="1"/>
      <c r="CK14" s="1"/>
      <c r="CL14" s="1"/>
      <c r="CR14" s="1"/>
      <c r="CS14" s="1"/>
      <c r="CY14" s="1"/>
      <c r="CZ14" s="1"/>
      <c r="DF14" s="1"/>
      <c r="DG14" s="1"/>
      <c r="DM14" s="1"/>
      <c r="DN14" s="1"/>
      <c r="DT14" s="1"/>
      <c r="DU14" s="1"/>
      <c r="EA14" s="1"/>
      <c r="EB14" s="1"/>
      <c r="EH14" s="1"/>
    </row>
    <row r="15" spans="1:138">
      <c r="B15" s="10"/>
      <c r="BF15"/>
      <c r="BG15"/>
      <c r="BI15" s="1"/>
      <c r="BJ15" s="1"/>
      <c r="BP15" s="1"/>
      <c r="BQ15" s="1"/>
      <c r="BW15" s="1"/>
      <c r="BX15" s="1"/>
      <c r="CD15" s="1"/>
      <c r="CE15" s="1"/>
      <c r="CK15" s="1"/>
      <c r="CL15" s="1"/>
      <c r="CR15" s="1"/>
      <c r="CS15" s="1"/>
      <c r="CY15" s="1"/>
      <c r="CZ15" s="1"/>
      <c r="DF15" s="1"/>
      <c r="DG15" s="1"/>
      <c r="DM15" s="1"/>
      <c r="DN15" s="1"/>
      <c r="DT15" s="1"/>
      <c r="DU15" s="1"/>
      <c r="EA15" s="1"/>
      <c r="EB15" s="1"/>
      <c r="EH15" s="1"/>
    </row>
    <row r="16" spans="1:138">
      <c r="B16" s="10"/>
      <c r="BF16"/>
      <c r="BG16"/>
      <c r="BI16" s="1"/>
      <c r="BJ16" s="1"/>
      <c r="BP16" s="1"/>
      <c r="BQ16" s="1"/>
      <c r="BW16" s="1"/>
      <c r="BX16" s="1"/>
      <c r="CD16" s="1"/>
      <c r="CE16" s="1"/>
      <c r="CK16" s="1"/>
      <c r="CL16" s="1"/>
      <c r="CR16" s="1"/>
      <c r="CS16" s="1"/>
      <c r="CY16" s="1"/>
      <c r="CZ16" s="1"/>
      <c r="DF16" s="1"/>
      <c r="DG16" s="1"/>
      <c r="DM16" s="1"/>
      <c r="DN16" s="1"/>
      <c r="DT16" s="1"/>
      <c r="DU16" s="1"/>
      <c r="EA16" s="1"/>
      <c r="EB16" s="1"/>
      <c r="EH16" s="1"/>
    </row>
    <row r="17" spans="1:138">
      <c r="BF17"/>
      <c r="BG17"/>
      <c r="BI17" s="1"/>
      <c r="BJ17" s="1"/>
      <c r="BP17" s="1"/>
      <c r="BQ17" s="1"/>
      <c r="BW17" s="1"/>
      <c r="BX17" s="1"/>
      <c r="CD17" s="1"/>
      <c r="CE17" s="1"/>
      <c r="CK17" s="1"/>
      <c r="CL17" s="1"/>
      <c r="CR17" s="1"/>
      <c r="CS17" s="1"/>
      <c r="CY17" s="1"/>
      <c r="CZ17" s="1"/>
      <c r="DF17" s="1"/>
      <c r="DG17" s="1"/>
      <c r="DM17" s="1"/>
      <c r="DN17" s="1"/>
      <c r="DT17" s="1"/>
      <c r="DU17" s="1"/>
      <c r="EA17" s="1"/>
      <c r="EB17" s="1"/>
      <c r="EH17" s="1"/>
    </row>
    <row r="18" spans="1:138" s="18" customFormat="1">
      <c r="A18" s="17" t="s">
        <v>3</v>
      </c>
      <c r="B18" s="17" t="s">
        <v>19</v>
      </c>
      <c r="G18" s="18" t="s">
        <v>45</v>
      </c>
      <c r="N18" s="18" t="s">
        <v>45</v>
      </c>
      <c r="U18" s="18" t="s">
        <v>45</v>
      </c>
      <c r="AB18" s="18" t="s">
        <v>45</v>
      </c>
      <c r="AI18" s="18" t="s">
        <v>45</v>
      </c>
      <c r="AP18" s="18" t="s">
        <v>45</v>
      </c>
      <c r="AW18" s="18" t="s">
        <v>45</v>
      </c>
      <c r="BD18" s="18" t="s">
        <v>45</v>
      </c>
      <c r="BK18" s="18" t="s">
        <v>45</v>
      </c>
      <c r="BR18" s="18" t="s">
        <v>45</v>
      </c>
      <c r="BY18" s="18" t="s">
        <v>45</v>
      </c>
      <c r="CF18" s="18" t="s">
        <v>45</v>
      </c>
      <c r="CM18" s="18" t="s">
        <v>45</v>
      </c>
      <c r="CT18" s="18" t="s">
        <v>45</v>
      </c>
      <c r="DA18" s="18" t="s">
        <v>45</v>
      </c>
      <c r="DH18" s="18" t="s">
        <v>45</v>
      </c>
      <c r="DO18" s="18" t="s">
        <v>45</v>
      </c>
      <c r="DV18" s="18" t="s">
        <v>45</v>
      </c>
      <c r="EC18" s="18" t="s">
        <v>45</v>
      </c>
    </row>
    <row r="19" spans="1:138" s="1" customFormat="1">
      <c r="A19" s="13" t="s">
        <v>8</v>
      </c>
      <c r="B19">
        <v>3</v>
      </c>
      <c r="C19" s="1">
        <f t="shared" ref="C19:D25" si="0">-COUNTIF(C$2:C$12,$A19 &amp; "*") +$B19</f>
        <v>0</v>
      </c>
      <c r="D19" s="1">
        <f t="shared" si="0"/>
        <v>0</v>
      </c>
      <c r="F19" s="5" t="s">
        <v>8</v>
      </c>
      <c r="G19" s="1">
        <f t="shared" ref="G19:K25" si="1">-COUNTIF(G$2:G$12,$A19 &amp; "*") +$B19</f>
        <v>0</v>
      </c>
      <c r="H19" s="1">
        <f t="shared" si="1"/>
        <v>0</v>
      </c>
      <c r="I19" s="1">
        <f t="shared" si="1"/>
        <v>0</v>
      </c>
      <c r="J19" s="1">
        <f t="shared" si="1"/>
        <v>0</v>
      </c>
      <c r="K19" s="1">
        <f t="shared" si="1"/>
        <v>1</v>
      </c>
      <c r="M19" s="5" t="s">
        <v>8</v>
      </c>
      <c r="N19" s="1">
        <f t="shared" ref="N19:R25" si="2">-COUNTIF(N$2:N$12,$A19 &amp; "*") +$B19</f>
        <v>0</v>
      </c>
      <c r="O19" s="1">
        <f t="shared" si="2"/>
        <v>0</v>
      </c>
      <c r="P19" s="1">
        <f t="shared" si="2"/>
        <v>0</v>
      </c>
      <c r="Q19" s="1">
        <f t="shared" si="2"/>
        <v>0</v>
      </c>
      <c r="R19" s="1">
        <f t="shared" si="2"/>
        <v>0</v>
      </c>
      <c r="T19" s="5" t="s">
        <v>8</v>
      </c>
      <c r="U19" s="1">
        <f t="shared" ref="U19:Y25" si="3">-COUNTIF(U$2:U$12,$A19 &amp; "*") +$B19</f>
        <v>1</v>
      </c>
      <c r="V19" s="1">
        <f t="shared" si="3"/>
        <v>1</v>
      </c>
      <c r="W19" s="1">
        <f t="shared" si="3"/>
        <v>1</v>
      </c>
      <c r="X19" s="1">
        <f t="shared" si="3"/>
        <v>1</v>
      </c>
      <c r="Y19" s="1">
        <f t="shared" si="3"/>
        <v>1</v>
      </c>
      <c r="AA19" s="5" t="s">
        <v>8</v>
      </c>
      <c r="AB19" s="1">
        <f t="shared" ref="AB19:AF25" si="4">-COUNTIF(AB$2:AB$12,$A19 &amp; "*") +$B19</f>
        <v>0</v>
      </c>
      <c r="AC19" s="1">
        <f t="shared" si="4"/>
        <v>0</v>
      </c>
      <c r="AD19" s="1">
        <f t="shared" si="4"/>
        <v>0</v>
      </c>
      <c r="AE19" s="1">
        <f t="shared" si="4"/>
        <v>0</v>
      </c>
      <c r="AF19" s="1">
        <f t="shared" si="4"/>
        <v>0</v>
      </c>
      <c r="AH19" s="5" t="s">
        <v>8</v>
      </c>
      <c r="AI19" s="1">
        <f t="shared" ref="AI19:AM25" si="5">-COUNTIF(AI$2:AI$12,$A19 &amp; "*") +$B19</f>
        <v>1</v>
      </c>
      <c r="AJ19" s="1">
        <f t="shared" si="5"/>
        <v>1</v>
      </c>
      <c r="AK19" s="1">
        <f t="shared" si="5"/>
        <v>1</v>
      </c>
      <c r="AL19" s="1">
        <f t="shared" si="5"/>
        <v>1</v>
      </c>
      <c r="AM19" s="1">
        <f t="shared" si="5"/>
        <v>1</v>
      </c>
      <c r="AO19" s="5" t="s">
        <v>8</v>
      </c>
      <c r="AP19" s="1">
        <f t="shared" ref="AP19:AT25" si="6">-COUNTIF(AP$2:AP$12,$A19 &amp; "*") +$B19</f>
        <v>1</v>
      </c>
      <c r="AQ19" s="1">
        <f t="shared" si="6"/>
        <v>1</v>
      </c>
      <c r="AR19" s="1">
        <f t="shared" si="6"/>
        <v>1</v>
      </c>
      <c r="AS19" s="1">
        <f t="shared" si="6"/>
        <v>2</v>
      </c>
      <c r="AT19" s="1">
        <f t="shared" si="6"/>
        <v>1</v>
      </c>
      <c r="AV19" s="5" t="s">
        <v>8</v>
      </c>
      <c r="AW19" s="1">
        <f t="shared" ref="AW19:BA25" si="7">-COUNTIF(AW$2:AW$12,$A19 &amp; "*") +$B19</f>
        <v>1</v>
      </c>
      <c r="AX19" s="1">
        <f t="shared" si="7"/>
        <v>1</v>
      </c>
      <c r="AY19" s="1">
        <f t="shared" si="7"/>
        <v>1</v>
      </c>
      <c r="AZ19" s="1">
        <f t="shared" si="7"/>
        <v>1</v>
      </c>
      <c r="BA19" s="1">
        <f t="shared" si="7"/>
        <v>1</v>
      </c>
      <c r="BC19" s="5" t="s">
        <v>8</v>
      </c>
      <c r="BD19" s="1">
        <f t="shared" ref="BD19:BH25" si="8">-COUNTIF(BD$2:BD$12,$A19 &amp; "*") +$B19</f>
        <v>1</v>
      </c>
      <c r="BE19" s="1">
        <f t="shared" si="8"/>
        <v>1</v>
      </c>
      <c r="BF19" s="1">
        <f t="shared" si="8"/>
        <v>2</v>
      </c>
      <c r="BG19" s="1">
        <f t="shared" si="8"/>
        <v>2</v>
      </c>
      <c r="BH19" s="1">
        <f t="shared" si="8"/>
        <v>2</v>
      </c>
      <c r="BJ19" s="5" t="s">
        <v>8</v>
      </c>
      <c r="BK19" s="1">
        <f t="shared" ref="BK19:BO25" si="9">-COUNTIF(BK$2:BK$12,$A19 &amp; "*") +$B19</f>
        <v>1</v>
      </c>
      <c r="BL19" s="1">
        <f t="shared" si="9"/>
        <v>1</v>
      </c>
      <c r="BM19" s="1">
        <f t="shared" si="9"/>
        <v>1</v>
      </c>
      <c r="BN19" s="1">
        <f t="shared" si="9"/>
        <v>1</v>
      </c>
      <c r="BO19" s="1">
        <f t="shared" si="9"/>
        <v>1</v>
      </c>
      <c r="BQ19" s="5" t="s">
        <v>8</v>
      </c>
      <c r="BR19" s="1">
        <f t="shared" ref="BR19:BV25" si="10">-COUNTIF(BR$2:BR$12,$A19 &amp; "*") +$B19</f>
        <v>0</v>
      </c>
      <c r="BS19" s="1">
        <f t="shared" si="10"/>
        <v>1</v>
      </c>
      <c r="BT19" s="1">
        <f t="shared" si="10"/>
        <v>1</v>
      </c>
      <c r="BU19" s="1">
        <f t="shared" si="10"/>
        <v>1</v>
      </c>
      <c r="BV19" s="1">
        <f t="shared" si="10"/>
        <v>1</v>
      </c>
      <c r="BX19" s="5" t="s">
        <v>8</v>
      </c>
      <c r="BY19" s="1">
        <f t="shared" ref="BY19:CC25" si="11">-COUNTIF(BY$2:BY$12,$A19 &amp; "*") +$B19</f>
        <v>1</v>
      </c>
      <c r="BZ19" s="1">
        <f t="shared" si="11"/>
        <v>1</v>
      </c>
      <c r="CA19" s="1">
        <f t="shared" si="11"/>
        <v>1</v>
      </c>
      <c r="CB19" s="1">
        <f t="shared" si="11"/>
        <v>1</v>
      </c>
      <c r="CC19" s="1">
        <f t="shared" si="11"/>
        <v>1</v>
      </c>
      <c r="CE19" s="5" t="s">
        <v>8</v>
      </c>
      <c r="CF19" s="1">
        <f t="shared" ref="CF19:CJ25" si="12">-COUNTIF(CF$2:CF$12,$A19 &amp; "*") +$B19</f>
        <v>1</v>
      </c>
      <c r="CG19" s="1">
        <f t="shared" si="12"/>
        <v>1</v>
      </c>
      <c r="CH19" s="1">
        <f t="shared" si="12"/>
        <v>1</v>
      </c>
      <c r="CI19" s="1">
        <f t="shared" si="12"/>
        <v>1</v>
      </c>
      <c r="CJ19" s="1">
        <f t="shared" si="12"/>
        <v>1</v>
      </c>
      <c r="CL19" s="5" t="s">
        <v>8</v>
      </c>
      <c r="CM19" s="1">
        <f t="shared" ref="CM19:CQ25" si="13">-COUNTIF(CM$2:CM$12,$A19 &amp; "*") +$B19</f>
        <v>1</v>
      </c>
      <c r="CN19" s="1">
        <f t="shared" si="13"/>
        <v>0</v>
      </c>
      <c r="CO19" s="1">
        <f t="shared" si="13"/>
        <v>0</v>
      </c>
      <c r="CP19" s="1">
        <f t="shared" si="13"/>
        <v>0</v>
      </c>
      <c r="CQ19" s="1">
        <f t="shared" si="13"/>
        <v>0</v>
      </c>
      <c r="CS19" s="5" t="s">
        <v>8</v>
      </c>
      <c r="CT19" s="1">
        <f t="shared" ref="CT19:CX25" si="14">-COUNTIF(CT$2:CT$12,$A19 &amp; "*") +$B19</f>
        <v>0</v>
      </c>
      <c r="CU19" s="1">
        <f t="shared" si="14"/>
        <v>0</v>
      </c>
      <c r="CV19" s="1">
        <f t="shared" si="14"/>
        <v>0</v>
      </c>
      <c r="CW19" s="1">
        <f t="shared" si="14"/>
        <v>0</v>
      </c>
      <c r="CX19" s="1">
        <f t="shared" si="14"/>
        <v>0</v>
      </c>
      <c r="CZ19" s="5" t="s">
        <v>8</v>
      </c>
      <c r="DA19" s="1">
        <f t="shared" ref="DA19:DE25" si="15">-COUNTIF(DA$2:DA$12,$A19 &amp; "*") +$B19</f>
        <v>0</v>
      </c>
      <c r="DB19" s="1">
        <f t="shared" si="15"/>
        <v>0</v>
      </c>
      <c r="DC19" s="1">
        <f t="shared" si="15"/>
        <v>0</v>
      </c>
      <c r="DD19" s="1">
        <f t="shared" si="15"/>
        <v>0</v>
      </c>
      <c r="DE19" s="1">
        <f t="shared" si="15"/>
        <v>0</v>
      </c>
      <c r="DG19" s="5" t="s">
        <v>8</v>
      </c>
      <c r="DH19" s="1">
        <f t="shared" ref="DH19:DL25" si="16">-COUNTIF(DH$2:DH$12,$A19 &amp; "*") +$B19</f>
        <v>0</v>
      </c>
      <c r="DI19" s="1">
        <f t="shared" si="16"/>
        <v>0</v>
      </c>
      <c r="DJ19" s="1">
        <f t="shared" si="16"/>
        <v>0</v>
      </c>
      <c r="DK19" s="1">
        <f t="shared" si="16"/>
        <v>0</v>
      </c>
      <c r="DL19" s="1">
        <f t="shared" si="16"/>
        <v>0</v>
      </c>
      <c r="DN19" s="5" t="s">
        <v>8</v>
      </c>
      <c r="DO19" s="1">
        <f t="shared" ref="DO19:DS25" si="17">-COUNTIF(DO$2:DO$12,$A19 &amp; "*") +$B19</f>
        <v>0</v>
      </c>
      <c r="DP19" s="1">
        <f t="shared" si="17"/>
        <v>0</v>
      </c>
      <c r="DQ19" s="1">
        <f t="shared" si="17"/>
        <v>0</v>
      </c>
      <c r="DR19" s="1">
        <f t="shared" si="17"/>
        <v>0</v>
      </c>
      <c r="DS19" s="1">
        <f t="shared" si="17"/>
        <v>3</v>
      </c>
      <c r="DU19" s="5" t="s">
        <v>8</v>
      </c>
      <c r="DV19" s="1">
        <f t="shared" ref="DV19:DZ25" si="18">-COUNTIF(DV$2:DV$12,$A19 &amp; "*") +$B19</f>
        <v>3</v>
      </c>
      <c r="DW19" s="1">
        <f t="shared" si="18"/>
        <v>3</v>
      </c>
      <c r="DX19" s="1">
        <f t="shared" si="18"/>
        <v>3</v>
      </c>
      <c r="DY19" s="1">
        <f t="shared" si="18"/>
        <v>3</v>
      </c>
      <c r="DZ19" s="1">
        <f t="shared" si="18"/>
        <v>3</v>
      </c>
      <c r="EB19" s="5" t="s">
        <v>8</v>
      </c>
      <c r="EC19" s="1">
        <f t="shared" ref="EC19:EG25" si="19">-COUNTIF(EC$2:EC$12,$A19 &amp; "*") +$B19</f>
        <v>3</v>
      </c>
      <c r="ED19" s="1">
        <f t="shared" si="19"/>
        <v>3</v>
      </c>
      <c r="EE19" s="1">
        <f t="shared" si="19"/>
        <v>3</v>
      </c>
      <c r="EF19" s="1">
        <f t="shared" si="19"/>
        <v>3</v>
      </c>
      <c r="EG19" s="1">
        <f t="shared" si="19"/>
        <v>3</v>
      </c>
    </row>
    <row r="20" spans="1:138" s="1" customFormat="1">
      <c r="A20" s="13" t="s">
        <v>11</v>
      </c>
      <c r="B20">
        <v>2</v>
      </c>
      <c r="C20" s="1">
        <f t="shared" si="0"/>
        <v>0</v>
      </c>
      <c r="D20" s="1">
        <f t="shared" si="0"/>
        <v>0</v>
      </c>
      <c r="F20" s="5" t="s">
        <v>11</v>
      </c>
      <c r="G20" s="1">
        <f t="shared" si="1"/>
        <v>0</v>
      </c>
      <c r="H20" s="1">
        <f t="shared" si="1"/>
        <v>0</v>
      </c>
      <c r="I20" s="1">
        <f t="shared" si="1"/>
        <v>0</v>
      </c>
      <c r="J20" s="1">
        <f t="shared" si="1"/>
        <v>1</v>
      </c>
      <c r="K20" s="1">
        <f t="shared" si="1"/>
        <v>0</v>
      </c>
      <c r="M20" s="5" t="s">
        <v>11</v>
      </c>
      <c r="N20" s="1">
        <f t="shared" si="2"/>
        <v>0</v>
      </c>
      <c r="O20" s="1">
        <f t="shared" si="2"/>
        <v>0</v>
      </c>
      <c r="P20" s="1">
        <f t="shared" si="2"/>
        <v>0</v>
      </c>
      <c r="Q20" s="1">
        <f t="shared" si="2"/>
        <v>0</v>
      </c>
      <c r="R20" s="1">
        <f t="shared" si="2"/>
        <v>0</v>
      </c>
      <c r="T20" s="5" t="s">
        <v>11</v>
      </c>
      <c r="U20" s="1">
        <f t="shared" si="3"/>
        <v>0</v>
      </c>
      <c r="V20" s="1">
        <f t="shared" si="3"/>
        <v>0</v>
      </c>
      <c r="W20" s="1">
        <f t="shared" si="3"/>
        <v>0</v>
      </c>
      <c r="X20" s="1">
        <f t="shared" si="3"/>
        <v>0</v>
      </c>
      <c r="Y20" s="1">
        <f t="shared" si="3"/>
        <v>-1</v>
      </c>
      <c r="AA20" s="5" t="s">
        <v>11</v>
      </c>
      <c r="AB20" s="1">
        <f t="shared" si="4"/>
        <v>0</v>
      </c>
      <c r="AC20" s="1">
        <f t="shared" si="4"/>
        <v>0</v>
      </c>
      <c r="AD20" s="1">
        <f t="shared" si="4"/>
        <v>0</v>
      </c>
      <c r="AE20" s="1">
        <f t="shared" si="4"/>
        <v>0</v>
      </c>
      <c r="AF20" s="1">
        <f t="shared" si="4"/>
        <v>0</v>
      </c>
      <c r="AH20" s="5" t="s">
        <v>11</v>
      </c>
      <c r="AI20" s="1">
        <f t="shared" si="5"/>
        <v>1</v>
      </c>
      <c r="AJ20" s="1">
        <f t="shared" si="5"/>
        <v>1</v>
      </c>
      <c r="AK20" s="1">
        <f t="shared" si="5"/>
        <v>1</v>
      </c>
      <c r="AL20" s="1">
        <f t="shared" si="5"/>
        <v>1</v>
      </c>
      <c r="AM20" s="1">
        <f t="shared" si="5"/>
        <v>1</v>
      </c>
      <c r="AO20" s="5" t="s">
        <v>11</v>
      </c>
      <c r="AP20" s="1">
        <f t="shared" si="6"/>
        <v>2</v>
      </c>
      <c r="AQ20" s="1">
        <f t="shared" si="6"/>
        <v>1</v>
      </c>
      <c r="AR20" s="1">
        <f t="shared" si="6"/>
        <v>1</v>
      </c>
      <c r="AS20" s="1">
        <f t="shared" si="6"/>
        <v>1</v>
      </c>
      <c r="AT20" s="1">
        <f t="shared" si="6"/>
        <v>1</v>
      </c>
      <c r="AV20" s="5" t="s">
        <v>11</v>
      </c>
      <c r="AW20" s="1">
        <f t="shared" si="7"/>
        <v>1</v>
      </c>
      <c r="AX20" s="1">
        <f t="shared" si="7"/>
        <v>1</v>
      </c>
      <c r="AY20" s="1">
        <f t="shared" si="7"/>
        <v>1</v>
      </c>
      <c r="AZ20" s="1">
        <f t="shared" si="7"/>
        <v>1</v>
      </c>
      <c r="BA20" s="1">
        <f t="shared" si="7"/>
        <v>1</v>
      </c>
      <c r="BC20" s="5" t="s">
        <v>11</v>
      </c>
      <c r="BD20" s="1">
        <f t="shared" si="8"/>
        <v>1</v>
      </c>
      <c r="BE20" s="1">
        <f t="shared" si="8"/>
        <v>1</v>
      </c>
      <c r="BF20" s="1">
        <f t="shared" si="8"/>
        <v>0</v>
      </c>
      <c r="BG20" s="1">
        <f t="shared" si="8"/>
        <v>0</v>
      </c>
      <c r="BH20" s="1">
        <f t="shared" si="8"/>
        <v>1</v>
      </c>
      <c r="BJ20" s="5" t="s">
        <v>11</v>
      </c>
      <c r="BK20" s="1">
        <f t="shared" si="9"/>
        <v>0</v>
      </c>
      <c r="BL20" s="1">
        <f t="shared" si="9"/>
        <v>0</v>
      </c>
      <c r="BM20" s="1">
        <f t="shared" si="9"/>
        <v>0</v>
      </c>
      <c r="BN20" s="1">
        <f t="shared" si="9"/>
        <v>0</v>
      </c>
      <c r="BO20" s="1">
        <f t="shared" si="9"/>
        <v>0</v>
      </c>
      <c r="BQ20" s="5" t="s">
        <v>11</v>
      </c>
      <c r="BR20" s="1">
        <f t="shared" si="10"/>
        <v>0</v>
      </c>
      <c r="BS20" s="1">
        <f t="shared" si="10"/>
        <v>0</v>
      </c>
      <c r="BT20" s="1">
        <f t="shared" si="10"/>
        <v>1</v>
      </c>
      <c r="BU20" s="1">
        <f t="shared" si="10"/>
        <v>0</v>
      </c>
      <c r="BV20" s="1">
        <f t="shared" si="10"/>
        <v>0</v>
      </c>
      <c r="BX20" s="5" t="s">
        <v>11</v>
      </c>
      <c r="BY20" s="1">
        <f t="shared" si="11"/>
        <v>0</v>
      </c>
      <c r="BZ20" s="1">
        <f t="shared" si="11"/>
        <v>0</v>
      </c>
      <c r="CA20" s="1">
        <f t="shared" si="11"/>
        <v>0</v>
      </c>
      <c r="CB20" s="1">
        <f t="shared" si="11"/>
        <v>1</v>
      </c>
      <c r="CC20" s="1">
        <f t="shared" si="11"/>
        <v>1</v>
      </c>
      <c r="CE20" s="5" t="s">
        <v>11</v>
      </c>
      <c r="CF20" s="1">
        <f t="shared" si="12"/>
        <v>1</v>
      </c>
      <c r="CG20" s="1">
        <f t="shared" si="12"/>
        <v>0</v>
      </c>
      <c r="CH20" s="1">
        <f t="shared" si="12"/>
        <v>1</v>
      </c>
      <c r="CI20" s="1">
        <f t="shared" si="12"/>
        <v>1</v>
      </c>
      <c r="CJ20" s="1">
        <f t="shared" si="12"/>
        <v>1</v>
      </c>
      <c r="CL20" s="5" t="s">
        <v>11</v>
      </c>
      <c r="CM20" s="1">
        <f t="shared" si="13"/>
        <v>0</v>
      </c>
      <c r="CN20" s="1">
        <f t="shared" si="13"/>
        <v>0</v>
      </c>
      <c r="CO20" s="1">
        <f t="shared" si="13"/>
        <v>0</v>
      </c>
      <c r="CP20" s="1">
        <f t="shared" si="13"/>
        <v>0</v>
      </c>
      <c r="CQ20" s="1">
        <f t="shared" si="13"/>
        <v>0</v>
      </c>
      <c r="CS20" s="5" t="s">
        <v>11</v>
      </c>
      <c r="CT20" s="1">
        <f t="shared" si="14"/>
        <v>0</v>
      </c>
      <c r="CU20" s="1">
        <f t="shared" si="14"/>
        <v>0</v>
      </c>
      <c r="CV20" s="1">
        <f t="shared" si="14"/>
        <v>0</v>
      </c>
      <c r="CW20" s="1">
        <f t="shared" si="14"/>
        <v>0</v>
      </c>
      <c r="CX20" s="1">
        <f t="shared" si="14"/>
        <v>0</v>
      </c>
      <c r="CZ20" s="5" t="s">
        <v>11</v>
      </c>
      <c r="DA20" s="1">
        <f t="shared" si="15"/>
        <v>0</v>
      </c>
      <c r="DB20" s="1">
        <f t="shared" si="15"/>
        <v>0</v>
      </c>
      <c r="DC20" s="1">
        <f t="shared" si="15"/>
        <v>0</v>
      </c>
      <c r="DD20" s="1">
        <f t="shared" si="15"/>
        <v>0</v>
      </c>
      <c r="DE20" s="1">
        <f t="shared" si="15"/>
        <v>0</v>
      </c>
      <c r="DG20" s="5" t="s">
        <v>11</v>
      </c>
      <c r="DH20" s="1">
        <f t="shared" si="16"/>
        <v>0</v>
      </c>
      <c r="DI20" s="1">
        <f t="shared" si="16"/>
        <v>0</v>
      </c>
      <c r="DJ20" s="1">
        <f t="shared" si="16"/>
        <v>0</v>
      </c>
      <c r="DK20" s="1">
        <f t="shared" si="16"/>
        <v>0</v>
      </c>
      <c r="DL20" s="1">
        <f t="shared" si="16"/>
        <v>0</v>
      </c>
      <c r="DN20" s="5" t="s">
        <v>11</v>
      </c>
      <c r="DO20" s="1">
        <f t="shared" si="17"/>
        <v>0</v>
      </c>
      <c r="DP20" s="1">
        <f t="shared" si="17"/>
        <v>0</v>
      </c>
      <c r="DQ20" s="1">
        <f t="shared" si="17"/>
        <v>0</v>
      </c>
      <c r="DR20" s="1">
        <f t="shared" si="17"/>
        <v>0</v>
      </c>
      <c r="DS20" s="1">
        <f t="shared" si="17"/>
        <v>2</v>
      </c>
      <c r="DU20" s="5" t="s">
        <v>11</v>
      </c>
      <c r="DV20" s="1">
        <f t="shared" si="18"/>
        <v>2</v>
      </c>
      <c r="DW20" s="1">
        <f t="shared" si="18"/>
        <v>2</v>
      </c>
      <c r="DX20" s="1">
        <f t="shared" si="18"/>
        <v>2</v>
      </c>
      <c r="DY20" s="1">
        <f t="shared" si="18"/>
        <v>2</v>
      </c>
      <c r="DZ20" s="1">
        <f t="shared" si="18"/>
        <v>2</v>
      </c>
      <c r="EB20" s="5" t="s">
        <v>11</v>
      </c>
      <c r="EC20" s="1">
        <f t="shared" si="19"/>
        <v>2</v>
      </c>
      <c r="ED20" s="1">
        <f t="shared" si="19"/>
        <v>2</v>
      </c>
      <c r="EE20" s="1">
        <f t="shared" si="19"/>
        <v>2</v>
      </c>
      <c r="EF20" s="1">
        <f t="shared" si="19"/>
        <v>2</v>
      </c>
      <c r="EG20" s="1">
        <f t="shared" si="19"/>
        <v>2</v>
      </c>
    </row>
    <row r="21" spans="1:138" s="1" customFormat="1">
      <c r="A21" s="13" t="s">
        <v>10</v>
      </c>
      <c r="B21">
        <v>2</v>
      </c>
      <c r="C21" s="1">
        <f t="shared" si="0"/>
        <v>0</v>
      </c>
      <c r="D21" s="1">
        <f t="shared" si="0"/>
        <v>0</v>
      </c>
      <c r="F21" s="5" t="s">
        <v>10</v>
      </c>
      <c r="G21" s="1">
        <f t="shared" si="1"/>
        <v>0</v>
      </c>
      <c r="H21" s="1">
        <f t="shared" si="1"/>
        <v>0</v>
      </c>
      <c r="I21" s="1">
        <f t="shared" si="1"/>
        <v>0</v>
      </c>
      <c r="J21" s="1">
        <f t="shared" si="1"/>
        <v>0</v>
      </c>
      <c r="K21" s="1">
        <f t="shared" si="1"/>
        <v>0</v>
      </c>
      <c r="M21" s="5" t="s">
        <v>10</v>
      </c>
      <c r="N21" s="1">
        <f t="shared" si="2"/>
        <v>0</v>
      </c>
      <c r="O21" s="1">
        <f t="shared" si="2"/>
        <v>0</v>
      </c>
      <c r="P21" s="1">
        <f t="shared" si="2"/>
        <v>0</v>
      </c>
      <c r="Q21" s="1">
        <f t="shared" si="2"/>
        <v>0</v>
      </c>
      <c r="R21" s="1">
        <f t="shared" si="2"/>
        <v>0</v>
      </c>
      <c r="T21" s="5" t="s">
        <v>10</v>
      </c>
      <c r="U21" s="1">
        <f t="shared" si="3"/>
        <v>0</v>
      </c>
      <c r="V21" s="1">
        <f t="shared" si="3"/>
        <v>0</v>
      </c>
      <c r="W21" s="1">
        <f t="shared" si="3"/>
        <v>0</v>
      </c>
      <c r="X21" s="1">
        <f t="shared" si="3"/>
        <v>0</v>
      </c>
      <c r="Y21" s="1">
        <f t="shared" si="3"/>
        <v>1</v>
      </c>
      <c r="AA21" s="5" t="s">
        <v>10</v>
      </c>
      <c r="AB21" s="1">
        <f t="shared" si="4"/>
        <v>0</v>
      </c>
      <c r="AC21" s="1">
        <f t="shared" si="4"/>
        <v>0</v>
      </c>
      <c r="AD21" s="1">
        <f t="shared" si="4"/>
        <v>0</v>
      </c>
      <c r="AE21" s="1">
        <f t="shared" si="4"/>
        <v>0</v>
      </c>
      <c r="AF21" s="1">
        <f t="shared" si="4"/>
        <v>0</v>
      </c>
      <c r="AH21" s="5" t="s">
        <v>10</v>
      </c>
      <c r="AI21" s="1">
        <f t="shared" si="5"/>
        <v>0</v>
      </c>
      <c r="AJ21" s="1">
        <f t="shared" si="5"/>
        <v>0</v>
      </c>
      <c r="AK21" s="1">
        <f t="shared" si="5"/>
        <v>0</v>
      </c>
      <c r="AL21" s="1">
        <f t="shared" si="5"/>
        <v>0</v>
      </c>
      <c r="AM21" s="1">
        <f t="shared" si="5"/>
        <v>1</v>
      </c>
      <c r="AO21" s="5" t="s">
        <v>10</v>
      </c>
      <c r="AP21" s="1">
        <f t="shared" si="6"/>
        <v>0</v>
      </c>
      <c r="AQ21" s="1">
        <f t="shared" si="6"/>
        <v>0</v>
      </c>
      <c r="AR21" s="1">
        <f t="shared" si="6"/>
        <v>0</v>
      </c>
      <c r="AS21" s="1">
        <f t="shared" si="6"/>
        <v>0</v>
      </c>
      <c r="AT21" s="1">
        <f t="shared" si="6"/>
        <v>0</v>
      </c>
      <c r="AV21" s="5" t="s">
        <v>10</v>
      </c>
      <c r="AW21" s="1">
        <f t="shared" si="7"/>
        <v>0</v>
      </c>
      <c r="AX21" s="1">
        <f t="shared" si="7"/>
        <v>0</v>
      </c>
      <c r="AY21" s="1">
        <f t="shared" si="7"/>
        <v>0</v>
      </c>
      <c r="AZ21" s="1">
        <f t="shared" si="7"/>
        <v>0</v>
      </c>
      <c r="BA21" s="1">
        <f t="shared" si="7"/>
        <v>0</v>
      </c>
      <c r="BC21" s="5" t="s">
        <v>10</v>
      </c>
      <c r="BD21" s="1">
        <f t="shared" si="8"/>
        <v>0</v>
      </c>
      <c r="BE21" s="1">
        <f t="shared" si="8"/>
        <v>0</v>
      </c>
      <c r="BF21" s="1">
        <f t="shared" si="8"/>
        <v>0</v>
      </c>
      <c r="BG21" s="1">
        <f t="shared" si="8"/>
        <v>0</v>
      </c>
      <c r="BH21" s="1">
        <f t="shared" si="8"/>
        <v>0</v>
      </c>
      <c r="BJ21" s="5" t="s">
        <v>10</v>
      </c>
      <c r="BK21" s="1">
        <f t="shared" si="9"/>
        <v>0</v>
      </c>
      <c r="BL21" s="1">
        <f t="shared" si="9"/>
        <v>0</v>
      </c>
      <c r="BM21" s="1">
        <f t="shared" si="9"/>
        <v>0</v>
      </c>
      <c r="BN21" s="1">
        <f t="shared" si="9"/>
        <v>0</v>
      </c>
      <c r="BO21" s="1">
        <f t="shared" si="9"/>
        <v>0</v>
      </c>
      <c r="BQ21" s="5" t="s">
        <v>10</v>
      </c>
      <c r="BR21" s="1">
        <f t="shared" si="10"/>
        <v>0</v>
      </c>
      <c r="BS21" s="1">
        <f t="shared" si="10"/>
        <v>0</v>
      </c>
      <c r="BT21" s="1">
        <f t="shared" si="10"/>
        <v>0</v>
      </c>
      <c r="BU21" s="1">
        <f t="shared" si="10"/>
        <v>0</v>
      </c>
      <c r="BV21" s="1">
        <f t="shared" si="10"/>
        <v>0</v>
      </c>
      <c r="BX21" s="5" t="s">
        <v>10</v>
      </c>
      <c r="BY21" s="1">
        <f t="shared" si="11"/>
        <v>0</v>
      </c>
      <c r="BZ21" s="1">
        <f t="shared" si="11"/>
        <v>0</v>
      </c>
      <c r="CA21" s="1">
        <f t="shared" si="11"/>
        <v>0</v>
      </c>
      <c r="CB21" s="1">
        <f t="shared" si="11"/>
        <v>0</v>
      </c>
      <c r="CC21" s="1">
        <f t="shared" si="11"/>
        <v>0</v>
      </c>
      <c r="CE21" s="5" t="s">
        <v>10</v>
      </c>
      <c r="CF21" s="1">
        <f t="shared" si="12"/>
        <v>0</v>
      </c>
      <c r="CG21" s="1">
        <f t="shared" si="12"/>
        <v>0</v>
      </c>
      <c r="CH21" s="1">
        <f t="shared" si="12"/>
        <v>0</v>
      </c>
      <c r="CI21" s="1">
        <f t="shared" si="12"/>
        <v>0</v>
      </c>
      <c r="CJ21" s="1">
        <f t="shared" si="12"/>
        <v>0</v>
      </c>
      <c r="CL21" s="5" t="s">
        <v>10</v>
      </c>
      <c r="CM21" s="1">
        <f t="shared" si="13"/>
        <v>0</v>
      </c>
      <c r="CN21" s="1">
        <f t="shared" si="13"/>
        <v>0</v>
      </c>
      <c r="CO21" s="1">
        <f t="shared" si="13"/>
        <v>0</v>
      </c>
      <c r="CP21" s="1">
        <f t="shared" si="13"/>
        <v>0</v>
      </c>
      <c r="CQ21" s="1">
        <f t="shared" si="13"/>
        <v>0</v>
      </c>
      <c r="CS21" s="5" t="s">
        <v>10</v>
      </c>
      <c r="CT21" s="1">
        <f t="shared" si="14"/>
        <v>0</v>
      </c>
      <c r="CU21" s="1">
        <f t="shared" si="14"/>
        <v>0</v>
      </c>
      <c r="CV21" s="1">
        <f t="shared" si="14"/>
        <v>0</v>
      </c>
      <c r="CW21" s="1">
        <f t="shared" si="14"/>
        <v>0</v>
      </c>
      <c r="CX21" s="1">
        <f t="shared" si="14"/>
        <v>0</v>
      </c>
      <c r="CZ21" s="5" t="s">
        <v>10</v>
      </c>
      <c r="DA21" s="1">
        <f t="shared" si="15"/>
        <v>0</v>
      </c>
      <c r="DB21" s="1">
        <f t="shared" si="15"/>
        <v>0</v>
      </c>
      <c r="DC21" s="1">
        <f t="shared" si="15"/>
        <v>0</v>
      </c>
      <c r="DD21" s="1">
        <f t="shared" si="15"/>
        <v>0</v>
      </c>
      <c r="DE21" s="1">
        <f t="shared" si="15"/>
        <v>0</v>
      </c>
      <c r="DG21" s="5" t="s">
        <v>10</v>
      </c>
      <c r="DH21" s="1">
        <f t="shared" si="16"/>
        <v>0</v>
      </c>
      <c r="DI21" s="1">
        <f t="shared" si="16"/>
        <v>0</v>
      </c>
      <c r="DJ21" s="1">
        <f t="shared" si="16"/>
        <v>0</v>
      </c>
      <c r="DK21" s="1">
        <f t="shared" si="16"/>
        <v>0</v>
      </c>
      <c r="DL21" s="1">
        <f t="shared" si="16"/>
        <v>0</v>
      </c>
      <c r="DN21" s="5" t="s">
        <v>10</v>
      </c>
      <c r="DO21" s="1">
        <f t="shared" si="17"/>
        <v>0</v>
      </c>
      <c r="DP21" s="1">
        <f t="shared" si="17"/>
        <v>0</v>
      </c>
      <c r="DQ21" s="1">
        <f t="shared" si="17"/>
        <v>0</v>
      </c>
      <c r="DR21" s="1">
        <f t="shared" si="17"/>
        <v>0</v>
      </c>
      <c r="DS21" s="1">
        <f t="shared" si="17"/>
        <v>2</v>
      </c>
      <c r="DU21" s="5" t="s">
        <v>10</v>
      </c>
      <c r="DV21" s="1">
        <f t="shared" si="18"/>
        <v>2</v>
      </c>
      <c r="DW21" s="1">
        <f t="shared" si="18"/>
        <v>2</v>
      </c>
      <c r="DX21" s="1">
        <f t="shared" si="18"/>
        <v>2</v>
      </c>
      <c r="DY21" s="1">
        <f t="shared" si="18"/>
        <v>2</v>
      </c>
      <c r="DZ21" s="1">
        <f t="shared" si="18"/>
        <v>2</v>
      </c>
      <c r="EB21" s="5" t="s">
        <v>10</v>
      </c>
      <c r="EC21" s="1">
        <f t="shared" si="19"/>
        <v>2</v>
      </c>
      <c r="ED21" s="1">
        <f t="shared" si="19"/>
        <v>2</v>
      </c>
      <c r="EE21" s="1">
        <f t="shared" si="19"/>
        <v>2</v>
      </c>
      <c r="EF21" s="1">
        <f t="shared" si="19"/>
        <v>2</v>
      </c>
      <c r="EG21" s="1">
        <f t="shared" si="19"/>
        <v>2</v>
      </c>
    </row>
    <row r="22" spans="1:138">
      <c r="A22" s="13" t="s">
        <v>7</v>
      </c>
      <c r="B22">
        <v>1</v>
      </c>
      <c r="C22" s="1">
        <f t="shared" si="0"/>
        <v>0</v>
      </c>
      <c r="D22" s="1">
        <f t="shared" si="0"/>
        <v>0</v>
      </c>
      <c r="F22" s="5" t="s">
        <v>7</v>
      </c>
      <c r="G22" s="1">
        <f t="shared" si="1"/>
        <v>0</v>
      </c>
      <c r="H22" s="1">
        <f t="shared" si="1"/>
        <v>0</v>
      </c>
      <c r="I22" s="1">
        <f t="shared" si="1"/>
        <v>0</v>
      </c>
      <c r="J22" s="1">
        <f t="shared" si="1"/>
        <v>0</v>
      </c>
      <c r="K22" s="1">
        <f t="shared" si="1"/>
        <v>0</v>
      </c>
      <c r="M22" s="5" t="s">
        <v>7</v>
      </c>
      <c r="N22" s="1">
        <f t="shared" si="2"/>
        <v>0</v>
      </c>
      <c r="O22" s="1">
        <f t="shared" si="2"/>
        <v>0</v>
      </c>
      <c r="P22" s="1">
        <f t="shared" si="2"/>
        <v>0</v>
      </c>
      <c r="Q22" s="1">
        <f t="shared" si="2"/>
        <v>0</v>
      </c>
      <c r="R22" s="1">
        <f t="shared" si="2"/>
        <v>0</v>
      </c>
      <c r="T22" s="5" t="s">
        <v>7</v>
      </c>
      <c r="U22" s="1">
        <f t="shared" si="3"/>
        <v>0</v>
      </c>
      <c r="V22" s="1">
        <f t="shared" si="3"/>
        <v>0</v>
      </c>
      <c r="W22" s="1">
        <f t="shared" si="3"/>
        <v>0</v>
      </c>
      <c r="X22" s="1">
        <f t="shared" si="3"/>
        <v>0</v>
      </c>
      <c r="Y22" s="1">
        <f t="shared" si="3"/>
        <v>0</v>
      </c>
      <c r="AA22" s="5" t="s">
        <v>7</v>
      </c>
      <c r="AB22" s="1">
        <f t="shared" si="4"/>
        <v>0</v>
      </c>
      <c r="AC22" s="1">
        <f t="shared" si="4"/>
        <v>0</v>
      </c>
      <c r="AD22" s="1">
        <f t="shared" si="4"/>
        <v>0</v>
      </c>
      <c r="AE22" s="1">
        <f t="shared" si="4"/>
        <v>0</v>
      </c>
      <c r="AF22" s="1">
        <f t="shared" si="4"/>
        <v>0</v>
      </c>
      <c r="AH22" s="5" t="s">
        <v>7</v>
      </c>
      <c r="AI22" s="1">
        <f t="shared" si="5"/>
        <v>0</v>
      </c>
      <c r="AJ22" s="1">
        <f t="shared" si="5"/>
        <v>1</v>
      </c>
      <c r="AK22" s="1">
        <f t="shared" si="5"/>
        <v>0</v>
      </c>
      <c r="AL22" s="1">
        <f t="shared" si="5"/>
        <v>0</v>
      </c>
      <c r="AM22" s="1">
        <f t="shared" si="5"/>
        <v>0</v>
      </c>
      <c r="AO22" s="5" t="s">
        <v>7</v>
      </c>
      <c r="AP22" s="1">
        <f t="shared" si="6"/>
        <v>-1</v>
      </c>
      <c r="AQ22" s="1">
        <f t="shared" si="6"/>
        <v>-1</v>
      </c>
      <c r="AR22" s="1">
        <f t="shared" si="6"/>
        <v>-1</v>
      </c>
      <c r="AS22" s="1">
        <f t="shared" si="6"/>
        <v>-1</v>
      </c>
      <c r="AT22" s="1">
        <f t="shared" si="6"/>
        <v>-1</v>
      </c>
      <c r="AV22" s="5" t="s">
        <v>7</v>
      </c>
      <c r="AW22" s="1">
        <f t="shared" si="7"/>
        <v>-1</v>
      </c>
      <c r="AX22" s="1">
        <f t="shared" si="7"/>
        <v>-1</v>
      </c>
      <c r="AY22" s="1">
        <f t="shared" si="7"/>
        <v>-1</v>
      </c>
      <c r="AZ22" s="1">
        <f t="shared" si="7"/>
        <v>-1</v>
      </c>
      <c r="BA22" s="1">
        <f t="shared" si="7"/>
        <v>-1</v>
      </c>
      <c r="BC22" s="5" t="s">
        <v>7</v>
      </c>
      <c r="BD22" s="1">
        <f t="shared" si="8"/>
        <v>-1</v>
      </c>
      <c r="BE22" s="1">
        <f t="shared" si="8"/>
        <v>-1</v>
      </c>
      <c r="BF22" s="1">
        <f t="shared" si="8"/>
        <v>-1</v>
      </c>
      <c r="BG22" s="1">
        <f t="shared" si="8"/>
        <v>-1</v>
      </c>
      <c r="BH22" s="1">
        <f t="shared" si="8"/>
        <v>-1</v>
      </c>
      <c r="BI22" s="1"/>
      <c r="BJ22" s="5" t="s">
        <v>7</v>
      </c>
      <c r="BK22" s="1">
        <f t="shared" si="9"/>
        <v>0</v>
      </c>
      <c r="BL22" s="1">
        <f t="shared" si="9"/>
        <v>0</v>
      </c>
      <c r="BM22" s="1">
        <f t="shared" si="9"/>
        <v>0</v>
      </c>
      <c r="BN22" s="1">
        <f t="shared" si="9"/>
        <v>0</v>
      </c>
      <c r="BO22" s="1">
        <f t="shared" si="9"/>
        <v>0</v>
      </c>
      <c r="BP22" s="1"/>
      <c r="BQ22" s="5" t="s">
        <v>7</v>
      </c>
      <c r="BR22" s="1">
        <f t="shared" si="10"/>
        <v>0</v>
      </c>
      <c r="BS22" s="1">
        <f t="shared" si="10"/>
        <v>0</v>
      </c>
      <c r="BT22" s="1">
        <f t="shared" si="10"/>
        <v>0</v>
      </c>
      <c r="BU22" s="1">
        <f t="shared" si="10"/>
        <v>0</v>
      </c>
      <c r="BV22" s="1">
        <f t="shared" si="10"/>
        <v>0</v>
      </c>
      <c r="BW22" s="1"/>
      <c r="BX22" s="5" t="s">
        <v>7</v>
      </c>
      <c r="BY22" s="1">
        <f t="shared" si="11"/>
        <v>0</v>
      </c>
      <c r="BZ22" s="1">
        <f t="shared" si="11"/>
        <v>0</v>
      </c>
      <c r="CA22" s="1">
        <f t="shared" si="11"/>
        <v>0</v>
      </c>
      <c r="CB22" s="1">
        <f t="shared" si="11"/>
        <v>0</v>
      </c>
      <c r="CC22" s="1">
        <f t="shared" si="11"/>
        <v>0</v>
      </c>
      <c r="CD22" s="1"/>
      <c r="CE22" s="5" t="s">
        <v>7</v>
      </c>
      <c r="CF22" s="1">
        <f t="shared" si="12"/>
        <v>0</v>
      </c>
      <c r="CG22" s="1">
        <f t="shared" si="12"/>
        <v>0</v>
      </c>
      <c r="CH22" s="1">
        <f t="shared" si="12"/>
        <v>0</v>
      </c>
      <c r="CI22" s="1">
        <f t="shared" si="12"/>
        <v>0</v>
      </c>
      <c r="CJ22" s="1">
        <f t="shared" si="12"/>
        <v>0</v>
      </c>
      <c r="CK22" s="1"/>
      <c r="CL22" s="5" t="s">
        <v>7</v>
      </c>
      <c r="CM22" s="1">
        <f t="shared" si="13"/>
        <v>0</v>
      </c>
      <c r="CN22" s="1">
        <f t="shared" si="13"/>
        <v>0</v>
      </c>
      <c r="CO22" s="1">
        <f t="shared" si="13"/>
        <v>0</v>
      </c>
      <c r="CP22" s="1">
        <f t="shared" si="13"/>
        <v>0</v>
      </c>
      <c r="CQ22" s="1">
        <f t="shared" si="13"/>
        <v>0</v>
      </c>
      <c r="CR22" s="1"/>
      <c r="CS22" s="5" t="s">
        <v>7</v>
      </c>
      <c r="CT22" s="1">
        <f t="shared" si="14"/>
        <v>0</v>
      </c>
      <c r="CU22" s="1">
        <f t="shared" si="14"/>
        <v>0</v>
      </c>
      <c r="CV22" s="1">
        <f t="shared" si="14"/>
        <v>0</v>
      </c>
      <c r="CW22" s="1">
        <f t="shared" si="14"/>
        <v>0</v>
      </c>
      <c r="CX22" s="1">
        <f t="shared" si="14"/>
        <v>0</v>
      </c>
      <c r="CY22" s="1"/>
      <c r="CZ22" s="5" t="s">
        <v>7</v>
      </c>
      <c r="DA22" s="1">
        <f t="shared" si="15"/>
        <v>0</v>
      </c>
      <c r="DB22" s="1">
        <f t="shared" si="15"/>
        <v>0</v>
      </c>
      <c r="DC22" s="1">
        <f t="shared" si="15"/>
        <v>0</v>
      </c>
      <c r="DD22" s="1">
        <f t="shared" si="15"/>
        <v>0</v>
      </c>
      <c r="DE22" s="1">
        <f t="shared" si="15"/>
        <v>0</v>
      </c>
      <c r="DF22" s="1"/>
      <c r="DG22" s="5" t="s">
        <v>7</v>
      </c>
      <c r="DH22" s="1">
        <f t="shared" si="16"/>
        <v>0</v>
      </c>
      <c r="DI22" s="1">
        <f t="shared" si="16"/>
        <v>0</v>
      </c>
      <c r="DJ22" s="1">
        <f t="shared" si="16"/>
        <v>0</v>
      </c>
      <c r="DK22" s="1">
        <f t="shared" si="16"/>
        <v>0</v>
      </c>
      <c r="DL22" s="1">
        <f t="shared" si="16"/>
        <v>0</v>
      </c>
      <c r="DM22" s="1"/>
      <c r="DN22" s="5" t="s">
        <v>7</v>
      </c>
      <c r="DO22" s="1">
        <f t="shared" si="17"/>
        <v>0</v>
      </c>
      <c r="DP22" s="1">
        <f t="shared" si="17"/>
        <v>0</v>
      </c>
      <c r="DQ22" s="1">
        <f t="shared" si="17"/>
        <v>0</v>
      </c>
      <c r="DR22" s="1">
        <f t="shared" si="17"/>
        <v>0</v>
      </c>
      <c r="DS22" s="1">
        <f t="shared" si="17"/>
        <v>1</v>
      </c>
      <c r="DT22" s="1"/>
      <c r="DU22" s="5" t="s">
        <v>7</v>
      </c>
      <c r="DV22" s="1">
        <f t="shared" si="18"/>
        <v>1</v>
      </c>
      <c r="DW22" s="1">
        <f t="shared" si="18"/>
        <v>1</v>
      </c>
      <c r="DX22" s="1">
        <f t="shared" si="18"/>
        <v>1</v>
      </c>
      <c r="DY22" s="1">
        <f t="shared" si="18"/>
        <v>1</v>
      </c>
      <c r="DZ22" s="1">
        <f t="shared" si="18"/>
        <v>1</v>
      </c>
      <c r="EA22" s="1"/>
      <c r="EB22" s="5" t="s">
        <v>7</v>
      </c>
      <c r="EC22" s="1">
        <f t="shared" si="19"/>
        <v>1</v>
      </c>
      <c r="ED22" s="1">
        <f t="shared" si="19"/>
        <v>1</v>
      </c>
      <c r="EE22" s="1">
        <f t="shared" si="19"/>
        <v>1</v>
      </c>
      <c r="EF22" s="1">
        <f t="shared" si="19"/>
        <v>1</v>
      </c>
      <c r="EG22" s="1">
        <f t="shared" si="19"/>
        <v>1</v>
      </c>
      <c r="EH22" s="1"/>
    </row>
    <row r="23" spans="1:138">
      <c r="A23" s="13" t="s">
        <v>12</v>
      </c>
      <c r="B23">
        <v>1</v>
      </c>
      <c r="C23" s="1">
        <f t="shared" si="0"/>
        <v>0</v>
      </c>
      <c r="D23" s="1">
        <f t="shared" si="0"/>
        <v>0</v>
      </c>
      <c r="F23" s="5" t="s">
        <v>12</v>
      </c>
      <c r="G23" s="1">
        <f t="shared" si="1"/>
        <v>1</v>
      </c>
      <c r="H23" s="1">
        <f t="shared" si="1"/>
        <v>0</v>
      </c>
      <c r="I23" s="1">
        <f t="shared" si="1"/>
        <v>0</v>
      </c>
      <c r="J23" s="1">
        <f t="shared" si="1"/>
        <v>0</v>
      </c>
      <c r="K23" s="1">
        <f t="shared" si="1"/>
        <v>0</v>
      </c>
      <c r="M23" s="5" t="s">
        <v>12</v>
      </c>
      <c r="N23" s="1">
        <f t="shared" si="2"/>
        <v>0</v>
      </c>
      <c r="O23" s="1">
        <f t="shared" si="2"/>
        <v>0</v>
      </c>
      <c r="P23" s="1">
        <f t="shared" si="2"/>
        <v>0</v>
      </c>
      <c r="Q23" s="1">
        <f t="shared" si="2"/>
        <v>0</v>
      </c>
      <c r="R23" s="1">
        <f t="shared" si="2"/>
        <v>0</v>
      </c>
      <c r="T23" s="5" t="s">
        <v>12</v>
      </c>
      <c r="U23" s="1">
        <f t="shared" si="3"/>
        <v>0</v>
      </c>
      <c r="V23" s="1">
        <f t="shared" si="3"/>
        <v>0</v>
      </c>
      <c r="W23" s="1">
        <f t="shared" si="3"/>
        <v>0</v>
      </c>
      <c r="X23" s="1">
        <f t="shared" si="3"/>
        <v>0</v>
      </c>
      <c r="Y23" s="1">
        <f t="shared" si="3"/>
        <v>0</v>
      </c>
      <c r="AA23" s="5" t="s">
        <v>12</v>
      </c>
      <c r="AB23" s="1">
        <f t="shared" si="4"/>
        <v>1</v>
      </c>
      <c r="AC23" s="1">
        <f t="shared" si="4"/>
        <v>1</v>
      </c>
      <c r="AD23" s="1">
        <f t="shared" si="4"/>
        <v>1</v>
      </c>
      <c r="AE23" s="1">
        <f t="shared" si="4"/>
        <v>1</v>
      </c>
      <c r="AF23" s="1">
        <f t="shared" si="4"/>
        <v>1</v>
      </c>
      <c r="AH23" s="5" t="s">
        <v>12</v>
      </c>
      <c r="AI23" s="1">
        <f t="shared" si="5"/>
        <v>0</v>
      </c>
      <c r="AJ23" s="1">
        <f t="shared" si="5"/>
        <v>0</v>
      </c>
      <c r="AK23" s="1">
        <f t="shared" si="5"/>
        <v>0</v>
      </c>
      <c r="AL23" s="1">
        <f t="shared" si="5"/>
        <v>0</v>
      </c>
      <c r="AM23" s="1">
        <f t="shared" si="5"/>
        <v>0</v>
      </c>
      <c r="AO23" s="5" t="s">
        <v>12</v>
      </c>
      <c r="AP23" s="1">
        <f t="shared" si="6"/>
        <v>0</v>
      </c>
      <c r="AQ23" s="1">
        <f t="shared" si="6"/>
        <v>0</v>
      </c>
      <c r="AR23" s="1">
        <f t="shared" si="6"/>
        <v>0</v>
      </c>
      <c r="AS23" s="1">
        <f t="shared" si="6"/>
        <v>0</v>
      </c>
      <c r="AT23" s="1">
        <f t="shared" si="6"/>
        <v>0</v>
      </c>
      <c r="AV23" s="5" t="s">
        <v>12</v>
      </c>
      <c r="AW23" s="1">
        <f t="shared" si="7"/>
        <v>0</v>
      </c>
      <c r="AX23" s="1">
        <f t="shared" si="7"/>
        <v>0</v>
      </c>
      <c r="AY23" s="1">
        <f t="shared" si="7"/>
        <v>0</v>
      </c>
      <c r="AZ23" s="1">
        <f t="shared" si="7"/>
        <v>0</v>
      </c>
      <c r="BA23" s="1">
        <f t="shared" si="7"/>
        <v>0</v>
      </c>
      <c r="BC23" s="5" t="s">
        <v>12</v>
      </c>
      <c r="BD23" s="1">
        <f t="shared" si="8"/>
        <v>0</v>
      </c>
      <c r="BE23" s="1">
        <f t="shared" si="8"/>
        <v>0</v>
      </c>
      <c r="BF23" s="1">
        <f t="shared" si="8"/>
        <v>0</v>
      </c>
      <c r="BG23" s="1">
        <f t="shared" si="8"/>
        <v>0</v>
      </c>
      <c r="BH23" s="1">
        <f t="shared" si="8"/>
        <v>0</v>
      </c>
      <c r="BI23" s="1"/>
      <c r="BJ23" s="5" t="s">
        <v>12</v>
      </c>
      <c r="BK23" s="1">
        <f t="shared" si="9"/>
        <v>0</v>
      </c>
      <c r="BL23" s="1">
        <f t="shared" si="9"/>
        <v>0</v>
      </c>
      <c r="BM23" s="1">
        <f t="shared" si="9"/>
        <v>0</v>
      </c>
      <c r="BN23" s="1">
        <f t="shared" si="9"/>
        <v>0</v>
      </c>
      <c r="BO23" s="1">
        <f t="shared" si="9"/>
        <v>0</v>
      </c>
      <c r="BP23" s="1"/>
      <c r="BQ23" s="5" t="s">
        <v>12</v>
      </c>
      <c r="BR23" s="1">
        <f t="shared" si="10"/>
        <v>0</v>
      </c>
      <c r="BS23" s="1">
        <f t="shared" si="10"/>
        <v>0</v>
      </c>
      <c r="BT23" s="1">
        <f t="shared" si="10"/>
        <v>0</v>
      </c>
      <c r="BU23" s="1">
        <f t="shared" si="10"/>
        <v>0</v>
      </c>
      <c r="BV23" s="1">
        <f t="shared" si="10"/>
        <v>0</v>
      </c>
      <c r="BW23" s="1"/>
      <c r="BX23" s="5" t="s">
        <v>12</v>
      </c>
      <c r="BY23" s="1">
        <f t="shared" si="11"/>
        <v>0</v>
      </c>
      <c r="BZ23" s="1">
        <f t="shared" si="11"/>
        <v>0</v>
      </c>
      <c r="CA23" s="1">
        <f t="shared" si="11"/>
        <v>0</v>
      </c>
      <c r="CB23" s="1">
        <f t="shared" si="11"/>
        <v>0</v>
      </c>
      <c r="CC23" s="1">
        <f t="shared" si="11"/>
        <v>0</v>
      </c>
      <c r="CD23" s="1"/>
      <c r="CE23" s="5" t="s">
        <v>12</v>
      </c>
      <c r="CF23" s="1">
        <f t="shared" si="12"/>
        <v>0</v>
      </c>
      <c r="CG23" s="1">
        <f t="shared" si="12"/>
        <v>0</v>
      </c>
      <c r="CH23" s="1">
        <f t="shared" si="12"/>
        <v>0</v>
      </c>
      <c r="CI23" s="1">
        <f t="shared" si="12"/>
        <v>0</v>
      </c>
      <c r="CJ23" s="1">
        <f t="shared" si="12"/>
        <v>0</v>
      </c>
      <c r="CK23" s="1"/>
      <c r="CL23" s="5" t="s">
        <v>12</v>
      </c>
      <c r="CM23" s="1">
        <f t="shared" si="13"/>
        <v>0</v>
      </c>
      <c r="CN23" s="1">
        <f t="shared" si="13"/>
        <v>0</v>
      </c>
      <c r="CO23" s="1">
        <f t="shared" si="13"/>
        <v>0</v>
      </c>
      <c r="CP23" s="1">
        <f t="shared" si="13"/>
        <v>0</v>
      </c>
      <c r="CQ23" s="1">
        <f t="shared" si="13"/>
        <v>0</v>
      </c>
      <c r="CR23" s="1"/>
      <c r="CS23" s="5" t="s">
        <v>12</v>
      </c>
      <c r="CT23" s="1">
        <f t="shared" si="14"/>
        <v>0</v>
      </c>
      <c r="CU23" s="1">
        <f t="shared" si="14"/>
        <v>0</v>
      </c>
      <c r="CV23" s="1">
        <f t="shared" si="14"/>
        <v>0</v>
      </c>
      <c r="CW23" s="1">
        <f t="shared" si="14"/>
        <v>0</v>
      </c>
      <c r="CX23" s="1">
        <f t="shared" si="14"/>
        <v>0</v>
      </c>
      <c r="CY23" s="1"/>
      <c r="CZ23" s="5" t="s">
        <v>12</v>
      </c>
      <c r="DA23" s="1">
        <f t="shared" si="15"/>
        <v>0</v>
      </c>
      <c r="DB23" s="1">
        <f t="shared" si="15"/>
        <v>0</v>
      </c>
      <c r="DC23" s="1">
        <f t="shared" si="15"/>
        <v>0</v>
      </c>
      <c r="DD23" s="1">
        <f t="shared" si="15"/>
        <v>0</v>
      </c>
      <c r="DE23" s="1">
        <f t="shared" si="15"/>
        <v>0</v>
      </c>
      <c r="DF23" s="1"/>
      <c r="DG23" s="5" t="s">
        <v>12</v>
      </c>
      <c r="DH23" s="1">
        <f t="shared" si="16"/>
        <v>0</v>
      </c>
      <c r="DI23" s="1">
        <f t="shared" si="16"/>
        <v>0</v>
      </c>
      <c r="DJ23" s="1">
        <f t="shared" si="16"/>
        <v>0</v>
      </c>
      <c r="DK23" s="1">
        <f t="shared" si="16"/>
        <v>0</v>
      </c>
      <c r="DL23" s="1">
        <f t="shared" si="16"/>
        <v>0</v>
      </c>
      <c r="DM23" s="1"/>
      <c r="DN23" s="5" t="s">
        <v>12</v>
      </c>
      <c r="DO23" s="1">
        <f t="shared" si="17"/>
        <v>0</v>
      </c>
      <c r="DP23" s="1">
        <f t="shared" si="17"/>
        <v>0</v>
      </c>
      <c r="DQ23" s="1">
        <f t="shared" si="17"/>
        <v>0</v>
      </c>
      <c r="DR23" s="1">
        <f t="shared" si="17"/>
        <v>0</v>
      </c>
      <c r="DS23" s="1">
        <f t="shared" si="17"/>
        <v>1</v>
      </c>
      <c r="DT23" s="1"/>
      <c r="DU23" s="5" t="s">
        <v>12</v>
      </c>
      <c r="DV23" s="1">
        <f t="shared" si="18"/>
        <v>1</v>
      </c>
      <c r="DW23" s="1">
        <f t="shared" si="18"/>
        <v>1</v>
      </c>
      <c r="DX23" s="1">
        <f t="shared" si="18"/>
        <v>1</v>
      </c>
      <c r="DY23" s="1">
        <f t="shared" si="18"/>
        <v>1</v>
      </c>
      <c r="DZ23" s="1">
        <f t="shared" si="18"/>
        <v>1</v>
      </c>
      <c r="EA23" s="1"/>
      <c r="EB23" s="5" t="s">
        <v>12</v>
      </c>
      <c r="EC23" s="1">
        <f t="shared" si="19"/>
        <v>1</v>
      </c>
      <c r="ED23" s="1">
        <f t="shared" si="19"/>
        <v>1</v>
      </c>
      <c r="EE23" s="1">
        <f t="shared" si="19"/>
        <v>1</v>
      </c>
      <c r="EF23" s="1">
        <f t="shared" si="19"/>
        <v>1</v>
      </c>
      <c r="EG23" s="1">
        <f t="shared" si="19"/>
        <v>1</v>
      </c>
      <c r="EH23" s="1"/>
    </row>
    <row r="24" spans="1:138">
      <c r="A24" s="13" t="s">
        <v>9</v>
      </c>
      <c r="B24">
        <v>1</v>
      </c>
      <c r="C24" s="1">
        <f t="shared" si="0"/>
        <v>0</v>
      </c>
      <c r="D24" s="1">
        <f t="shared" si="0"/>
        <v>0</v>
      </c>
      <c r="F24" s="5" t="s">
        <v>9</v>
      </c>
      <c r="G24" s="1">
        <f t="shared" si="1"/>
        <v>0</v>
      </c>
      <c r="H24" s="1">
        <f t="shared" si="1"/>
        <v>1</v>
      </c>
      <c r="I24" s="1">
        <f t="shared" si="1"/>
        <v>0</v>
      </c>
      <c r="J24" s="1">
        <f t="shared" si="1"/>
        <v>0</v>
      </c>
      <c r="K24" s="1">
        <f t="shared" si="1"/>
        <v>0</v>
      </c>
      <c r="M24" s="5" t="s">
        <v>9</v>
      </c>
      <c r="N24" s="1">
        <f t="shared" si="2"/>
        <v>1</v>
      </c>
      <c r="O24" s="1">
        <f t="shared" si="2"/>
        <v>1</v>
      </c>
      <c r="P24" s="1">
        <f t="shared" si="2"/>
        <v>0</v>
      </c>
      <c r="Q24" s="1">
        <f t="shared" si="2"/>
        <v>1</v>
      </c>
      <c r="R24" s="1">
        <f t="shared" si="2"/>
        <v>1</v>
      </c>
      <c r="T24" s="5" t="s">
        <v>9</v>
      </c>
      <c r="U24" s="1">
        <f t="shared" si="3"/>
        <v>0</v>
      </c>
      <c r="V24" s="1">
        <f t="shared" si="3"/>
        <v>0</v>
      </c>
      <c r="W24" s="1">
        <f t="shared" si="3"/>
        <v>0</v>
      </c>
      <c r="X24" s="1">
        <f t="shared" si="3"/>
        <v>0</v>
      </c>
      <c r="Y24" s="1">
        <f t="shared" si="3"/>
        <v>0</v>
      </c>
      <c r="AA24" s="5" t="s">
        <v>9</v>
      </c>
      <c r="AB24" s="1">
        <f t="shared" si="4"/>
        <v>0</v>
      </c>
      <c r="AC24" s="1">
        <f t="shared" si="4"/>
        <v>0</v>
      </c>
      <c r="AD24" s="1">
        <f t="shared" si="4"/>
        <v>0</v>
      </c>
      <c r="AE24" s="1">
        <f t="shared" si="4"/>
        <v>0</v>
      </c>
      <c r="AF24" s="1">
        <f t="shared" si="4"/>
        <v>0</v>
      </c>
      <c r="AH24" s="5" t="s">
        <v>9</v>
      </c>
      <c r="AI24" s="1">
        <f t="shared" si="5"/>
        <v>0</v>
      </c>
      <c r="AJ24" s="1">
        <f t="shared" si="5"/>
        <v>0</v>
      </c>
      <c r="AK24" s="1">
        <f t="shared" si="5"/>
        <v>0</v>
      </c>
      <c r="AL24" s="1">
        <f t="shared" si="5"/>
        <v>0</v>
      </c>
      <c r="AM24" s="1">
        <f t="shared" si="5"/>
        <v>0</v>
      </c>
      <c r="AO24" s="5" t="s">
        <v>9</v>
      </c>
      <c r="AP24" s="1">
        <f t="shared" si="6"/>
        <v>0</v>
      </c>
      <c r="AQ24" s="1">
        <f t="shared" si="6"/>
        <v>0</v>
      </c>
      <c r="AR24" s="1">
        <f t="shared" si="6"/>
        <v>0</v>
      </c>
      <c r="AS24" s="1">
        <f t="shared" si="6"/>
        <v>0</v>
      </c>
      <c r="AT24" s="1">
        <f t="shared" si="6"/>
        <v>0</v>
      </c>
      <c r="AV24" s="5" t="s">
        <v>9</v>
      </c>
      <c r="AW24" s="1">
        <f t="shared" si="7"/>
        <v>0</v>
      </c>
      <c r="AX24" s="1">
        <f t="shared" si="7"/>
        <v>0</v>
      </c>
      <c r="AY24" s="1">
        <f t="shared" si="7"/>
        <v>0</v>
      </c>
      <c r="AZ24" s="1">
        <f t="shared" si="7"/>
        <v>0</v>
      </c>
      <c r="BA24" s="1">
        <f t="shared" si="7"/>
        <v>0</v>
      </c>
      <c r="BC24" s="5" t="s">
        <v>9</v>
      </c>
      <c r="BD24" s="1">
        <f t="shared" si="8"/>
        <v>0</v>
      </c>
      <c r="BE24" s="1">
        <f t="shared" si="8"/>
        <v>0</v>
      </c>
      <c r="BF24" s="1">
        <f t="shared" si="8"/>
        <v>0</v>
      </c>
      <c r="BG24" s="1">
        <f t="shared" si="8"/>
        <v>0</v>
      </c>
      <c r="BH24" s="1">
        <f t="shared" si="8"/>
        <v>0</v>
      </c>
      <c r="BI24" s="1"/>
      <c r="BJ24" s="5" t="s">
        <v>9</v>
      </c>
      <c r="BK24" s="1">
        <f t="shared" si="9"/>
        <v>0</v>
      </c>
      <c r="BL24" s="1">
        <f t="shared" si="9"/>
        <v>0</v>
      </c>
      <c r="BM24" s="1">
        <f t="shared" si="9"/>
        <v>0</v>
      </c>
      <c r="BN24" s="1">
        <f t="shared" si="9"/>
        <v>0</v>
      </c>
      <c r="BO24" s="1">
        <f t="shared" si="9"/>
        <v>0</v>
      </c>
      <c r="BP24" s="1"/>
      <c r="BQ24" s="5" t="s">
        <v>9</v>
      </c>
      <c r="BR24" s="1">
        <f t="shared" si="10"/>
        <v>0</v>
      </c>
      <c r="BS24" s="1">
        <f t="shared" si="10"/>
        <v>0</v>
      </c>
      <c r="BT24" s="1">
        <f t="shared" si="10"/>
        <v>0</v>
      </c>
      <c r="BU24" s="1">
        <f t="shared" si="10"/>
        <v>0</v>
      </c>
      <c r="BV24" s="1">
        <f t="shared" si="10"/>
        <v>0</v>
      </c>
      <c r="BW24" s="1"/>
      <c r="BX24" s="5" t="s">
        <v>9</v>
      </c>
      <c r="BY24" s="1">
        <f t="shared" si="11"/>
        <v>0</v>
      </c>
      <c r="BZ24" s="1">
        <f t="shared" si="11"/>
        <v>0</v>
      </c>
      <c r="CA24" s="1">
        <f t="shared" si="11"/>
        <v>0</v>
      </c>
      <c r="CB24" s="1">
        <f t="shared" si="11"/>
        <v>0</v>
      </c>
      <c r="CC24" s="1">
        <f t="shared" si="11"/>
        <v>0</v>
      </c>
      <c r="CD24" s="1"/>
      <c r="CE24" s="5" t="s">
        <v>9</v>
      </c>
      <c r="CF24" s="1">
        <f t="shared" si="12"/>
        <v>0</v>
      </c>
      <c r="CG24" s="1">
        <f t="shared" si="12"/>
        <v>0</v>
      </c>
      <c r="CH24" s="1">
        <f t="shared" si="12"/>
        <v>0</v>
      </c>
      <c r="CI24" s="1">
        <f t="shared" si="12"/>
        <v>0</v>
      </c>
      <c r="CJ24" s="1">
        <f t="shared" si="12"/>
        <v>0</v>
      </c>
      <c r="CK24" s="1"/>
      <c r="CL24" s="5" t="s">
        <v>9</v>
      </c>
      <c r="CM24" s="1">
        <f t="shared" si="13"/>
        <v>0</v>
      </c>
      <c r="CN24" s="1">
        <f t="shared" si="13"/>
        <v>0</v>
      </c>
      <c r="CO24" s="1">
        <f t="shared" si="13"/>
        <v>0</v>
      </c>
      <c r="CP24" s="1">
        <f t="shared" si="13"/>
        <v>0</v>
      </c>
      <c r="CQ24" s="1">
        <f t="shared" si="13"/>
        <v>0</v>
      </c>
      <c r="CR24" s="1"/>
      <c r="CS24" s="5" t="s">
        <v>9</v>
      </c>
      <c r="CT24" s="1">
        <f t="shared" si="14"/>
        <v>0</v>
      </c>
      <c r="CU24" s="1">
        <f t="shared" si="14"/>
        <v>0</v>
      </c>
      <c r="CV24" s="1">
        <f t="shared" si="14"/>
        <v>0</v>
      </c>
      <c r="CW24" s="1">
        <f t="shared" si="14"/>
        <v>0</v>
      </c>
      <c r="CX24" s="1">
        <f t="shared" si="14"/>
        <v>0</v>
      </c>
      <c r="CY24" s="1"/>
      <c r="CZ24" s="5" t="s">
        <v>9</v>
      </c>
      <c r="DA24" s="1">
        <f t="shared" si="15"/>
        <v>0</v>
      </c>
      <c r="DB24" s="1">
        <f t="shared" si="15"/>
        <v>0</v>
      </c>
      <c r="DC24" s="1">
        <f t="shared" si="15"/>
        <v>0</v>
      </c>
      <c r="DD24" s="1">
        <f t="shared" si="15"/>
        <v>0</v>
      </c>
      <c r="DE24" s="1">
        <f t="shared" si="15"/>
        <v>0</v>
      </c>
      <c r="DF24" s="1"/>
      <c r="DG24" s="5" t="s">
        <v>9</v>
      </c>
      <c r="DH24" s="1">
        <f t="shared" si="16"/>
        <v>0</v>
      </c>
      <c r="DI24" s="1">
        <f t="shared" si="16"/>
        <v>0</v>
      </c>
      <c r="DJ24" s="1">
        <f t="shared" si="16"/>
        <v>0</v>
      </c>
      <c r="DK24" s="1">
        <f t="shared" si="16"/>
        <v>0</v>
      </c>
      <c r="DL24" s="1">
        <f t="shared" si="16"/>
        <v>0</v>
      </c>
      <c r="DM24" s="1"/>
      <c r="DN24" s="5" t="s">
        <v>9</v>
      </c>
      <c r="DO24" s="1">
        <f t="shared" si="17"/>
        <v>0</v>
      </c>
      <c r="DP24" s="1">
        <f t="shared" si="17"/>
        <v>0</v>
      </c>
      <c r="DQ24" s="1">
        <f t="shared" si="17"/>
        <v>0</v>
      </c>
      <c r="DR24" s="1">
        <f t="shared" si="17"/>
        <v>0</v>
      </c>
      <c r="DS24" s="1">
        <f t="shared" si="17"/>
        <v>1</v>
      </c>
      <c r="DT24" s="1"/>
      <c r="DU24" s="5" t="s">
        <v>9</v>
      </c>
      <c r="DV24" s="1">
        <f t="shared" si="18"/>
        <v>1</v>
      </c>
      <c r="DW24" s="1">
        <f t="shared" si="18"/>
        <v>1</v>
      </c>
      <c r="DX24" s="1">
        <f t="shared" si="18"/>
        <v>1</v>
      </c>
      <c r="DY24" s="1">
        <f t="shared" si="18"/>
        <v>1</v>
      </c>
      <c r="DZ24" s="1">
        <f t="shared" si="18"/>
        <v>1</v>
      </c>
      <c r="EA24" s="1"/>
      <c r="EB24" s="5" t="s">
        <v>9</v>
      </c>
      <c r="EC24" s="1">
        <f t="shared" si="19"/>
        <v>1</v>
      </c>
      <c r="ED24" s="1">
        <f t="shared" si="19"/>
        <v>1</v>
      </c>
      <c r="EE24" s="1">
        <f t="shared" si="19"/>
        <v>1</v>
      </c>
      <c r="EF24" s="1">
        <f t="shared" si="19"/>
        <v>1</v>
      </c>
      <c r="EG24" s="1">
        <f t="shared" si="19"/>
        <v>1</v>
      </c>
      <c r="EH24" s="1"/>
    </row>
    <row r="25" spans="1:138">
      <c r="A25" s="14" t="s">
        <v>20</v>
      </c>
      <c r="B25" s="14">
        <v>1</v>
      </c>
      <c r="C25" s="1">
        <f t="shared" si="0"/>
        <v>1</v>
      </c>
      <c r="D25" s="1">
        <f t="shared" si="0"/>
        <v>1</v>
      </c>
      <c r="F25" s="8" t="s">
        <v>20</v>
      </c>
      <c r="G25" s="1">
        <f t="shared" ref="G25" si="20">-COUNTIF(G$2:G$12,$A25 &amp; "*") +$B25</f>
        <v>0</v>
      </c>
      <c r="H25" s="1">
        <f t="shared" si="1"/>
        <v>0</v>
      </c>
      <c r="I25" s="1">
        <f t="shared" si="1"/>
        <v>1</v>
      </c>
      <c r="J25" s="1">
        <f t="shared" si="1"/>
        <v>0</v>
      </c>
      <c r="K25" s="1">
        <f t="shared" si="1"/>
        <v>0</v>
      </c>
      <c r="M25" s="8" t="s">
        <v>20</v>
      </c>
      <c r="N25" s="1">
        <f t="shared" si="2"/>
        <v>0</v>
      </c>
      <c r="O25" s="1">
        <f t="shared" si="2"/>
        <v>0</v>
      </c>
      <c r="P25" s="1">
        <f t="shared" si="2"/>
        <v>1</v>
      </c>
      <c r="Q25" s="1">
        <f t="shared" si="2"/>
        <v>0</v>
      </c>
      <c r="R25" s="1">
        <f t="shared" si="2"/>
        <v>0</v>
      </c>
      <c r="T25" s="8" t="s">
        <v>20</v>
      </c>
      <c r="U25" s="1">
        <f t="shared" si="3"/>
        <v>0</v>
      </c>
      <c r="V25" s="1">
        <f t="shared" si="3"/>
        <v>0</v>
      </c>
      <c r="W25" s="1">
        <f t="shared" si="3"/>
        <v>0</v>
      </c>
      <c r="X25" s="1">
        <f t="shared" si="3"/>
        <v>0</v>
      </c>
      <c r="Y25" s="1">
        <f t="shared" si="3"/>
        <v>0</v>
      </c>
      <c r="AA25" s="8" t="s">
        <v>20</v>
      </c>
      <c r="AB25" s="1">
        <f t="shared" si="4"/>
        <v>0</v>
      </c>
      <c r="AC25" s="1">
        <f t="shared" si="4"/>
        <v>0</v>
      </c>
      <c r="AD25" s="1">
        <f t="shared" si="4"/>
        <v>0</v>
      </c>
      <c r="AE25" s="1">
        <f t="shared" si="4"/>
        <v>0</v>
      </c>
      <c r="AF25" s="1">
        <f t="shared" si="4"/>
        <v>0</v>
      </c>
      <c r="AH25" s="14" t="s">
        <v>20</v>
      </c>
      <c r="AI25" s="1">
        <f t="shared" si="5"/>
        <v>1</v>
      </c>
      <c r="AJ25" s="1">
        <f t="shared" si="5"/>
        <v>0</v>
      </c>
      <c r="AK25" s="1">
        <f t="shared" si="5"/>
        <v>0</v>
      </c>
      <c r="AL25" s="1">
        <f t="shared" si="5"/>
        <v>0</v>
      </c>
      <c r="AM25" s="1">
        <f t="shared" si="5"/>
        <v>0</v>
      </c>
      <c r="AO25" s="14" t="s">
        <v>20</v>
      </c>
      <c r="AP25" s="1">
        <f t="shared" si="6"/>
        <v>0</v>
      </c>
      <c r="AQ25" s="1">
        <f t="shared" si="6"/>
        <v>1</v>
      </c>
      <c r="AR25" s="1">
        <f t="shared" si="6"/>
        <v>0</v>
      </c>
      <c r="AS25" s="1">
        <f t="shared" si="6"/>
        <v>0</v>
      </c>
      <c r="AT25" s="1">
        <f t="shared" si="6"/>
        <v>1</v>
      </c>
      <c r="AV25" s="14" t="s">
        <v>20</v>
      </c>
      <c r="AW25" s="1">
        <f t="shared" si="7"/>
        <v>0</v>
      </c>
      <c r="AX25" s="1">
        <f t="shared" si="7"/>
        <v>0</v>
      </c>
      <c r="AY25" s="1">
        <f t="shared" si="7"/>
        <v>0</v>
      </c>
      <c r="AZ25" s="1">
        <f t="shared" si="7"/>
        <v>0</v>
      </c>
      <c r="BA25" s="1">
        <f t="shared" si="7"/>
        <v>0</v>
      </c>
      <c r="BC25" s="8" t="s">
        <v>20</v>
      </c>
      <c r="BD25" s="1">
        <f t="shared" si="8"/>
        <v>0</v>
      </c>
      <c r="BE25" s="1">
        <f t="shared" si="8"/>
        <v>0</v>
      </c>
      <c r="BF25" s="1">
        <f t="shared" si="8"/>
        <v>0</v>
      </c>
      <c r="BG25" s="1">
        <f t="shared" si="8"/>
        <v>0</v>
      </c>
      <c r="BH25" s="1">
        <f t="shared" si="8"/>
        <v>0</v>
      </c>
      <c r="BI25" s="1"/>
      <c r="BJ25" s="8" t="s">
        <v>20</v>
      </c>
      <c r="BK25" s="1">
        <f t="shared" si="9"/>
        <v>0</v>
      </c>
      <c r="BL25" s="1">
        <f t="shared" si="9"/>
        <v>0</v>
      </c>
      <c r="BM25" s="1">
        <f t="shared" si="9"/>
        <v>0</v>
      </c>
      <c r="BN25" s="1">
        <f t="shared" si="9"/>
        <v>0</v>
      </c>
      <c r="BO25" s="1">
        <f t="shared" si="9"/>
        <v>0</v>
      </c>
      <c r="BP25" s="1"/>
      <c r="BQ25" s="8" t="s">
        <v>20</v>
      </c>
      <c r="BR25" s="1">
        <f t="shared" si="10"/>
        <v>0</v>
      </c>
      <c r="BS25" s="1">
        <f t="shared" si="10"/>
        <v>0</v>
      </c>
      <c r="BT25" s="1">
        <f t="shared" si="10"/>
        <v>0</v>
      </c>
      <c r="BU25" s="1">
        <f t="shared" si="10"/>
        <v>0</v>
      </c>
      <c r="BV25" s="1">
        <f t="shared" si="10"/>
        <v>0</v>
      </c>
      <c r="BW25" s="1"/>
      <c r="BX25" s="14" t="s">
        <v>20</v>
      </c>
      <c r="BY25" s="1">
        <f t="shared" si="11"/>
        <v>0</v>
      </c>
      <c r="BZ25" s="1">
        <f t="shared" si="11"/>
        <v>0</v>
      </c>
      <c r="CA25" s="1">
        <f t="shared" si="11"/>
        <v>0</v>
      </c>
      <c r="CB25" s="1">
        <f t="shared" si="11"/>
        <v>0</v>
      </c>
      <c r="CC25" s="1">
        <f t="shared" si="11"/>
        <v>0</v>
      </c>
      <c r="CD25" s="1"/>
      <c r="CE25" s="14" t="s">
        <v>20</v>
      </c>
      <c r="CF25" s="1">
        <f t="shared" si="12"/>
        <v>0</v>
      </c>
      <c r="CG25" s="1">
        <f t="shared" si="12"/>
        <v>0</v>
      </c>
      <c r="CH25" s="1">
        <f t="shared" si="12"/>
        <v>0</v>
      </c>
      <c r="CI25" s="1">
        <f t="shared" si="12"/>
        <v>0</v>
      </c>
      <c r="CJ25" s="1">
        <f t="shared" si="12"/>
        <v>0</v>
      </c>
      <c r="CK25" s="1"/>
      <c r="CL25" s="14" t="s">
        <v>20</v>
      </c>
      <c r="CM25" s="1">
        <f t="shared" si="13"/>
        <v>0</v>
      </c>
      <c r="CN25" s="1">
        <f t="shared" si="13"/>
        <v>0</v>
      </c>
      <c r="CO25" s="1">
        <f t="shared" si="13"/>
        <v>0</v>
      </c>
      <c r="CP25" s="1">
        <f t="shared" si="13"/>
        <v>0</v>
      </c>
      <c r="CQ25" s="1">
        <f t="shared" si="13"/>
        <v>0</v>
      </c>
      <c r="CR25" s="1"/>
      <c r="CS25" s="8" t="s">
        <v>20</v>
      </c>
      <c r="CT25" s="1">
        <f t="shared" si="14"/>
        <v>0</v>
      </c>
      <c r="CU25" s="1">
        <f t="shared" si="14"/>
        <v>0</v>
      </c>
      <c r="CV25" s="1">
        <f t="shared" si="14"/>
        <v>0</v>
      </c>
      <c r="CW25" s="1">
        <f t="shared" si="14"/>
        <v>0</v>
      </c>
      <c r="CX25" s="1">
        <f t="shared" si="14"/>
        <v>0</v>
      </c>
      <c r="CY25" s="1"/>
      <c r="CZ25" s="8" t="s">
        <v>20</v>
      </c>
      <c r="DA25" s="1">
        <f t="shared" si="15"/>
        <v>0</v>
      </c>
      <c r="DB25" s="1">
        <f t="shared" si="15"/>
        <v>0</v>
      </c>
      <c r="DC25" s="1">
        <f t="shared" si="15"/>
        <v>0</v>
      </c>
      <c r="DD25" s="1">
        <f t="shared" si="15"/>
        <v>0</v>
      </c>
      <c r="DE25" s="1">
        <f t="shared" si="15"/>
        <v>0</v>
      </c>
      <c r="DF25" s="1"/>
      <c r="DG25" s="8" t="s">
        <v>20</v>
      </c>
      <c r="DH25" s="1">
        <f t="shared" si="16"/>
        <v>0</v>
      </c>
      <c r="DI25" s="1">
        <f t="shared" si="16"/>
        <v>0</v>
      </c>
      <c r="DJ25" s="1">
        <f t="shared" si="16"/>
        <v>0</v>
      </c>
      <c r="DK25" s="1">
        <f t="shared" si="16"/>
        <v>0</v>
      </c>
      <c r="DL25" s="1">
        <f t="shared" si="16"/>
        <v>0</v>
      </c>
      <c r="DM25" s="1"/>
      <c r="DN25" s="14" t="s">
        <v>20</v>
      </c>
      <c r="DO25" s="1">
        <f t="shared" si="17"/>
        <v>0</v>
      </c>
      <c r="DP25" s="1">
        <f t="shared" si="17"/>
        <v>0</v>
      </c>
      <c r="DQ25" s="1">
        <f t="shared" si="17"/>
        <v>0</v>
      </c>
      <c r="DR25" s="1">
        <f t="shared" si="17"/>
        <v>0</v>
      </c>
      <c r="DS25" s="1">
        <f t="shared" si="17"/>
        <v>1</v>
      </c>
      <c r="DT25" s="1"/>
      <c r="DU25" s="14" t="s">
        <v>20</v>
      </c>
      <c r="DV25" s="1">
        <f t="shared" si="18"/>
        <v>1</v>
      </c>
      <c r="DW25" s="1">
        <f t="shared" si="18"/>
        <v>1</v>
      </c>
      <c r="DX25" s="1">
        <f t="shared" si="18"/>
        <v>1</v>
      </c>
      <c r="DY25" s="1">
        <f t="shared" si="18"/>
        <v>1</v>
      </c>
      <c r="DZ25" s="1">
        <f t="shared" si="18"/>
        <v>1</v>
      </c>
      <c r="EA25" s="1"/>
      <c r="EB25" s="14" t="s">
        <v>20</v>
      </c>
      <c r="EC25" s="1">
        <f t="shared" si="19"/>
        <v>1</v>
      </c>
      <c r="ED25" s="1">
        <f t="shared" si="19"/>
        <v>1</v>
      </c>
      <c r="EE25" s="1">
        <f t="shared" si="19"/>
        <v>1</v>
      </c>
      <c r="EF25" s="1">
        <f t="shared" si="19"/>
        <v>1</v>
      </c>
      <c r="EG25" s="1">
        <f t="shared" si="19"/>
        <v>1</v>
      </c>
      <c r="EH25" s="1"/>
    </row>
    <row r="26" spans="1:138" s="8" customFormat="1">
      <c r="A26" s="9" t="s">
        <v>2</v>
      </c>
      <c r="C26" s="1">
        <f t="shared" ref="C26:D26" si="21">COUNTIF(C$2:C$12,$A26 &amp; "*")</f>
        <v>1</v>
      </c>
      <c r="D26" s="1">
        <f t="shared" si="21"/>
        <v>1</v>
      </c>
      <c r="F26" s="9" t="s">
        <v>2</v>
      </c>
      <c r="G26" s="1">
        <f>COUNTIF(G$2:G$12,$A26 &amp; "*")</f>
        <v>1</v>
      </c>
      <c r="H26" s="1">
        <f t="shared" ref="H26:K26" si="22">COUNTIF(H$2:H$12,$A26 &amp; "*")</f>
        <v>1</v>
      </c>
      <c r="I26" s="1">
        <f t="shared" si="22"/>
        <v>1</v>
      </c>
      <c r="J26" s="1">
        <f t="shared" si="22"/>
        <v>1</v>
      </c>
      <c r="K26" s="1">
        <f t="shared" si="22"/>
        <v>1</v>
      </c>
      <c r="M26" s="9" t="s">
        <v>2</v>
      </c>
      <c r="N26" s="1">
        <f>COUNTIF(N$2:N$12,$A26 &amp; "*")</f>
        <v>1</v>
      </c>
      <c r="O26" s="1">
        <f t="shared" ref="O26:R26" si="23">COUNTIF(O$2:O$12,$A26 &amp; "*")</f>
        <v>1</v>
      </c>
      <c r="P26" s="1">
        <f t="shared" si="23"/>
        <v>1</v>
      </c>
      <c r="Q26" s="1">
        <f t="shared" si="23"/>
        <v>1</v>
      </c>
      <c r="R26" s="1">
        <f t="shared" si="23"/>
        <v>1</v>
      </c>
      <c r="T26" s="9" t="s">
        <v>2</v>
      </c>
      <c r="U26" s="1">
        <f>COUNTIF(U$2:U$12,$A26 &amp; "*")</f>
        <v>1</v>
      </c>
      <c r="V26" s="1">
        <f t="shared" ref="V26:Y26" si="24">COUNTIF(V$2:V$12,$A26 &amp; "*")</f>
        <v>1</v>
      </c>
      <c r="W26" s="1">
        <f t="shared" si="24"/>
        <v>1</v>
      </c>
      <c r="X26" s="1">
        <f t="shared" si="24"/>
        <v>1</v>
      </c>
      <c r="Y26" s="1">
        <f t="shared" si="24"/>
        <v>1</v>
      </c>
      <c r="AA26" s="9" t="s">
        <v>2</v>
      </c>
      <c r="AB26" s="1">
        <f>COUNTIF(AB$2:AB$12,$A26 &amp; "*")</f>
        <v>1</v>
      </c>
      <c r="AC26" s="1">
        <f t="shared" ref="AC26:AF26" si="25">COUNTIF(AC$2:AC$12,$A26 &amp; "*")</f>
        <v>1</v>
      </c>
      <c r="AD26" s="1">
        <f t="shared" si="25"/>
        <v>1</v>
      </c>
      <c r="AE26" s="1">
        <f t="shared" si="25"/>
        <v>1</v>
      </c>
      <c r="AF26" s="1">
        <f t="shared" si="25"/>
        <v>1</v>
      </c>
      <c r="AH26" s="9" t="s">
        <v>2</v>
      </c>
      <c r="AI26" s="1">
        <f>COUNTIF(AI$2:AI$12,$A26 &amp; "*")</f>
        <v>3</v>
      </c>
      <c r="AJ26" s="1">
        <f t="shared" ref="AJ26:AM26" si="26">COUNTIF(AJ$2:AJ$12,$A26 &amp; "*")</f>
        <v>3</v>
      </c>
      <c r="AK26" s="1">
        <f t="shared" si="26"/>
        <v>2</v>
      </c>
      <c r="AL26" s="1">
        <f t="shared" si="26"/>
        <v>2</v>
      </c>
      <c r="AM26" s="1">
        <f t="shared" si="26"/>
        <v>3</v>
      </c>
      <c r="AO26" s="9" t="s">
        <v>2</v>
      </c>
      <c r="AP26" s="1">
        <f>COUNTIF(AP$2:AP$12,$A26 &amp; "*")</f>
        <v>2</v>
      </c>
      <c r="AQ26" s="1">
        <f t="shared" ref="AQ26:AT26" si="27">COUNTIF(AQ$2:AQ$12,$A26 &amp; "*")</f>
        <v>2</v>
      </c>
      <c r="AR26" s="1">
        <f t="shared" si="27"/>
        <v>1</v>
      </c>
      <c r="AS26" s="1">
        <f t="shared" si="27"/>
        <v>2</v>
      </c>
      <c r="AT26" s="1">
        <f t="shared" si="27"/>
        <v>2</v>
      </c>
      <c r="AV26" s="9" t="s">
        <v>2</v>
      </c>
      <c r="AW26" s="1">
        <f>COUNTIF(AW$2:AW$12,$A26 &amp; "*")</f>
        <v>1</v>
      </c>
      <c r="AX26" s="1">
        <f t="shared" ref="AX26:BA26" si="28">COUNTIF(AX$2:AX$12,$A26 &amp; "*")</f>
        <v>1</v>
      </c>
      <c r="AY26" s="1">
        <f t="shared" si="28"/>
        <v>1</v>
      </c>
      <c r="AZ26" s="1">
        <f t="shared" si="28"/>
        <v>1</v>
      </c>
      <c r="BA26" s="1">
        <f t="shared" si="28"/>
        <v>1</v>
      </c>
      <c r="BC26" s="9" t="s">
        <v>2</v>
      </c>
      <c r="BD26" s="1">
        <f>COUNTIF(BD$2:BD$12,$A26 &amp; "*")</f>
        <v>1</v>
      </c>
      <c r="BE26" s="1">
        <f t="shared" ref="BE26:BH26" si="29">COUNTIF(BE$2:BE$12,$A26 &amp; "*")</f>
        <v>1</v>
      </c>
      <c r="BF26" s="1">
        <f t="shared" si="29"/>
        <v>1</v>
      </c>
      <c r="BG26" s="1">
        <f t="shared" si="29"/>
        <v>1</v>
      </c>
      <c r="BH26" s="1">
        <f t="shared" si="29"/>
        <v>2</v>
      </c>
      <c r="BJ26" s="9" t="s">
        <v>2</v>
      </c>
      <c r="BK26" s="1">
        <f>COUNTIF(BK$2:BK$12,$A26 &amp; "*")</f>
        <v>1</v>
      </c>
      <c r="BL26" s="1">
        <f t="shared" ref="BL26:BO26" si="30">COUNTIF(BL$2:BL$12,$A26 &amp; "*")</f>
        <v>1</v>
      </c>
      <c r="BM26" s="1">
        <f t="shared" si="30"/>
        <v>1</v>
      </c>
      <c r="BN26" s="1">
        <f t="shared" si="30"/>
        <v>1</v>
      </c>
      <c r="BO26" s="1">
        <f t="shared" si="30"/>
        <v>1</v>
      </c>
      <c r="BQ26" s="9" t="s">
        <v>2</v>
      </c>
      <c r="BR26" s="1">
        <f>COUNTIF(BR$2:BR$12,$A26 &amp; "*")</f>
        <v>0</v>
      </c>
      <c r="BS26" s="1">
        <f t="shared" ref="BS26:BV26" si="31">COUNTIF(BS$2:BS$12,$A26 &amp; "*")</f>
        <v>1</v>
      </c>
      <c r="BT26" s="1">
        <f t="shared" si="31"/>
        <v>2</v>
      </c>
      <c r="BU26" s="1">
        <f t="shared" si="31"/>
        <v>1</v>
      </c>
      <c r="BV26" s="1">
        <f t="shared" si="31"/>
        <v>1</v>
      </c>
      <c r="BX26" s="9" t="s">
        <v>2</v>
      </c>
      <c r="BY26" s="1">
        <f>COUNTIF(BY$2:BY$12,$A26 &amp; "*")</f>
        <v>1</v>
      </c>
      <c r="BZ26" s="1">
        <f t="shared" ref="BZ26:CC26" si="32">COUNTIF(BZ$2:BZ$12,$A26 &amp; "*")</f>
        <v>1</v>
      </c>
      <c r="CA26" s="1">
        <f t="shared" si="32"/>
        <v>1</v>
      </c>
      <c r="CB26" s="1">
        <f t="shared" si="32"/>
        <v>2</v>
      </c>
      <c r="CC26" s="1">
        <f t="shared" si="32"/>
        <v>2</v>
      </c>
      <c r="CE26" s="9" t="s">
        <v>2</v>
      </c>
      <c r="CF26" s="1">
        <f>COUNTIF(CF$2:CF$12,$A26 &amp; "*")</f>
        <v>2</v>
      </c>
      <c r="CG26" s="1">
        <f t="shared" ref="CG26:CJ26" si="33">COUNTIF(CG$2:CG$12,$A26 &amp; "*")</f>
        <v>1</v>
      </c>
      <c r="CH26" s="1">
        <f t="shared" si="33"/>
        <v>2</v>
      </c>
      <c r="CI26" s="1">
        <f t="shared" si="33"/>
        <v>2</v>
      </c>
      <c r="CJ26" s="1">
        <f t="shared" si="33"/>
        <v>2</v>
      </c>
      <c r="CL26" s="9" t="s">
        <v>2</v>
      </c>
      <c r="CM26" s="1">
        <f>COUNTIF(CM$2:CM$12,$A26 &amp; "*")</f>
        <v>1</v>
      </c>
      <c r="CN26" s="1">
        <f t="shared" ref="CN26:CQ26" si="34">COUNTIF(CN$2:CN$12,$A26 &amp; "*")</f>
        <v>0</v>
      </c>
      <c r="CO26" s="1">
        <f t="shared" si="34"/>
        <v>0</v>
      </c>
      <c r="CP26" s="1">
        <f t="shared" si="34"/>
        <v>0</v>
      </c>
      <c r="CQ26" s="1">
        <f t="shared" si="34"/>
        <v>0</v>
      </c>
      <c r="CS26" s="9" t="s">
        <v>2</v>
      </c>
      <c r="CT26" s="1">
        <f>COUNTIF(CT$2:CT$12,$A26 &amp; "*")</f>
        <v>0</v>
      </c>
      <c r="CU26" s="1">
        <f t="shared" ref="CU26:CX26" si="35">COUNTIF(CU$2:CU$12,$A26 &amp; "*")</f>
        <v>0</v>
      </c>
      <c r="CV26" s="1">
        <f t="shared" si="35"/>
        <v>0</v>
      </c>
      <c r="CW26" s="1">
        <f t="shared" si="35"/>
        <v>0</v>
      </c>
      <c r="CX26" s="1">
        <f t="shared" si="35"/>
        <v>0</v>
      </c>
      <c r="CZ26" s="9" t="s">
        <v>2</v>
      </c>
      <c r="DA26" s="1">
        <f>COUNTIF(DA$2:DA$12,$A26 &amp; "*")</f>
        <v>0</v>
      </c>
      <c r="DB26" s="1">
        <f t="shared" ref="DB26:DE26" si="36">COUNTIF(DB$2:DB$12,$A26 &amp; "*")</f>
        <v>0</v>
      </c>
      <c r="DC26" s="1">
        <f t="shared" si="36"/>
        <v>0</v>
      </c>
      <c r="DD26" s="1">
        <f t="shared" si="36"/>
        <v>0</v>
      </c>
      <c r="DE26" s="1">
        <f t="shared" si="36"/>
        <v>0</v>
      </c>
      <c r="DG26" s="9" t="s">
        <v>2</v>
      </c>
      <c r="DH26" s="1">
        <f>COUNTIF(DH$2:DH$12,$A26 &amp; "*")</f>
        <v>0</v>
      </c>
      <c r="DI26" s="1">
        <f t="shared" ref="DI26:DL26" si="37">COUNTIF(DI$2:DI$12,$A26 &amp; "*")</f>
        <v>0</v>
      </c>
      <c r="DJ26" s="1">
        <f t="shared" si="37"/>
        <v>0</v>
      </c>
      <c r="DK26" s="1">
        <f t="shared" si="37"/>
        <v>0</v>
      </c>
      <c r="DL26" s="1">
        <f t="shared" si="37"/>
        <v>0</v>
      </c>
      <c r="DN26" s="9" t="s">
        <v>2</v>
      </c>
      <c r="DO26" s="1">
        <f>COUNTIF(DO$2:DO$12,$A26 &amp; "*")</f>
        <v>0</v>
      </c>
      <c r="DP26" s="1">
        <f t="shared" ref="DP26:DS26" si="38">COUNTIF(DP$2:DP$12,$A26 &amp; "*")</f>
        <v>0</v>
      </c>
      <c r="DQ26" s="1">
        <f t="shared" si="38"/>
        <v>0</v>
      </c>
      <c r="DR26" s="1">
        <f t="shared" si="38"/>
        <v>0</v>
      </c>
      <c r="DS26" s="1">
        <f t="shared" si="38"/>
        <v>0</v>
      </c>
      <c r="DU26" s="9" t="s">
        <v>2</v>
      </c>
      <c r="DV26" s="1">
        <f>COUNTIF(DV$2:DV$12,$A26 &amp; "*")</f>
        <v>0</v>
      </c>
      <c r="DW26" s="1">
        <f t="shared" ref="DW26:DZ26" si="39">COUNTIF(DW$2:DW$12,$A26 &amp; "*")</f>
        <v>0</v>
      </c>
      <c r="DX26" s="1">
        <f t="shared" si="39"/>
        <v>0</v>
      </c>
      <c r="DY26" s="1">
        <f t="shared" si="39"/>
        <v>0</v>
      </c>
      <c r="DZ26" s="1">
        <f t="shared" si="39"/>
        <v>0</v>
      </c>
      <c r="EB26" s="9" t="s">
        <v>2</v>
      </c>
      <c r="EC26" s="1">
        <f>COUNTIF(EC$2:EC$12,$A26 &amp; "*")</f>
        <v>0</v>
      </c>
      <c r="ED26" s="1">
        <f t="shared" ref="ED26:EG26" si="40">COUNTIF(ED$2:ED$12,$A26 &amp; "*")</f>
        <v>0</v>
      </c>
      <c r="EE26" s="1">
        <f t="shared" si="40"/>
        <v>0</v>
      </c>
      <c r="EF26" s="1">
        <f t="shared" si="40"/>
        <v>0</v>
      </c>
      <c r="EG26" s="1">
        <f t="shared" si="40"/>
        <v>0</v>
      </c>
    </row>
    <row r="27" spans="1:138" s="3" customFormat="1" hidden="1">
      <c r="A27" s="2" t="s">
        <v>4</v>
      </c>
      <c r="B27" s="2" t="s">
        <v>6</v>
      </c>
      <c r="E27" s="4"/>
      <c r="F27" s="6"/>
      <c r="G27" s="3" t="s">
        <v>5</v>
      </c>
      <c r="L27" s="4"/>
      <c r="M27" s="6"/>
      <c r="N27" s="3" t="s">
        <v>5</v>
      </c>
      <c r="S27" s="4"/>
      <c r="T27" s="6"/>
      <c r="U27" s="3" t="s">
        <v>5</v>
      </c>
      <c r="Z27" s="4"/>
      <c r="AA27" s="6"/>
      <c r="AB27" s="3" t="s">
        <v>5</v>
      </c>
      <c r="AG27" s="4"/>
      <c r="AH27" s="6"/>
      <c r="AI27" s="3" t="s">
        <v>5</v>
      </c>
      <c r="AN27" s="4"/>
      <c r="AO27" s="6"/>
      <c r="AP27" s="3" t="s">
        <v>5</v>
      </c>
      <c r="AU27" s="4"/>
      <c r="AV27" s="6"/>
      <c r="AW27" s="3" t="s">
        <v>5</v>
      </c>
      <c r="BB27" s="4"/>
      <c r="BC27" s="6"/>
      <c r="BD27" s="3" t="s">
        <v>5</v>
      </c>
      <c r="BI27" s="4"/>
      <c r="BJ27" s="6"/>
      <c r="BK27" s="3" t="s">
        <v>5</v>
      </c>
      <c r="BP27" s="4"/>
      <c r="BQ27" s="6"/>
      <c r="BR27" s="3" t="s">
        <v>5</v>
      </c>
      <c r="BW27" s="4"/>
      <c r="BX27" s="6"/>
      <c r="BY27" s="3" t="s">
        <v>5</v>
      </c>
      <c r="CD27" s="4"/>
      <c r="CE27" s="6"/>
      <c r="CF27" s="3" t="s">
        <v>5</v>
      </c>
      <c r="CK27" s="4"/>
      <c r="CL27" s="6"/>
      <c r="CM27" s="3" t="s">
        <v>5</v>
      </c>
      <c r="CR27" s="4"/>
      <c r="CS27" s="6"/>
      <c r="CT27" s="3" t="s">
        <v>5</v>
      </c>
      <c r="CY27" s="4"/>
      <c r="CZ27" s="6"/>
      <c r="DA27" s="3" t="s">
        <v>5</v>
      </c>
      <c r="DF27" s="4"/>
      <c r="DG27" s="6"/>
      <c r="DH27" s="3" t="s">
        <v>5</v>
      </c>
      <c r="DM27" s="4"/>
      <c r="DN27" s="6"/>
      <c r="DO27" s="3" t="s">
        <v>5</v>
      </c>
      <c r="DT27" s="4"/>
      <c r="DU27" s="6"/>
      <c r="DV27" s="3" t="s">
        <v>5</v>
      </c>
      <c r="EA27" s="4"/>
      <c r="EB27" s="6"/>
      <c r="EC27" s="3" t="s">
        <v>5</v>
      </c>
      <c r="EH27" s="4"/>
    </row>
    <row r="28" spans="1:138" s="1" customFormat="1" hidden="1">
      <c r="A28" s="1">
        <v>3</v>
      </c>
      <c r="B28" s="1">
        <v>7</v>
      </c>
      <c r="C28">
        <f>COUNTIF(C$2:C$12,#REF! &amp; "*") -$A28</f>
        <v>-3</v>
      </c>
      <c r="D28" s="1">
        <f>COUNTIF(D$2:D$12,#REF! &amp; "*") -$A28</f>
        <v>-3</v>
      </c>
      <c r="F28" s="5" t="s">
        <v>8</v>
      </c>
      <c r="G28" s="1">
        <f>COUNTIF(G$2:G$12,#REF! &amp; "*") -$A28</f>
        <v>-3</v>
      </c>
      <c r="H28" s="1">
        <f>COUNTIF(H$2:H$12,#REF! &amp; "*") -$A28</f>
        <v>-3</v>
      </c>
      <c r="I28" s="1">
        <f>COUNTIF(I$2:I$12,#REF! &amp; "*") -$A28</f>
        <v>-3</v>
      </c>
      <c r="J28" s="1">
        <f>COUNTIF(J$2:J$12,#REF! &amp; "*") -$A28</f>
        <v>-3</v>
      </c>
      <c r="K28" s="1">
        <f>COUNTIF(K$2:K$12,#REF! &amp; "*") -$A28</f>
        <v>-3</v>
      </c>
      <c r="M28" s="5" t="s">
        <v>8</v>
      </c>
      <c r="N28" s="1">
        <f>COUNTIF(N$2:N$12,#REF! &amp; "*") -$A28</f>
        <v>-3</v>
      </c>
      <c r="O28" s="1">
        <f>COUNTIF(O$2:O$12,#REF! &amp; "*") -$A28</f>
        <v>-3</v>
      </c>
      <c r="P28" s="1">
        <f>COUNTIF(P$2:P$12,#REF! &amp; "*") -$A28</f>
        <v>-3</v>
      </c>
      <c r="Q28" s="1">
        <f>COUNTIF(Q$2:Q$12,#REF! &amp; "*") -$A28</f>
        <v>-3</v>
      </c>
      <c r="R28" s="1">
        <f>COUNTIF(R$2:R$12,#REF! &amp; "*") -$A28</f>
        <v>-3</v>
      </c>
      <c r="T28" s="5" t="s">
        <v>8</v>
      </c>
      <c r="U28" s="1">
        <f>COUNTIF(U$2:U$12,#REF! &amp; "*") -$A28</f>
        <v>-3</v>
      </c>
      <c r="V28" s="1">
        <f>COUNTIF(V$2:V$12,#REF! &amp; "*") -$A28</f>
        <v>-3</v>
      </c>
      <c r="W28" s="1">
        <f>COUNTIF(W$2:W$12,#REF! &amp; "*") -$A28</f>
        <v>-3</v>
      </c>
      <c r="X28" s="1">
        <f>COUNTIF(X$2:X$12,#REF! &amp; "*") -$A28</f>
        <v>-3</v>
      </c>
      <c r="Y28" s="1">
        <f>COUNTIF(Y$2:Y$12,#REF! &amp; "*") -$A28</f>
        <v>-3</v>
      </c>
      <c r="AA28" s="5" t="s">
        <v>8</v>
      </c>
      <c r="AB28" s="1">
        <f>COUNTIF(AB$2:AB$12,#REF! &amp; "*") -$A28</f>
        <v>-3</v>
      </c>
      <c r="AC28" s="1">
        <f>COUNTIF(AC$2:AC$12,#REF! &amp; "*") -$A28</f>
        <v>-3</v>
      </c>
      <c r="AD28" s="1">
        <f>COUNTIF(AD$2:AD$12,#REF! &amp; "*") -$A28</f>
        <v>-3</v>
      </c>
      <c r="AE28" s="1">
        <f>COUNTIF(AE$2:AE$12,#REF! &amp; "*") -$A28</f>
        <v>-3</v>
      </c>
      <c r="AF28" s="1">
        <f>COUNTIF(AF$2:AF$12,#REF! &amp; "*") -$A28</f>
        <v>-3</v>
      </c>
      <c r="AH28" s="5" t="s">
        <v>8</v>
      </c>
      <c r="AI28" s="1">
        <f>COUNTIF(AI$2:AI$12,#REF! &amp; "*") -$A28</f>
        <v>-3</v>
      </c>
      <c r="AJ28" s="1">
        <f>COUNTIF(AJ$2:AJ$12,#REF! &amp; "*") -$A28</f>
        <v>-3</v>
      </c>
      <c r="AK28" s="1">
        <f>COUNTIF(AK$2:AK$12,#REF! &amp; "*") -$A28</f>
        <v>-3</v>
      </c>
      <c r="AL28" s="1">
        <f>COUNTIF(AL$2:AL$12,#REF! &amp; "*") -$A28</f>
        <v>-3</v>
      </c>
      <c r="AM28" s="1">
        <f>COUNTIF(AM$2:AM$12,#REF! &amp; "*") -$A28</f>
        <v>-3</v>
      </c>
      <c r="AO28" s="5" t="s">
        <v>8</v>
      </c>
      <c r="AP28" s="1">
        <f>COUNTIF(AP$2:AP$12,#REF! &amp; "*") -$A28</f>
        <v>-3</v>
      </c>
      <c r="AQ28" s="1">
        <f>COUNTIF(AQ$2:AQ$12,#REF! &amp; "*") -$A28</f>
        <v>-3</v>
      </c>
      <c r="AR28" s="1">
        <f>COUNTIF(AR$2:AR$12,#REF! &amp; "*") -$A28</f>
        <v>-3</v>
      </c>
      <c r="AS28" s="1">
        <f>COUNTIF(AS$2:AS$12,#REF! &amp; "*") -$A28</f>
        <v>-3</v>
      </c>
      <c r="AT28" s="1">
        <f>COUNTIF(AT$2:AT$12,#REF! &amp; "*") -$A28</f>
        <v>-3</v>
      </c>
      <c r="AV28" s="5" t="s">
        <v>8</v>
      </c>
      <c r="AW28" s="1">
        <f>COUNTIF(AW$2:AW$12,#REF! &amp; "*") -$A28</f>
        <v>-3</v>
      </c>
      <c r="AX28" s="1">
        <f>COUNTIF(AX$2:AX$12,#REF! &amp; "*") -$A28</f>
        <v>-3</v>
      </c>
      <c r="AY28" s="1">
        <f>COUNTIF(AY$2:AY$12,#REF! &amp; "*") -$A28</f>
        <v>-3</v>
      </c>
      <c r="AZ28" s="1">
        <f>COUNTIF(AZ$2:AZ$12,#REF! &amp; "*") -$A28</f>
        <v>-3</v>
      </c>
      <c r="BA28" s="1">
        <f>COUNTIF(BA$2:BA$12,#REF! &amp; "*") -$A28</f>
        <v>-3</v>
      </c>
      <c r="BC28" s="5" t="s">
        <v>8</v>
      </c>
      <c r="BD28" s="1">
        <f>COUNTIF(BD$2:BD$12,#REF! &amp; "*") -$A28</f>
        <v>-3</v>
      </c>
      <c r="BE28" s="1">
        <f>COUNTIF(BE$2:BE$12,#REF! &amp; "*") -$A28</f>
        <v>-3</v>
      </c>
      <c r="BF28" s="1">
        <f>COUNTIF(BF$2:BF$12,#REF! &amp; "*") -$A28</f>
        <v>-3</v>
      </c>
      <c r="BG28" s="1">
        <f>COUNTIF(BG$2:BG$12,#REF! &amp; "*") -$A28</f>
        <v>-3</v>
      </c>
      <c r="BH28" s="1">
        <f>COUNTIF(BH$2:BH$12,#REF! &amp; "*") -$A28</f>
        <v>-3</v>
      </c>
      <c r="BJ28" s="5" t="s">
        <v>8</v>
      </c>
      <c r="BK28" s="1">
        <f>COUNTIF(BK$2:BK$12,#REF! &amp; "*") -$A28</f>
        <v>-3</v>
      </c>
      <c r="BL28" s="1">
        <f>COUNTIF(BL$2:BL$12,#REF! &amp; "*") -$A28</f>
        <v>-3</v>
      </c>
      <c r="BM28" s="1">
        <f>COUNTIF(BM$2:BM$12,#REF! &amp; "*") -$A28</f>
        <v>-3</v>
      </c>
      <c r="BN28" s="1">
        <f>COUNTIF(BN$2:BN$12,#REF! &amp; "*") -$A28</f>
        <v>-3</v>
      </c>
      <c r="BO28" s="1">
        <f>COUNTIF(BO$2:BO$12,#REF! &amp; "*") -$A28</f>
        <v>-3</v>
      </c>
      <c r="BQ28" s="5" t="s">
        <v>8</v>
      </c>
      <c r="BR28" s="1">
        <f>COUNTIF(BR$2:BR$12,#REF! &amp; "*") -$A28</f>
        <v>-3</v>
      </c>
      <c r="BS28" s="1">
        <f>COUNTIF(BS$2:BS$12,#REF! &amp; "*") -$A28</f>
        <v>-3</v>
      </c>
      <c r="BT28" s="1">
        <f>COUNTIF(BT$2:BT$12,#REF! &amp; "*") -$A28</f>
        <v>-3</v>
      </c>
      <c r="BU28" s="1">
        <f>COUNTIF(BU$2:BU$12,#REF! &amp; "*") -$A28</f>
        <v>-3</v>
      </c>
      <c r="BV28" s="1">
        <f>COUNTIF(BV$2:BV$12,#REF! &amp; "*") -$A28</f>
        <v>-3</v>
      </c>
      <c r="BX28" s="5" t="s">
        <v>8</v>
      </c>
      <c r="BY28" s="1">
        <f>COUNTIF(BY$2:BY$12,#REF! &amp; "*") -$A28</f>
        <v>-3</v>
      </c>
      <c r="BZ28" s="1">
        <f>COUNTIF(BZ$2:BZ$12,#REF! &amp; "*") -$A28</f>
        <v>-3</v>
      </c>
      <c r="CA28" s="1">
        <f>COUNTIF(CA$2:CA$12,#REF! &amp; "*") -$A28</f>
        <v>-3</v>
      </c>
      <c r="CB28" s="1">
        <f>COUNTIF(CB$2:CB$12,#REF! &amp; "*") -$A28</f>
        <v>-3</v>
      </c>
      <c r="CC28" s="1">
        <f>COUNTIF(CC$2:CC$12,#REF! &amp; "*") -$A28</f>
        <v>-3</v>
      </c>
      <c r="CE28" s="5" t="s">
        <v>8</v>
      </c>
      <c r="CF28" s="1">
        <f>COUNTIF(CF$2:CF$12,#REF! &amp; "*") -$A28</f>
        <v>-3</v>
      </c>
      <c r="CG28" s="1">
        <f>COUNTIF(CG$2:CG$12,#REF! &amp; "*") -$A28</f>
        <v>-3</v>
      </c>
      <c r="CH28" s="1">
        <f>COUNTIF(CH$2:CH$12,#REF! &amp; "*") -$A28</f>
        <v>-3</v>
      </c>
      <c r="CI28" s="1">
        <f>COUNTIF(CI$2:CI$12,#REF! &amp; "*") -$A28</f>
        <v>-3</v>
      </c>
      <c r="CJ28" s="1">
        <f>COUNTIF(CJ$2:CJ$12,#REF! &amp; "*") -$A28</f>
        <v>-3</v>
      </c>
      <c r="CL28" s="5" t="s">
        <v>8</v>
      </c>
      <c r="CM28" s="1">
        <f>COUNTIF(CM$2:CM$12,#REF! &amp; "*") -$A28</f>
        <v>-3</v>
      </c>
      <c r="CN28" s="1">
        <f>COUNTIF(CN$2:CN$12,#REF! &amp; "*") -$A28</f>
        <v>-3</v>
      </c>
      <c r="CO28" s="1">
        <f>COUNTIF(CO$2:CO$12,#REF! &amp; "*") -$A28</f>
        <v>-3</v>
      </c>
      <c r="CP28" s="1">
        <f>COUNTIF(CP$2:CP$12,#REF! &amp; "*") -$A28</f>
        <v>-3</v>
      </c>
      <c r="CQ28" s="1">
        <f>COUNTIF(CQ$2:CQ$12,#REF! &amp; "*") -$A28</f>
        <v>-3</v>
      </c>
      <c r="CS28" s="5" t="s">
        <v>8</v>
      </c>
      <c r="CT28" s="1">
        <f>COUNTIF(CT$2:CT$12,#REF! &amp; "*") -$A28</f>
        <v>-3</v>
      </c>
      <c r="CU28" s="1">
        <f>COUNTIF(CU$2:CU$12,#REF! &amp; "*") -$A28</f>
        <v>-3</v>
      </c>
      <c r="CV28" s="1">
        <f>COUNTIF(CV$2:CV$12,#REF! &amp; "*") -$A28</f>
        <v>-3</v>
      </c>
      <c r="CW28" s="1">
        <f>COUNTIF(CW$2:CW$12,#REF! &amp; "*") -$A28</f>
        <v>-3</v>
      </c>
      <c r="CX28" s="1">
        <f>COUNTIF(CX$2:CX$12,#REF! &amp; "*") -$A28</f>
        <v>-3</v>
      </c>
      <c r="CZ28" s="5" t="s">
        <v>8</v>
      </c>
      <c r="DA28" s="1">
        <f>COUNTIF(DA$2:DA$12,#REF! &amp; "*") -$A28</f>
        <v>-3</v>
      </c>
      <c r="DB28" s="1">
        <f>COUNTIF(DB$2:DB$12,#REF! &amp; "*") -$A28</f>
        <v>-3</v>
      </c>
      <c r="DC28" s="1">
        <f>COUNTIF(DC$2:DC$12,#REF! &amp; "*") -$A28</f>
        <v>-3</v>
      </c>
      <c r="DD28" s="1">
        <f>COUNTIF(DD$2:DD$12,#REF! &amp; "*") -$A28</f>
        <v>-3</v>
      </c>
      <c r="DE28" s="1">
        <f>COUNTIF(DE$2:DE$12,#REF! &amp; "*") -$A28</f>
        <v>-3</v>
      </c>
      <c r="DG28" s="5" t="s">
        <v>8</v>
      </c>
      <c r="DH28" s="1">
        <f>COUNTIF(DH$2:DH$12,#REF! &amp; "*") -$A28</f>
        <v>-3</v>
      </c>
      <c r="DI28" s="1">
        <f>COUNTIF(DI$2:DI$12,#REF! &amp; "*") -$A28</f>
        <v>-3</v>
      </c>
      <c r="DJ28" s="1">
        <f>COUNTIF(DJ$2:DJ$12,#REF! &amp; "*") -$A28</f>
        <v>-3</v>
      </c>
      <c r="DK28" s="1">
        <f>COUNTIF(DK$2:DK$12,#REF! &amp; "*") -$A28</f>
        <v>-3</v>
      </c>
      <c r="DL28" s="1">
        <f>COUNTIF(DL$2:DL$12,#REF! &amp; "*") -$A28</f>
        <v>-3</v>
      </c>
      <c r="DN28" s="5" t="s">
        <v>8</v>
      </c>
      <c r="DO28" s="1">
        <f>COUNTIF(DO$2:DO$12,#REF! &amp; "*") -$A28</f>
        <v>-3</v>
      </c>
      <c r="DP28" s="1">
        <f>COUNTIF(DP$2:DP$12,#REF! &amp; "*") -$A28</f>
        <v>-3</v>
      </c>
      <c r="DQ28" s="1">
        <f>COUNTIF(DQ$2:DQ$12,#REF! &amp; "*") -$A28</f>
        <v>-3</v>
      </c>
      <c r="DR28" s="1">
        <f>COUNTIF(DR$2:DR$12,#REF! &amp; "*") -$A28</f>
        <v>-3</v>
      </c>
      <c r="DS28" s="1">
        <f>COUNTIF(DS$2:DS$12,#REF! &amp; "*") -$A28</f>
        <v>-3</v>
      </c>
      <c r="DU28" s="5" t="s">
        <v>8</v>
      </c>
      <c r="DV28" s="1">
        <f>COUNTIF(DV$2:DV$12,#REF! &amp; "*") -$A28</f>
        <v>-3</v>
      </c>
      <c r="DW28" s="1">
        <f>COUNTIF(DW$2:DW$12,#REF! &amp; "*") -$A28</f>
        <v>-3</v>
      </c>
      <c r="DX28" s="1">
        <f>COUNTIF(DX$2:DX$12,#REF! &amp; "*") -$A28</f>
        <v>-3</v>
      </c>
      <c r="DY28" s="1">
        <f>COUNTIF(DY$2:DY$12,#REF! &amp; "*") -$A28</f>
        <v>-3</v>
      </c>
      <c r="DZ28" s="1">
        <f>COUNTIF(DZ$2:DZ$12,#REF! &amp; "*") -$A28</f>
        <v>-3</v>
      </c>
      <c r="EB28" s="5" t="s">
        <v>8</v>
      </c>
      <c r="EC28" s="1">
        <f>COUNTIF(EC$2:EC$12,#REF! &amp; "*") -$A28</f>
        <v>-3</v>
      </c>
      <c r="ED28" s="1">
        <f>COUNTIF(ED$2:ED$12,#REF! &amp; "*") -$A28</f>
        <v>-3</v>
      </c>
      <c r="EE28" s="1">
        <f>COUNTIF(EE$2:EE$12,#REF! &amp; "*") -$A28</f>
        <v>-3</v>
      </c>
      <c r="EF28" s="1">
        <f>COUNTIF(EF$2:EF$12,#REF! &amp; "*") -$A28</f>
        <v>-3</v>
      </c>
      <c r="EG28" s="1">
        <f>COUNTIF(EG$2:EG$12,#REF! &amp; "*") -$A28</f>
        <v>-3</v>
      </c>
    </row>
    <row r="29" spans="1:138" s="1" customFormat="1" hidden="1">
      <c r="A29" s="1">
        <v>2</v>
      </c>
      <c r="B29" s="1">
        <v>6</v>
      </c>
      <c r="C29" s="1">
        <f>COUNTIF(C$2:C$12,#REF! &amp; "*") -$A29</f>
        <v>-2</v>
      </c>
      <c r="D29" s="1">
        <f>COUNTIF(D$2:D$12,#REF! &amp; "*") -$A29</f>
        <v>-2</v>
      </c>
      <c r="F29" s="5" t="s">
        <v>11</v>
      </c>
      <c r="G29" s="1">
        <f>COUNTIF(G$2:G$12,#REF! &amp; "*") -$A29</f>
        <v>-2</v>
      </c>
      <c r="H29" s="1">
        <f>COUNTIF(H$2:H$12,#REF! &amp; "*") -$A29</f>
        <v>-2</v>
      </c>
      <c r="I29" s="1">
        <f>COUNTIF(I$2:I$12,#REF! &amp; "*") -$A29</f>
        <v>-2</v>
      </c>
      <c r="J29" s="1">
        <f>COUNTIF(J$2:J$12,#REF! &amp; "*") -$A29</f>
        <v>-2</v>
      </c>
      <c r="K29" s="1">
        <f>COUNTIF(K$2:K$12,#REF! &amp; "*") -$A29</f>
        <v>-2</v>
      </c>
      <c r="M29" s="5" t="s">
        <v>11</v>
      </c>
      <c r="N29" s="1">
        <f>COUNTIF(N$2:N$12,#REF! &amp; "*") -$A29</f>
        <v>-2</v>
      </c>
      <c r="O29" s="1">
        <f>COUNTIF(O$2:O$12,#REF! &amp; "*") -$A29</f>
        <v>-2</v>
      </c>
      <c r="P29" s="1">
        <f>COUNTIF(P$2:P$12,#REF! &amp; "*") -$A29</f>
        <v>-2</v>
      </c>
      <c r="Q29" s="1">
        <f>COUNTIF(Q$2:Q$12,#REF! &amp; "*") -$A29</f>
        <v>-2</v>
      </c>
      <c r="R29" s="1">
        <f>COUNTIF(R$2:R$12,#REF! &amp; "*") -$A29</f>
        <v>-2</v>
      </c>
      <c r="T29" s="5" t="s">
        <v>11</v>
      </c>
      <c r="U29" s="1">
        <f>COUNTIF(U$2:U$12,#REF! &amp; "*") -$A29</f>
        <v>-2</v>
      </c>
      <c r="V29" s="1">
        <f>COUNTIF(V$2:V$12,#REF! &amp; "*") -$A29</f>
        <v>-2</v>
      </c>
      <c r="W29" s="1">
        <f>COUNTIF(W$2:W$12,#REF! &amp; "*") -$A29</f>
        <v>-2</v>
      </c>
      <c r="X29" s="1">
        <f>COUNTIF(X$2:X$12,#REF! &amp; "*") -$A29</f>
        <v>-2</v>
      </c>
      <c r="Y29" s="1">
        <f>COUNTIF(Y$2:Y$12,#REF! &amp; "*") -$A29</f>
        <v>-2</v>
      </c>
      <c r="AA29" s="5" t="s">
        <v>11</v>
      </c>
      <c r="AB29" s="1">
        <f>COUNTIF(AB$2:AB$12,#REF! &amp; "*") -$A29</f>
        <v>-2</v>
      </c>
      <c r="AC29" s="1">
        <f>COUNTIF(AC$2:AC$12,#REF! &amp; "*") -$A29</f>
        <v>-2</v>
      </c>
      <c r="AD29" s="1">
        <f>COUNTIF(AD$2:AD$12,#REF! &amp; "*") -$A29</f>
        <v>-2</v>
      </c>
      <c r="AE29" s="1">
        <f>COUNTIF(AE$2:AE$12,#REF! &amp; "*") -$A29</f>
        <v>-2</v>
      </c>
      <c r="AF29" s="1">
        <f>COUNTIF(AF$2:AF$12,#REF! &amp; "*") -$A29</f>
        <v>-2</v>
      </c>
      <c r="AH29" s="5" t="s">
        <v>11</v>
      </c>
      <c r="AI29" s="1">
        <f>COUNTIF(AI$2:AI$12,#REF! &amp; "*") -$A29</f>
        <v>-2</v>
      </c>
      <c r="AJ29" s="1">
        <f>COUNTIF(AJ$2:AJ$12,#REF! &amp; "*") -$A29</f>
        <v>-2</v>
      </c>
      <c r="AK29" s="1">
        <f>COUNTIF(AK$2:AK$12,#REF! &amp; "*") -$A29</f>
        <v>-2</v>
      </c>
      <c r="AL29" s="1">
        <f>COUNTIF(AL$2:AL$12,#REF! &amp; "*") -$A29</f>
        <v>-2</v>
      </c>
      <c r="AM29" s="1">
        <f>COUNTIF(AM$2:AM$12,#REF! &amp; "*") -$A29</f>
        <v>-2</v>
      </c>
      <c r="AO29" s="5" t="s">
        <v>11</v>
      </c>
      <c r="AP29" s="1">
        <f>COUNTIF(AP$2:AP$12,#REF! &amp; "*") -$A29</f>
        <v>-2</v>
      </c>
      <c r="AQ29" s="1">
        <f>COUNTIF(AQ$2:AQ$12,#REF! &amp; "*") -$A29</f>
        <v>-2</v>
      </c>
      <c r="AR29" s="1">
        <f>COUNTIF(AR$2:AR$12,#REF! &amp; "*") -$A29</f>
        <v>-2</v>
      </c>
      <c r="AS29" s="1">
        <f>COUNTIF(AS$2:AS$12,#REF! &amp; "*") -$A29</f>
        <v>-2</v>
      </c>
      <c r="AT29" s="1">
        <f>COUNTIF(AT$2:AT$12,#REF! &amp; "*") -$A29</f>
        <v>-2</v>
      </c>
      <c r="AV29" s="5" t="s">
        <v>11</v>
      </c>
      <c r="AW29" s="1">
        <f>COUNTIF(AW$2:AW$12,#REF! &amp; "*") -$A29</f>
        <v>-2</v>
      </c>
      <c r="AX29" s="1">
        <f>COUNTIF(AX$2:AX$12,#REF! &amp; "*") -$A29</f>
        <v>-2</v>
      </c>
      <c r="AY29" s="1">
        <f>COUNTIF(AY$2:AY$12,#REF! &amp; "*") -$A29</f>
        <v>-2</v>
      </c>
      <c r="AZ29" s="1">
        <f>COUNTIF(AZ$2:AZ$12,#REF! &amp; "*") -$A29</f>
        <v>-2</v>
      </c>
      <c r="BA29" s="1">
        <f>COUNTIF(BA$2:BA$12,#REF! &amp; "*") -$A29</f>
        <v>-2</v>
      </c>
      <c r="BC29" s="5" t="s">
        <v>11</v>
      </c>
      <c r="BD29" s="1">
        <f>COUNTIF(BD$2:BD$12,#REF! &amp; "*") -$A29</f>
        <v>-2</v>
      </c>
      <c r="BE29" s="1">
        <f>COUNTIF(BE$2:BE$12,#REF! &amp; "*") -$A29</f>
        <v>-2</v>
      </c>
      <c r="BF29" s="1">
        <f>COUNTIF(BF$2:BF$12,#REF! &amp; "*") -$A29</f>
        <v>-2</v>
      </c>
      <c r="BG29" s="1">
        <f>COUNTIF(BG$2:BG$12,#REF! &amp; "*") -$A29</f>
        <v>-2</v>
      </c>
      <c r="BH29" s="1">
        <f>COUNTIF(BH$2:BH$12,#REF! &amp; "*") -$A29</f>
        <v>-2</v>
      </c>
      <c r="BJ29" s="5" t="s">
        <v>11</v>
      </c>
      <c r="BK29" s="1">
        <f>COUNTIF(BK$2:BK$12,#REF! &amp; "*") -$A29</f>
        <v>-2</v>
      </c>
      <c r="BL29" s="1">
        <f>COUNTIF(BL$2:BL$12,#REF! &amp; "*") -$A29</f>
        <v>-2</v>
      </c>
      <c r="BM29" s="1">
        <f>COUNTIF(BM$2:BM$12,#REF! &amp; "*") -$A29</f>
        <v>-2</v>
      </c>
      <c r="BN29" s="1">
        <f>COUNTIF(BN$2:BN$12,#REF! &amp; "*") -$A29</f>
        <v>-2</v>
      </c>
      <c r="BO29" s="1">
        <f>COUNTIF(BO$2:BO$12,#REF! &amp; "*") -$A29</f>
        <v>-2</v>
      </c>
      <c r="BQ29" s="5" t="s">
        <v>11</v>
      </c>
      <c r="BR29" s="1">
        <f>COUNTIF(BR$2:BR$12,#REF! &amp; "*") -$A29</f>
        <v>-2</v>
      </c>
      <c r="BS29" s="1">
        <f>COUNTIF(BS$2:BS$12,#REF! &amp; "*") -$A29</f>
        <v>-2</v>
      </c>
      <c r="BT29" s="1">
        <f>COUNTIF(BT$2:BT$12,#REF! &amp; "*") -$A29</f>
        <v>-2</v>
      </c>
      <c r="BU29" s="1">
        <f>COUNTIF(BU$2:BU$12,#REF! &amp; "*") -$A29</f>
        <v>-2</v>
      </c>
      <c r="BV29" s="1">
        <f>COUNTIF(BV$2:BV$12,#REF! &amp; "*") -$A29</f>
        <v>-2</v>
      </c>
      <c r="BX29" s="5" t="s">
        <v>11</v>
      </c>
      <c r="BY29" s="1">
        <f>COUNTIF(BY$2:BY$12,#REF! &amp; "*") -$A29</f>
        <v>-2</v>
      </c>
      <c r="BZ29" s="1">
        <f>COUNTIF(BZ$2:BZ$12,#REF! &amp; "*") -$A29</f>
        <v>-2</v>
      </c>
      <c r="CA29" s="1">
        <f>COUNTIF(CA$2:CA$12,#REF! &amp; "*") -$A29</f>
        <v>-2</v>
      </c>
      <c r="CB29" s="1">
        <f>COUNTIF(CB$2:CB$12,#REF! &amp; "*") -$A29</f>
        <v>-2</v>
      </c>
      <c r="CC29" s="1">
        <f>COUNTIF(CC$2:CC$12,#REF! &amp; "*") -$A29</f>
        <v>-2</v>
      </c>
      <c r="CE29" s="5" t="s">
        <v>11</v>
      </c>
      <c r="CF29" s="1">
        <f>COUNTIF(CF$2:CF$12,#REF! &amp; "*") -$A29</f>
        <v>-2</v>
      </c>
      <c r="CG29" s="1">
        <f>COUNTIF(CG$2:CG$12,#REF! &amp; "*") -$A29</f>
        <v>-2</v>
      </c>
      <c r="CH29" s="1">
        <f>COUNTIF(CH$2:CH$12,#REF! &amp; "*") -$A29</f>
        <v>-2</v>
      </c>
      <c r="CI29" s="1">
        <f>COUNTIF(CI$2:CI$12,#REF! &amp; "*") -$A29</f>
        <v>-2</v>
      </c>
      <c r="CJ29" s="1">
        <f>COUNTIF(CJ$2:CJ$12,#REF! &amp; "*") -$A29</f>
        <v>-2</v>
      </c>
      <c r="CL29" s="5" t="s">
        <v>11</v>
      </c>
      <c r="CM29" s="1">
        <f>COUNTIF(CM$2:CM$12,#REF! &amp; "*") -$A29</f>
        <v>-2</v>
      </c>
      <c r="CN29" s="1">
        <f>COUNTIF(CN$2:CN$12,#REF! &amp; "*") -$A29</f>
        <v>-2</v>
      </c>
      <c r="CO29" s="1">
        <f>COUNTIF(CO$2:CO$12,#REF! &amp; "*") -$A29</f>
        <v>-2</v>
      </c>
      <c r="CP29" s="1">
        <f>COUNTIF(CP$2:CP$12,#REF! &amp; "*") -$A29</f>
        <v>-2</v>
      </c>
      <c r="CQ29" s="1">
        <f>COUNTIF(CQ$2:CQ$12,#REF! &amp; "*") -$A29</f>
        <v>-2</v>
      </c>
      <c r="CS29" s="5" t="s">
        <v>11</v>
      </c>
      <c r="CT29" s="1">
        <f>COUNTIF(CT$2:CT$12,#REF! &amp; "*") -$A29</f>
        <v>-2</v>
      </c>
      <c r="CU29" s="1">
        <f>COUNTIF(CU$2:CU$12,#REF! &amp; "*") -$A29</f>
        <v>-2</v>
      </c>
      <c r="CV29" s="1">
        <f>COUNTIF(CV$2:CV$12,#REF! &amp; "*") -$A29</f>
        <v>-2</v>
      </c>
      <c r="CW29" s="1">
        <f>COUNTIF(CW$2:CW$12,#REF! &amp; "*") -$A29</f>
        <v>-2</v>
      </c>
      <c r="CX29" s="1">
        <f>COUNTIF(CX$2:CX$12,#REF! &amp; "*") -$A29</f>
        <v>-2</v>
      </c>
      <c r="CZ29" s="5" t="s">
        <v>11</v>
      </c>
      <c r="DA29" s="1">
        <f>COUNTIF(DA$2:DA$12,#REF! &amp; "*") -$A29</f>
        <v>-2</v>
      </c>
      <c r="DB29" s="1">
        <f>COUNTIF(DB$2:DB$12,#REF! &amp; "*") -$A29</f>
        <v>-2</v>
      </c>
      <c r="DC29" s="1">
        <f>COUNTIF(DC$2:DC$12,#REF! &amp; "*") -$A29</f>
        <v>-2</v>
      </c>
      <c r="DD29" s="1">
        <f>COUNTIF(DD$2:DD$12,#REF! &amp; "*") -$A29</f>
        <v>-2</v>
      </c>
      <c r="DE29" s="1">
        <f>COUNTIF(DE$2:DE$12,#REF! &amp; "*") -$A29</f>
        <v>-2</v>
      </c>
      <c r="DG29" s="5" t="s">
        <v>11</v>
      </c>
      <c r="DH29" s="1">
        <f>COUNTIF(DH$2:DH$12,#REF! &amp; "*") -$A29</f>
        <v>-2</v>
      </c>
      <c r="DI29" s="1">
        <f>COUNTIF(DI$2:DI$12,#REF! &amp; "*") -$A29</f>
        <v>-2</v>
      </c>
      <c r="DJ29" s="1">
        <f>COUNTIF(DJ$2:DJ$12,#REF! &amp; "*") -$A29</f>
        <v>-2</v>
      </c>
      <c r="DK29" s="1">
        <f>COUNTIF(DK$2:DK$12,#REF! &amp; "*") -$A29</f>
        <v>-2</v>
      </c>
      <c r="DL29" s="1">
        <f>COUNTIF(DL$2:DL$12,#REF! &amp; "*") -$A29</f>
        <v>-2</v>
      </c>
      <c r="DN29" s="5" t="s">
        <v>11</v>
      </c>
      <c r="DO29" s="1">
        <f>COUNTIF(DO$2:DO$12,#REF! &amp; "*") -$A29</f>
        <v>-2</v>
      </c>
      <c r="DP29" s="1">
        <f>COUNTIF(DP$2:DP$12,#REF! &amp; "*") -$A29</f>
        <v>-2</v>
      </c>
      <c r="DQ29" s="1">
        <f>COUNTIF(DQ$2:DQ$12,#REF! &amp; "*") -$A29</f>
        <v>-2</v>
      </c>
      <c r="DR29" s="1">
        <f>COUNTIF(DR$2:DR$12,#REF! &amp; "*") -$A29</f>
        <v>-2</v>
      </c>
      <c r="DS29" s="1">
        <f>COUNTIF(DS$2:DS$12,#REF! &amp; "*") -$A29</f>
        <v>-2</v>
      </c>
      <c r="DU29" s="5" t="s">
        <v>11</v>
      </c>
      <c r="DV29" s="1">
        <f>COUNTIF(DV$2:DV$12,#REF! &amp; "*") -$A29</f>
        <v>-2</v>
      </c>
      <c r="DW29" s="1">
        <f>COUNTIF(DW$2:DW$12,#REF! &amp; "*") -$A29</f>
        <v>-2</v>
      </c>
      <c r="DX29" s="1">
        <f>COUNTIF(DX$2:DX$12,#REF! &amp; "*") -$A29</f>
        <v>-2</v>
      </c>
      <c r="DY29" s="1">
        <f>COUNTIF(DY$2:DY$12,#REF! &amp; "*") -$A29</f>
        <v>-2</v>
      </c>
      <c r="DZ29" s="1">
        <f>COUNTIF(DZ$2:DZ$12,#REF! &amp; "*") -$A29</f>
        <v>-2</v>
      </c>
      <c r="EB29" s="5" t="s">
        <v>11</v>
      </c>
      <c r="EC29" s="1">
        <f>COUNTIF(EC$2:EC$12,#REF! &amp; "*") -$A29</f>
        <v>-2</v>
      </c>
      <c r="ED29" s="1">
        <f>COUNTIF(ED$2:ED$12,#REF! &amp; "*") -$A29</f>
        <v>-2</v>
      </c>
      <c r="EE29" s="1">
        <f>COUNTIF(EE$2:EE$12,#REF! &amp; "*") -$A29</f>
        <v>-2</v>
      </c>
      <c r="EF29" s="1">
        <f>COUNTIF(EF$2:EF$12,#REF! &amp; "*") -$A29</f>
        <v>-2</v>
      </c>
      <c r="EG29" s="1">
        <f>COUNTIF(EG$2:EG$12,#REF! &amp; "*") -$A29</f>
        <v>-2</v>
      </c>
    </row>
    <row r="30" spans="1:138" s="1" customFormat="1" hidden="1">
      <c r="A30" s="1">
        <v>2</v>
      </c>
      <c r="B30" s="1">
        <v>2</v>
      </c>
      <c r="C30" s="1">
        <f>COUNTIF(C$2:C$12,#REF! &amp; "*") -$A30</f>
        <v>-2</v>
      </c>
      <c r="D30" s="1">
        <f>COUNTIF(D$2:D$12,#REF! &amp; "*") -$A30</f>
        <v>-2</v>
      </c>
      <c r="F30" s="5" t="s">
        <v>10</v>
      </c>
      <c r="G30" s="1">
        <f>COUNTIF(G$2:G$12,#REF! &amp; "*") -$A30</f>
        <v>-2</v>
      </c>
      <c r="H30" s="1">
        <f>COUNTIF(H$2:H$12,#REF! &amp; "*") -$A30</f>
        <v>-2</v>
      </c>
      <c r="I30" s="1">
        <f>COUNTIF(I$2:I$12,#REF! &amp; "*") -$A30</f>
        <v>-2</v>
      </c>
      <c r="J30" s="1">
        <f>COUNTIF(J$2:J$12,#REF! &amp; "*") -$A30</f>
        <v>-2</v>
      </c>
      <c r="K30" s="1">
        <f>COUNTIF(K$2:K$12,#REF! &amp; "*") -$A30</f>
        <v>-2</v>
      </c>
      <c r="M30" s="5" t="s">
        <v>10</v>
      </c>
      <c r="N30" s="1">
        <f>COUNTIF(N$2:N$12,#REF! &amp; "*") -$A30</f>
        <v>-2</v>
      </c>
      <c r="O30" s="1">
        <f>COUNTIF(O$2:O$12,#REF! &amp; "*") -$A30</f>
        <v>-2</v>
      </c>
      <c r="P30" s="1">
        <f>COUNTIF(P$2:P$12,#REF! &amp; "*") -$A30</f>
        <v>-2</v>
      </c>
      <c r="Q30" s="1">
        <f>COUNTIF(Q$2:Q$12,#REF! &amp; "*") -$A30</f>
        <v>-2</v>
      </c>
      <c r="R30" s="1">
        <f>COUNTIF(R$2:R$12,#REF! &amp; "*") -$A30</f>
        <v>-2</v>
      </c>
      <c r="T30" s="5" t="s">
        <v>10</v>
      </c>
      <c r="U30" s="1">
        <f>COUNTIF(U$2:U$12,#REF! &amp; "*") -$A30</f>
        <v>-2</v>
      </c>
      <c r="V30" s="1">
        <f>COUNTIF(V$2:V$12,#REF! &amp; "*") -$A30</f>
        <v>-2</v>
      </c>
      <c r="W30" s="1">
        <f>COUNTIF(W$2:W$12,#REF! &amp; "*") -$A30</f>
        <v>-2</v>
      </c>
      <c r="X30" s="1">
        <f>COUNTIF(X$2:X$12,#REF! &amp; "*") -$A30</f>
        <v>-2</v>
      </c>
      <c r="Y30" s="1">
        <f>COUNTIF(Y$2:Y$12,#REF! &amp; "*") -$A30</f>
        <v>-2</v>
      </c>
      <c r="AA30" s="5" t="s">
        <v>10</v>
      </c>
      <c r="AB30" s="1">
        <f>COUNTIF(AB$2:AB$12,#REF! &amp; "*") -$A30</f>
        <v>-2</v>
      </c>
      <c r="AC30" s="1">
        <f>COUNTIF(AC$2:AC$12,#REF! &amp; "*") -$A30</f>
        <v>-2</v>
      </c>
      <c r="AD30" s="1">
        <f>COUNTIF(AD$2:AD$12,#REF! &amp; "*") -$A30</f>
        <v>-2</v>
      </c>
      <c r="AE30" s="1">
        <f>COUNTIF(AE$2:AE$12,#REF! &amp; "*") -$A30</f>
        <v>-2</v>
      </c>
      <c r="AF30" s="1">
        <f>COUNTIF(AF$2:AF$12,#REF! &amp; "*") -$A30</f>
        <v>-2</v>
      </c>
      <c r="AH30" s="5" t="s">
        <v>10</v>
      </c>
      <c r="AI30" s="1">
        <f>COUNTIF(AI$2:AI$12,#REF! &amp; "*") -$A30</f>
        <v>-2</v>
      </c>
      <c r="AJ30" s="1">
        <f>COUNTIF(AJ$2:AJ$12,#REF! &amp; "*") -$A30</f>
        <v>-2</v>
      </c>
      <c r="AK30" s="1">
        <f>COUNTIF(AK$2:AK$12,#REF! &amp; "*") -$A30</f>
        <v>-2</v>
      </c>
      <c r="AL30" s="1">
        <f>COUNTIF(AL$2:AL$12,#REF! &amp; "*") -$A30</f>
        <v>-2</v>
      </c>
      <c r="AM30" s="1">
        <f>COUNTIF(AM$2:AM$12,#REF! &amp; "*") -$A30</f>
        <v>-2</v>
      </c>
      <c r="AO30" s="5" t="s">
        <v>10</v>
      </c>
      <c r="AP30" s="1">
        <f>COUNTIF(AP$2:AP$12,#REF! &amp; "*") -$A30</f>
        <v>-2</v>
      </c>
      <c r="AQ30" s="1">
        <f>COUNTIF(AQ$2:AQ$12,#REF! &amp; "*") -$A30</f>
        <v>-2</v>
      </c>
      <c r="AR30" s="1">
        <f>COUNTIF(AR$2:AR$12,#REF! &amp; "*") -$A30</f>
        <v>-2</v>
      </c>
      <c r="AS30" s="1">
        <f>COUNTIF(AS$2:AS$12,#REF! &amp; "*") -$A30</f>
        <v>-2</v>
      </c>
      <c r="AT30" s="1">
        <f>COUNTIF(AT$2:AT$12,#REF! &amp; "*") -$A30</f>
        <v>-2</v>
      </c>
      <c r="AV30" s="5" t="s">
        <v>10</v>
      </c>
      <c r="AW30" s="1">
        <f>COUNTIF(AW$2:AW$12,#REF! &amp; "*") -$A30</f>
        <v>-2</v>
      </c>
      <c r="AX30" s="1">
        <f>COUNTIF(AX$2:AX$12,#REF! &amp; "*") -$A30</f>
        <v>-2</v>
      </c>
      <c r="AY30" s="1">
        <f>COUNTIF(AY$2:AY$12,#REF! &amp; "*") -$A30</f>
        <v>-2</v>
      </c>
      <c r="AZ30" s="1">
        <f>COUNTIF(AZ$2:AZ$12,#REF! &amp; "*") -$A30</f>
        <v>-2</v>
      </c>
      <c r="BA30" s="1">
        <f>COUNTIF(BA$2:BA$12,#REF! &amp; "*") -$A30</f>
        <v>-2</v>
      </c>
      <c r="BC30" s="5" t="s">
        <v>10</v>
      </c>
      <c r="BD30" s="1">
        <f>COUNTIF(BD$2:BD$12,#REF! &amp; "*") -$A30</f>
        <v>-2</v>
      </c>
      <c r="BE30" s="1">
        <f>COUNTIF(BE$2:BE$12,#REF! &amp; "*") -$A30</f>
        <v>-2</v>
      </c>
      <c r="BF30" s="1">
        <f>COUNTIF(BF$2:BF$12,#REF! &amp; "*") -$A30</f>
        <v>-2</v>
      </c>
      <c r="BG30" s="1">
        <f>COUNTIF(BG$2:BG$12,#REF! &amp; "*") -$A30</f>
        <v>-2</v>
      </c>
      <c r="BH30" s="1">
        <f>COUNTIF(BH$2:BH$12,#REF! &amp; "*") -$A30</f>
        <v>-2</v>
      </c>
      <c r="BJ30" s="5" t="s">
        <v>10</v>
      </c>
      <c r="BK30" s="1">
        <f>COUNTIF(BK$2:BK$12,#REF! &amp; "*") -$A30</f>
        <v>-2</v>
      </c>
      <c r="BL30" s="1">
        <f>COUNTIF(BL$2:BL$12,#REF! &amp; "*") -$A30</f>
        <v>-2</v>
      </c>
      <c r="BM30" s="1">
        <f>COUNTIF(BM$2:BM$12,#REF! &amp; "*") -$A30</f>
        <v>-2</v>
      </c>
      <c r="BN30" s="1">
        <f>COUNTIF(BN$2:BN$12,#REF! &amp; "*") -$A30</f>
        <v>-2</v>
      </c>
      <c r="BO30" s="1">
        <f>COUNTIF(BO$2:BO$12,#REF! &amp; "*") -$A30</f>
        <v>-2</v>
      </c>
      <c r="BQ30" s="5" t="s">
        <v>10</v>
      </c>
      <c r="BR30" s="1">
        <f>COUNTIF(BR$2:BR$12,#REF! &amp; "*") -$A30</f>
        <v>-2</v>
      </c>
      <c r="BS30" s="1">
        <f>COUNTIF(BS$2:BS$12,#REF! &amp; "*") -$A30</f>
        <v>-2</v>
      </c>
      <c r="BT30" s="1">
        <f>COUNTIF(BT$2:BT$12,#REF! &amp; "*") -$A30</f>
        <v>-2</v>
      </c>
      <c r="BU30" s="1">
        <f>COUNTIF(BU$2:BU$12,#REF! &amp; "*") -$A30</f>
        <v>-2</v>
      </c>
      <c r="BV30" s="1">
        <f>COUNTIF(BV$2:BV$12,#REF! &amp; "*") -$A30</f>
        <v>-2</v>
      </c>
      <c r="BX30" s="5" t="s">
        <v>10</v>
      </c>
      <c r="BY30" s="1">
        <f>COUNTIF(BY$2:BY$12,#REF! &amp; "*") -$A30</f>
        <v>-2</v>
      </c>
      <c r="BZ30" s="1">
        <f>COUNTIF(BZ$2:BZ$12,#REF! &amp; "*") -$A30</f>
        <v>-2</v>
      </c>
      <c r="CA30" s="1">
        <f>COUNTIF(CA$2:CA$12,#REF! &amp; "*") -$A30</f>
        <v>-2</v>
      </c>
      <c r="CB30" s="1">
        <f>COUNTIF(CB$2:CB$12,#REF! &amp; "*") -$A30</f>
        <v>-2</v>
      </c>
      <c r="CC30" s="1">
        <f>COUNTIF(CC$2:CC$12,#REF! &amp; "*") -$A30</f>
        <v>-2</v>
      </c>
      <c r="CE30" s="5" t="s">
        <v>10</v>
      </c>
      <c r="CF30" s="1">
        <f>COUNTIF(CF$2:CF$12,#REF! &amp; "*") -$A30</f>
        <v>-2</v>
      </c>
      <c r="CG30" s="1">
        <f>COUNTIF(CG$2:CG$12,#REF! &amp; "*") -$A30</f>
        <v>-2</v>
      </c>
      <c r="CH30" s="1">
        <f>COUNTIF(CH$2:CH$12,#REF! &amp; "*") -$A30</f>
        <v>-2</v>
      </c>
      <c r="CI30" s="1">
        <f>COUNTIF(CI$2:CI$12,#REF! &amp; "*") -$A30</f>
        <v>-2</v>
      </c>
      <c r="CJ30" s="1">
        <f>COUNTIF(CJ$2:CJ$12,#REF! &amp; "*") -$A30</f>
        <v>-2</v>
      </c>
      <c r="CL30" s="5" t="s">
        <v>10</v>
      </c>
      <c r="CM30" s="1">
        <f>COUNTIF(CM$2:CM$12,#REF! &amp; "*") -$A30</f>
        <v>-2</v>
      </c>
      <c r="CN30" s="1">
        <f>COUNTIF(CN$2:CN$12,#REF! &amp; "*") -$A30</f>
        <v>-2</v>
      </c>
      <c r="CO30" s="1">
        <f>COUNTIF(CO$2:CO$12,#REF! &amp; "*") -$A30</f>
        <v>-2</v>
      </c>
      <c r="CP30" s="1">
        <f>COUNTIF(CP$2:CP$12,#REF! &amp; "*") -$A30</f>
        <v>-2</v>
      </c>
      <c r="CQ30" s="1">
        <f>COUNTIF(CQ$2:CQ$12,#REF! &amp; "*") -$A30</f>
        <v>-2</v>
      </c>
      <c r="CS30" s="5" t="s">
        <v>10</v>
      </c>
      <c r="CT30" s="1">
        <f>COUNTIF(CT$2:CT$12,#REF! &amp; "*") -$A30</f>
        <v>-2</v>
      </c>
      <c r="CU30" s="1">
        <f>COUNTIF(CU$2:CU$12,#REF! &amp; "*") -$A30</f>
        <v>-2</v>
      </c>
      <c r="CV30" s="1">
        <f>COUNTIF(CV$2:CV$12,#REF! &amp; "*") -$A30</f>
        <v>-2</v>
      </c>
      <c r="CW30" s="1">
        <f>COUNTIF(CW$2:CW$12,#REF! &amp; "*") -$A30</f>
        <v>-2</v>
      </c>
      <c r="CX30" s="1">
        <f>COUNTIF(CX$2:CX$12,#REF! &amp; "*") -$A30</f>
        <v>-2</v>
      </c>
      <c r="CZ30" s="5" t="s">
        <v>10</v>
      </c>
      <c r="DA30" s="1">
        <f>COUNTIF(DA$2:DA$12,#REF! &amp; "*") -$A30</f>
        <v>-2</v>
      </c>
      <c r="DB30" s="1">
        <f>COUNTIF(DB$2:DB$12,#REF! &amp; "*") -$A30</f>
        <v>-2</v>
      </c>
      <c r="DC30" s="1">
        <f>COUNTIF(DC$2:DC$12,#REF! &amp; "*") -$A30</f>
        <v>-2</v>
      </c>
      <c r="DD30" s="1">
        <f>COUNTIF(DD$2:DD$12,#REF! &amp; "*") -$A30</f>
        <v>-2</v>
      </c>
      <c r="DE30" s="1">
        <f>COUNTIF(DE$2:DE$12,#REF! &amp; "*") -$A30</f>
        <v>-2</v>
      </c>
      <c r="DG30" s="5" t="s">
        <v>10</v>
      </c>
      <c r="DH30" s="1">
        <f>COUNTIF(DH$2:DH$12,#REF! &amp; "*") -$A30</f>
        <v>-2</v>
      </c>
      <c r="DI30" s="1">
        <f>COUNTIF(DI$2:DI$12,#REF! &amp; "*") -$A30</f>
        <v>-2</v>
      </c>
      <c r="DJ30" s="1">
        <f>COUNTIF(DJ$2:DJ$12,#REF! &amp; "*") -$A30</f>
        <v>-2</v>
      </c>
      <c r="DK30" s="1">
        <f>COUNTIF(DK$2:DK$12,#REF! &amp; "*") -$A30</f>
        <v>-2</v>
      </c>
      <c r="DL30" s="1">
        <f>COUNTIF(DL$2:DL$12,#REF! &amp; "*") -$A30</f>
        <v>-2</v>
      </c>
      <c r="DN30" s="5" t="s">
        <v>10</v>
      </c>
      <c r="DO30" s="1">
        <f>COUNTIF(DO$2:DO$12,#REF! &amp; "*") -$A30</f>
        <v>-2</v>
      </c>
      <c r="DP30" s="1">
        <f>COUNTIF(DP$2:DP$12,#REF! &amp; "*") -$A30</f>
        <v>-2</v>
      </c>
      <c r="DQ30" s="1">
        <f>COUNTIF(DQ$2:DQ$12,#REF! &amp; "*") -$A30</f>
        <v>-2</v>
      </c>
      <c r="DR30" s="1">
        <f>COUNTIF(DR$2:DR$12,#REF! &amp; "*") -$A30</f>
        <v>-2</v>
      </c>
      <c r="DS30" s="1">
        <f>COUNTIF(DS$2:DS$12,#REF! &amp; "*") -$A30</f>
        <v>-2</v>
      </c>
      <c r="DU30" s="5" t="s">
        <v>10</v>
      </c>
      <c r="DV30" s="1">
        <f>COUNTIF(DV$2:DV$12,#REF! &amp; "*") -$A30</f>
        <v>-2</v>
      </c>
      <c r="DW30" s="1">
        <f>COUNTIF(DW$2:DW$12,#REF! &amp; "*") -$A30</f>
        <v>-2</v>
      </c>
      <c r="DX30" s="1">
        <f>COUNTIF(DX$2:DX$12,#REF! &amp; "*") -$A30</f>
        <v>-2</v>
      </c>
      <c r="DY30" s="1">
        <f>COUNTIF(DY$2:DY$12,#REF! &amp; "*") -$A30</f>
        <v>-2</v>
      </c>
      <c r="DZ30" s="1">
        <f>COUNTIF(DZ$2:DZ$12,#REF! &amp; "*") -$A30</f>
        <v>-2</v>
      </c>
      <c r="EB30" s="5" t="s">
        <v>10</v>
      </c>
      <c r="EC30" s="1">
        <f>COUNTIF(EC$2:EC$12,#REF! &amp; "*") -$A30</f>
        <v>-2</v>
      </c>
      <c r="ED30" s="1">
        <f>COUNTIF(ED$2:ED$12,#REF! &amp; "*") -$A30</f>
        <v>-2</v>
      </c>
      <c r="EE30" s="1">
        <f>COUNTIF(EE$2:EE$12,#REF! &amp; "*") -$A30</f>
        <v>-2</v>
      </c>
      <c r="EF30" s="1">
        <f>COUNTIF(EF$2:EF$12,#REF! &amp; "*") -$A30</f>
        <v>-2</v>
      </c>
      <c r="EG30" s="1">
        <f>COUNTIF(EG$2:EG$12,#REF! &amp; "*") -$A30</f>
        <v>-2</v>
      </c>
    </row>
    <row r="31" spans="1:138" hidden="1">
      <c r="A31">
        <v>1</v>
      </c>
      <c r="B31">
        <v>0</v>
      </c>
      <c r="C31">
        <f>COUNTIF(C$2:C$12,#REF! &amp; "*") -$A31</f>
        <v>-1</v>
      </c>
      <c r="D31">
        <f>COUNTIF(D$2:D$12,#REF! &amp; "*") -$A31</f>
        <v>-1</v>
      </c>
      <c r="F31" s="5" t="s">
        <v>7</v>
      </c>
      <c r="G31">
        <f>COUNTIF(G$2:G$12,#REF! &amp; "*") -$A31</f>
        <v>-1</v>
      </c>
      <c r="H31">
        <f>COUNTIF(H$2:H$12,#REF! &amp; "*") -$A31</f>
        <v>-1</v>
      </c>
      <c r="I31">
        <f>COUNTIF(I$2:I$12,#REF! &amp; "*") -$A31</f>
        <v>-1</v>
      </c>
      <c r="J31">
        <f>COUNTIF(J$2:J$12,#REF! &amp; "*") -$A31</f>
        <v>-1</v>
      </c>
      <c r="K31">
        <f>COUNTIF(K$2:K$12,#REF! &amp; "*") -$A31</f>
        <v>-1</v>
      </c>
      <c r="M31" s="5" t="s">
        <v>7</v>
      </c>
      <c r="N31">
        <f>COUNTIF(N$2:N$12,#REF! &amp; "*") -$A31</f>
        <v>-1</v>
      </c>
      <c r="O31">
        <f>COUNTIF(O$2:O$12,#REF! &amp; "*") -$A31</f>
        <v>-1</v>
      </c>
      <c r="P31">
        <f>COUNTIF(P$2:P$12,#REF! &amp; "*") -$A31</f>
        <v>-1</v>
      </c>
      <c r="Q31">
        <f>COUNTIF(Q$2:Q$12,#REF! &amp; "*") -$A31</f>
        <v>-1</v>
      </c>
      <c r="R31">
        <f>COUNTIF(R$2:R$12,#REF! &amp; "*") -$A31</f>
        <v>-1</v>
      </c>
      <c r="T31" s="5" t="s">
        <v>7</v>
      </c>
      <c r="U31">
        <f>COUNTIF(U$2:U$12,#REF! &amp; "*") -$A31</f>
        <v>-1</v>
      </c>
      <c r="V31">
        <f>COUNTIF(V$2:V$12,#REF! &amp; "*") -$A31</f>
        <v>-1</v>
      </c>
      <c r="W31">
        <f>COUNTIF(W$2:W$12,#REF! &amp; "*") -$A31</f>
        <v>-1</v>
      </c>
      <c r="X31">
        <f>COUNTIF(X$2:X$12,#REF! &amp; "*") -$A31</f>
        <v>-1</v>
      </c>
      <c r="Y31">
        <f>COUNTIF(Y$2:Y$12,#REF! &amp; "*") -$A31</f>
        <v>-1</v>
      </c>
      <c r="AA31" s="5" t="s">
        <v>7</v>
      </c>
      <c r="AB31">
        <f>COUNTIF(AB$2:AB$12,#REF! &amp; "*") -$A31</f>
        <v>-1</v>
      </c>
      <c r="AC31">
        <f>COUNTIF(AC$2:AC$12,#REF! &amp; "*") -$A31</f>
        <v>-1</v>
      </c>
      <c r="AD31">
        <f>COUNTIF(AD$2:AD$12,#REF! &amp; "*") -$A31</f>
        <v>-1</v>
      </c>
      <c r="AE31">
        <f>COUNTIF(AE$2:AE$12,#REF! &amp; "*") -$A31</f>
        <v>-1</v>
      </c>
      <c r="AF31">
        <f>COUNTIF(AF$2:AF$12,#REF! &amp; "*") -$A31</f>
        <v>-1</v>
      </c>
      <c r="AH31" s="5" t="s">
        <v>7</v>
      </c>
      <c r="AI31">
        <f>COUNTIF(AI$2:AI$12,#REF! &amp; "*") -$A31</f>
        <v>-1</v>
      </c>
      <c r="AJ31">
        <f>COUNTIF(AJ$2:AJ$12,#REF! &amp; "*") -$A31</f>
        <v>-1</v>
      </c>
      <c r="AK31">
        <f>COUNTIF(AK$2:AK$12,#REF! &amp; "*") -$A31</f>
        <v>-1</v>
      </c>
      <c r="AL31">
        <f>COUNTIF(AL$2:AL$12,#REF! &amp; "*") -$A31</f>
        <v>-1</v>
      </c>
      <c r="AM31">
        <f>COUNTIF(AM$2:AM$12,#REF! &amp; "*") -$A31</f>
        <v>-1</v>
      </c>
      <c r="AO31" s="5" t="s">
        <v>7</v>
      </c>
      <c r="AP31">
        <f>COUNTIF(AP$2:AP$12,#REF! &amp; "*") -$A31</f>
        <v>-1</v>
      </c>
      <c r="AQ31">
        <f>COUNTIF(AQ$2:AQ$12,#REF! &amp; "*") -$A31</f>
        <v>-1</v>
      </c>
      <c r="AR31">
        <f>COUNTIF(AR$2:AR$12,#REF! &amp; "*") -$A31</f>
        <v>-1</v>
      </c>
      <c r="AS31">
        <f>COUNTIF(AS$2:AS$12,#REF! &amp; "*") -$A31</f>
        <v>-1</v>
      </c>
      <c r="AT31">
        <f>COUNTIF(AT$2:AT$12,#REF! &amp; "*") -$A31</f>
        <v>-1</v>
      </c>
      <c r="AV31" s="5" t="s">
        <v>7</v>
      </c>
      <c r="AW31">
        <f>COUNTIF(AW$2:AW$12,#REF! &amp; "*") -$A31</f>
        <v>-1</v>
      </c>
      <c r="AX31">
        <f>COUNTIF(AX$2:AX$12,#REF! &amp; "*") -$A31</f>
        <v>-1</v>
      </c>
      <c r="AY31">
        <f>COUNTIF(AY$2:AY$12,#REF! &amp; "*") -$A31</f>
        <v>-1</v>
      </c>
      <c r="AZ31">
        <f>COUNTIF(AZ$2:AZ$12,#REF! &amp; "*") -$A31</f>
        <v>-1</v>
      </c>
      <c r="BA31">
        <f>COUNTIF(BA$2:BA$12,#REF! &amp; "*") -$A31</f>
        <v>-1</v>
      </c>
      <c r="BC31" s="5" t="s">
        <v>7</v>
      </c>
      <c r="BD31">
        <f>COUNTIF(BD$2:BD$12,#REF! &amp; "*") -$A31</f>
        <v>-1</v>
      </c>
      <c r="BE31">
        <f>COUNTIF(BE$2:BE$12,#REF! &amp; "*") -$A31</f>
        <v>-1</v>
      </c>
      <c r="BF31">
        <f>COUNTIF(BF$2:BF$12,#REF! &amp; "*") -$A31</f>
        <v>-1</v>
      </c>
      <c r="BG31">
        <f>COUNTIF(BG$2:BG$12,#REF! &amp; "*") -$A31</f>
        <v>-1</v>
      </c>
      <c r="BH31">
        <f>COUNTIF(BH$2:BH$12,#REF! &amp; "*") -$A31</f>
        <v>-1</v>
      </c>
      <c r="BI31" s="1"/>
      <c r="BJ31" s="5" t="s">
        <v>7</v>
      </c>
      <c r="BK31">
        <f>COUNTIF(BK$2:BK$12,#REF! &amp; "*") -$A31</f>
        <v>-1</v>
      </c>
      <c r="BL31">
        <f>COUNTIF(BL$2:BL$12,#REF! &amp; "*") -$A31</f>
        <v>-1</v>
      </c>
      <c r="BM31">
        <f>COUNTIF(BM$2:BM$12,#REF! &amp; "*") -$A31</f>
        <v>-1</v>
      </c>
      <c r="BN31">
        <f>COUNTIF(BN$2:BN$12,#REF! &amp; "*") -$A31</f>
        <v>-1</v>
      </c>
      <c r="BO31">
        <f>COUNTIF(BO$2:BO$12,#REF! &amp; "*") -$A31</f>
        <v>-1</v>
      </c>
      <c r="BP31" s="1"/>
      <c r="BQ31" s="5" t="s">
        <v>7</v>
      </c>
      <c r="BR31">
        <f>COUNTIF(BR$2:BR$12,#REF! &amp; "*") -$A31</f>
        <v>-1</v>
      </c>
      <c r="BS31">
        <f>COUNTIF(BS$2:BS$12,#REF! &amp; "*") -$A31</f>
        <v>-1</v>
      </c>
      <c r="BT31">
        <f>COUNTIF(BT$2:BT$12,#REF! &amp; "*") -$A31</f>
        <v>-1</v>
      </c>
      <c r="BU31">
        <f>COUNTIF(BU$2:BU$12,#REF! &amp; "*") -$A31</f>
        <v>-1</v>
      </c>
      <c r="BV31">
        <f>COUNTIF(BV$2:BV$12,#REF! &amp; "*") -$A31</f>
        <v>-1</v>
      </c>
      <c r="BW31" s="1"/>
      <c r="BX31" s="5" t="s">
        <v>7</v>
      </c>
      <c r="BY31">
        <f>COUNTIF(BY$2:BY$12,#REF! &amp; "*") -$A31</f>
        <v>-1</v>
      </c>
      <c r="BZ31">
        <f>COUNTIF(BZ$2:BZ$12,#REF! &amp; "*") -$A31</f>
        <v>-1</v>
      </c>
      <c r="CA31">
        <f>COUNTIF(CA$2:CA$12,#REF! &amp; "*") -$A31</f>
        <v>-1</v>
      </c>
      <c r="CB31">
        <f>COUNTIF(CB$2:CB$12,#REF! &amp; "*") -$A31</f>
        <v>-1</v>
      </c>
      <c r="CC31">
        <f>COUNTIF(CC$2:CC$12,#REF! &amp; "*") -$A31</f>
        <v>-1</v>
      </c>
      <c r="CD31" s="1"/>
      <c r="CE31" s="5" t="s">
        <v>7</v>
      </c>
      <c r="CF31">
        <f>COUNTIF(CF$2:CF$12,#REF! &amp; "*") -$A31</f>
        <v>-1</v>
      </c>
      <c r="CG31">
        <f>COUNTIF(CG$2:CG$12,#REF! &amp; "*") -$A31</f>
        <v>-1</v>
      </c>
      <c r="CH31">
        <f>COUNTIF(CH$2:CH$12,#REF! &amp; "*") -$A31</f>
        <v>-1</v>
      </c>
      <c r="CI31">
        <f>COUNTIF(CI$2:CI$12,#REF! &amp; "*") -$A31</f>
        <v>-1</v>
      </c>
      <c r="CJ31">
        <f>COUNTIF(CJ$2:CJ$12,#REF! &amp; "*") -$A31</f>
        <v>-1</v>
      </c>
      <c r="CK31" s="1"/>
      <c r="CL31" s="5" t="s">
        <v>7</v>
      </c>
      <c r="CM31">
        <f>COUNTIF(CM$2:CM$12,#REF! &amp; "*") -$A31</f>
        <v>-1</v>
      </c>
      <c r="CN31">
        <f>COUNTIF(CN$2:CN$12,#REF! &amp; "*") -$A31</f>
        <v>-1</v>
      </c>
      <c r="CO31">
        <f>COUNTIF(CO$2:CO$12,#REF! &amp; "*") -$A31</f>
        <v>-1</v>
      </c>
      <c r="CP31">
        <f>COUNTIF(CP$2:CP$12,#REF! &amp; "*") -$A31</f>
        <v>-1</v>
      </c>
      <c r="CQ31">
        <f>COUNTIF(CQ$2:CQ$12,#REF! &amp; "*") -$A31</f>
        <v>-1</v>
      </c>
      <c r="CR31" s="1"/>
      <c r="CS31" s="5" t="s">
        <v>7</v>
      </c>
      <c r="CT31">
        <f>COUNTIF(CT$2:CT$12,#REF! &amp; "*") -$A31</f>
        <v>-1</v>
      </c>
      <c r="CU31">
        <f>COUNTIF(CU$2:CU$12,#REF! &amp; "*") -$A31</f>
        <v>-1</v>
      </c>
      <c r="CV31">
        <f>COUNTIF(CV$2:CV$12,#REF! &amp; "*") -$A31</f>
        <v>-1</v>
      </c>
      <c r="CW31">
        <f>COUNTIF(CW$2:CW$12,#REF! &amp; "*") -$A31</f>
        <v>-1</v>
      </c>
      <c r="CX31">
        <f>COUNTIF(CX$2:CX$12,#REF! &amp; "*") -$A31</f>
        <v>-1</v>
      </c>
      <c r="CY31" s="1"/>
      <c r="CZ31" s="5" t="s">
        <v>7</v>
      </c>
      <c r="DA31">
        <f>COUNTIF(DA$2:DA$12,#REF! &amp; "*") -$A31</f>
        <v>-1</v>
      </c>
      <c r="DB31">
        <f>COUNTIF(DB$2:DB$12,#REF! &amp; "*") -$A31</f>
        <v>-1</v>
      </c>
      <c r="DC31">
        <f>COUNTIF(DC$2:DC$12,#REF! &amp; "*") -$A31</f>
        <v>-1</v>
      </c>
      <c r="DD31">
        <f>COUNTIF(DD$2:DD$12,#REF! &amp; "*") -$A31</f>
        <v>-1</v>
      </c>
      <c r="DE31">
        <f>COUNTIF(DE$2:DE$12,#REF! &amp; "*") -$A31</f>
        <v>-1</v>
      </c>
      <c r="DF31" s="1"/>
      <c r="DG31" s="5" t="s">
        <v>7</v>
      </c>
      <c r="DH31">
        <f>COUNTIF(DH$2:DH$12,#REF! &amp; "*") -$A31</f>
        <v>-1</v>
      </c>
      <c r="DI31">
        <f>COUNTIF(DI$2:DI$12,#REF! &amp; "*") -$A31</f>
        <v>-1</v>
      </c>
      <c r="DJ31">
        <f>COUNTIF(DJ$2:DJ$12,#REF! &amp; "*") -$A31</f>
        <v>-1</v>
      </c>
      <c r="DK31">
        <f>COUNTIF(DK$2:DK$12,#REF! &amp; "*") -$A31</f>
        <v>-1</v>
      </c>
      <c r="DL31">
        <f>COUNTIF(DL$2:DL$12,#REF! &amp; "*") -$A31</f>
        <v>-1</v>
      </c>
      <c r="DM31" s="1"/>
      <c r="DN31" s="5" t="s">
        <v>7</v>
      </c>
      <c r="DO31">
        <f>COUNTIF(DO$2:DO$12,#REF! &amp; "*") -$A31</f>
        <v>-1</v>
      </c>
      <c r="DP31">
        <f>COUNTIF(DP$2:DP$12,#REF! &amp; "*") -$A31</f>
        <v>-1</v>
      </c>
      <c r="DQ31">
        <f>COUNTIF(DQ$2:DQ$12,#REF! &amp; "*") -$A31</f>
        <v>-1</v>
      </c>
      <c r="DR31">
        <f>COUNTIF(DR$2:DR$12,#REF! &amp; "*") -$A31</f>
        <v>-1</v>
      </c>
      <c r="DS31">
        <f>COUNTIF(DS$2:DS$12,#REF! &amp; "*") -$A31</f>
        <v>-1</v>
      </c>
      <c r="DT31" s="1"/>
      <c r="DU31" s="5" t="s">
        <v>7</v>
      </c>
      <c r="DV31">
        <f>COUNTIF(DV$2:DV$12,#REF! &amp; "*") -$A31</f>
        <v>-1</v>
      </c>
      <c r="DW31">
        <f>COUNTIF(DW$2:DW$12,#REF! &amp; "*") -$A31</f>
        <v>-1</v>
      </c>
      <c r="DX31">
        <f>COUNTIF(DX$2:DX$12,#REF! &amp; "*") -$A31</f>
        <v>-1</v>
      </c>
      <c r="DY31">
        <f>COUNTIF(DY$2:DY$12,#REF! &amp; "*") -$A31</f>
        <v>-1</v>
      </c>
      <c r="DZ31">
        <f>COUNTIF(DZ$2:DZ$12,#REF! &amp; "*") -$A31</f>
        <v>-1</v>
      </c>
      <c r="EA31" s="1"/>
      <c r="EB31" s="5" t="s">
        <v>7</v>
      </c>
      <c r="EC31">
        <f>COUNTIF(EC$2:EC$12,#REF! &amp; "*") -$A31</f>
        <v>-1</v>
      </c>
      <c r="ED31">
        <f>COUNTIF(ED$2:ED$12,#REF! &amp; "*") -$A31</f>
        <v>-1</v>
      </c>
      <c r="EE31">
        <f>COUNTIF(EE$2:EE$12,#REF! &amp; "*") -$A31</f>
        <v>-1</v>
      </c>
      <c r="EF31">
        <f>COUNTIF(EF$2:EF$12,#REF! &amp; "*") -$A31</f>
        <v>-1</v>
      </c>
      <c r="EG31">
        <f>COUNTIF(EG$2:EG$12,#REF! &amp; "*") -$A31</f>
        <v>-1</v>
      </c>
      <c r="EH31" s="1"/>
    </row>
    <row r="32" spans="1:138" hidden="1">
      <c r="A32">
        <v>1</v>
      </c>
      <c r="B32">
        <v>0</v>
      </c>
      <c r="C32">
        <f>COUNTIF(C$2:C$12,#REF! &amp; "*") -$A32</f>
        <v>-1</v>
      </c>
      <c r="D32">
        <f>COUNTIF(D$2:D$12,#REF! &amp; "*") -$A32</f>
        <v>-1</v>
      </c>
      <c r="F32" s="5" t="s">
        <v>12</v>
      </c>
      <c r="G32">
        <f>COUNTIF(G$2:G$12,#REF! &amp; "*") -$A32</f>
        <v>-1</v>
      </c>
      <c r="H32">
        <f>COUNTIF(H$2:H$12,#REF! &amp; "*") -$A32</f>
        <v>-1</v>
      </c>
      <c r="I32">
        <f>COUNTIF(I$2:I$12,#REF! &amp; "*") -$A32</f>
        <v>-1</v>
      </c>
      <c r="J32">
        <f>COUNTIF(J$2:J$12,#REF! &amp; "*") -$A32</f>
        <v>-1</v>
      </c>
      <c r="K32">
        <f>COUNTIF(K$2:K$12,#REF! &amp; "*") -$A32</f>
        <v>-1</v>
      </c>
      <c r="M32" s="5" t="s">
        <v>12</v>
      </c>
      <c r="N32">
        <f>COUNTIF(N$2:N$12,#REF! &amp; "*") -$A32</f>
        <v>-1</v>
      </c>
      <c r="O32">
        <f>COUNTIF(O$2:O$12,#REF! &amp; "*") -$A32</f>
        <v>-1</v>
      </c>
      <c r="P32">
        <f>COUNTIF(P$2:P$12,#REF! &amp; "*") -$A32</f>
        <v>-1</v>
      </c>
      <c r="Q32">
        <f>COUNTIF(Q$2:Q$12,#REF! &amp; "*") -$A32</f>
        <v>-1</v>
      </c>
      <c r="R32">
        <f>COUNTIF(R$2:R$12,#REF! &amp; "*") -$A32</f>
        <v>-1</v>
      </c>
      <c r="T32" s="5" t="s">
        <v>12</v>
      </c>
      <c r="U32">
        <f>COUNTIF(U$2:U$12,#REF! &amp; "*") -$A32</f>
        <v>-1</v>
      </c>
      <c r="V32">
        <f>COUNTIF(V$2:V$12,#REF! &amp; "*") -$A32</f>
        <v>-1</v>
      </c>
      <c r="W32">
        <f>COUNTIF(W$2:W$12,#REF! &amp; "*") -$A32</f>
        <v>-1</v>
      </c>
      <c r="X32">
        <f>COUNTIF(X$2:X$12,#REF! &amp; "*") -$A32</f>
        <v>-1</v>
      </c>
      <c r="Y32">
        <f>COUNTIF(Y$2:Y$12,#REF! &amp; "*") -$A32</f>
        <v>-1</v>
      </c>
      <c r="AA32" s="5" t="s">
        <v>12</v>
      </c>
      <c r="AB32">
        <f>COUNTIF(AB$2:AB$12,#REF! &amp; "*") -$A32</f>
        <v>-1</v>
      </c>
      <c r="AC32">
        <f>COUNTIF(AC$2:AC$12,#REF! &amp; "*") -$A32</f>
        <v>-1</v>
      </c>
      <c r="AD32">
        <f>COUNTIF(AD$2:AD$12,#REF! &amp; "*") -$A32</f>
        <v>-1</v>
      </c>
      <c r="AE32">
        <f>COUNTIF(AE$2:AE$12,#REF! &amp; "*") -$A32</f>
        <v>-1</v>
      </c>
      <c r="AF32">
        <f>COUNTIF(AF$2:AF$12,#REF! &amp; "*") -$A32</f>
        <v>-1</v>
      </c>
      <c r="AH32" s="5" t="s">
        <v>12</v>
      </c>
      <c r="AI32">
        <f>COUNTIF(AI$2:AI$12,#REF! &amp; "*") -$A32</f>
        <v>-1</v>
      </c>
      <c r="AJ32">
        <f>COUNTIF(AJ$2:AJ$12,#REF! &amp; "*") -$A32</f>
        <v>-1</v>
      </c>
      <c r="AK32">
        <f>COUNTIF(AK$2:AK$12,#REF! &amp; "*") -$A32</f>
        <v>-1</v>
      </c>
      <c r="AL32">
        <f>COUNTIF(AL$2:AL$12,#REF! &amp; "*") -$A32</f>
        <v>-1</v>
      </c>
      <c r="AM32">
        <f>COUNTIF(AM$2:AM$12,#REF! &amp; "*") -$A32</f>
        <v>-1</v>
      </c>
      <c r="AO32" s="5" t="s">
        <v>12</v>
      </c>
      <c r="AP32">
        <f>COUNTIF(AP$2:AP$12,#REF! &amp; "*") -$A32</f>
        <v>-1</v>
      </c>
      <c r="AQ32">
        <f>COUNTIF(AQ$2:AQ$12,#REF! &amp; "*") -$A32</f>
        <v>-1</v>
      </c>
      <c r="AR32">
        <f>COUNTIF(AR$2:AR$12,#REF! &amp; "*") -$A32</f>
        <v>-1</v>
      </c>
      <c r="AS32">
        <f>COUNTIF(AS$2:AS$12,#REF! &amp; "*") -$A32</f>
        <v>-1</v>
      </c>
      <c r="AT32">
        <f>COUNTIF(AT$2:AT$12,#REF! &amp; "*") -$A32</f>
        <v>-1</v>
      </c>
      <c r="AV32" s="5" t="s">
        <v>12</v>
      </c>
      <c r="AW32">
        <f>COUNTIF(AW$2:AW$12,#REF! &amp; "*") -$A32</f>
        <v>-1</v>
      </c>
      <c r="AX32">
        <f>COUNTIF(AX$2:AX$12,#REF! &amp; "*") -$A32</f>
        <v>-1</v>
      </c>
      <c r="AY32">
        <f>COUNTIF(AY$2:AY$12,#REF! &amp; "*") -$A32</f>
        <v>-1</v>
      </c>
      <c r="AZ32">
        <f>COUNTIF(AZ$2:AZ$12,#REF! &amp; "*") -$A32</f>
        <v>-1</v>
      </c>
      <c r="BA32">
        <f>COUNTIF(BA$2:BA$12,#REF! &amp; "*") -$A32</f>
        <v>-1</v>
      </c>
      <c r="BC32" s="5" t="s">
        <v>12</v>
      </c>
      <c r="BD32">
        <f>COUNTIF(BD$2:BD$12,#REF! &amp; "*") -$A32</f>
        <v>-1</v>
      </c>
      <c r="BE32">
        <f>COUNTIF(BE$2:BE$12,#REF! &amp; "*") -$A32</f>
        <v>-1</v>
      </c>
      <c r="BF32">
        <f>COUNTIF(BF$2:BF$12,#REF! &amp; "*") -$A32</f>
        <v>-1</v>
      </c>
      <c r="BG32">
        <f>COUNTIF(BG$2:BG$12,#REF! &amp; "*") -$A32</f>
        <v>-1</v>
      </c>
      <c r="BH32">
        <f>COUNTIF(BH$2:BH$12,#REF! &amp; "*") -$A32</f>
        <v>-1</v>
      </c>
      <c r="BI32" s="1"/>
      <c r="BJ32" s="5" t="s">
        <v>12</v>
      </c>
      <c r="BK32">
        <f>COUNTIF(BK$2:BK$12,#REF! &amp; "*") -$A32</f>
        <v>-1</v>
      </c>
      <c r="BL32">
        <f>COUNTIF(BL$2:BL$12,#REF! &amp; "*") -$A32</f>
        <v>-1</v>
      </c>
      <c r="BM32">
        <f>COUNTIF(BM$2:BM$12,#REF! &amp; "*") -$A32</f>
        <v>-1</v>
      </c>
      <c r="BN32">
        <f>COUNTIF(BN$2:BN$12,#REF! &amp; "*") -$A32</f>
        <v>-1</v>
      </c>
      <c r="BO32">
        <f>COUNTIF(BO$2:BO$12,#REF! &amp; "*") -$A32</f>
        <v>-1</v>
      </c>
      <c r="BP32" s="1"/>
      <c r="BQ32" s="5" t="s">
        <v>12</v>
      </c>
      <c r="BR32">
        <f>COUNTIF(BR$2:BR$12,#REF! &amp; "*") -$A32</f>
        <v>-1</v>
      </c>
      <c r="BS32">
        <f>COUNTIF(BS$2:BS$12,#REF! &amp; "*") -$A32</f>
        <v>-1</v>
      </c>
      <c r="BT32">
        <f>COUNTIF(BT$2:BT$12,#REF! &amp; "*") -$A32</f>
        <v>-1</v>
      </c>
      <c r="BU32">
        <f>COUNTIF(BU$2:BU$12,#REF! &amp; "*") -$A32</f>
        <v>-1</v>
      </c>
      <c r="BV32">
        <f>COUNTIF(BV$2:BV$12,#REF! &amp; "*") -$A32</f>
        <v>-1</v>
      </c>
      <c r="BW32" s="1"/>
      <c r="BX32" s="5" t="s">
        <v>12</v>
      </c>
      <c r="BY32">
        <f>COUNTIF(BY$2:BY$12,#REF! &amp; "*") -$A32</f>
        <v>-1</v>
      </c>
      <c r="BZ32">
        <f>COUNTIF(BZ$2:BZ$12,#REF! &amp; "*") -$A32</f>
        <v>-1</v>
      </c>
      <c r="CA32">
        <f>COUNTIF(CA$2:CA$12,#REF! &amp; "*") -$A32</f>
        <v>-1</v>
      </c>
      <c r="CB32">
        <f>COUNTIF(CB$2:CB$12,#REF! &amp; "*") -$A32</f>
        <v>-1</v>
      </c>
      <c r="CC32">
        <f>COUNTIF(CC$2:CC$12,#REF! &amp; "*") -$A32</f>
        <v>-1</v>
      </c>
      <c r="CD32" s="1"/>
      <c r="CE32" s="5" t="s">
        <v>12</v>
      </c>
      <c r="CF32">
        <f>COUNTIF(CF$2:CF$12,#REF! &amp; "*") -$A32</f>
        <v>-1</v>
      </c>
      <c r="CG32">
        <f>COUNTIF(CG$2:CG$12,#REF! &amp; "*") -$A32</f>
        <v>-1</v>
      </c>
      <c r="CH32">
        <f>COUNTIF(CH$2:CH$12,#REF! &amp; "*") -$A32</f>
        <v>-1</v>
      </c>
      <c r="CI32">
        <f>COUNTIF(CI$2:CI$12,#REF! &amp; "*") -$A32</f>
        <v>-1</v>
      </c>
      <c r="CJ32">
        <f>COUNTIF(CJ$2:CJ$12,#REF! &amp; "*") -$A32</f>
        <v>-1</v>
      </c>
      <c r="CK32" s="1"/>
      <c r="CL32" s="5" t="s">
        <v>12</v>
      </c>
      <c r="CM32">
        <f>COUNTIF(CM$2:CM$12,#REF! &amp; "*") -$A32</f>
        <v>-1</v>
      </c>
      <c r="CN32">
        <f>COUNTIF(CN$2:CN$12,#REF! &amp; "*") -$A32</f>
        <v>-1</v>
      </c>
      <c r="CO32">
        <f>COUNTIF(CO$2:CO$12,#REF! &amp; "*") -$A32</f>
        <v>-1</v>
      </c>
      <c r="CP32">
        <f>COUNTIF(CP$2:CP$12,#REF! &amp; "*") -$A32</f>
        <v>-1</v>
      </c>
      <c r="CQ32">
        <f>COUNTIF(CQ$2:CQ$12,#REF! &amp; "*") -$A32</f>
        <v>-1</v>
      </c>
      <c r="CR32" s="1"/>
      <c r="CS32" s="5" t="s">
        <v>12</v>
      </c>
      <c r="CT32">
        <f>COUNTIF(CT$2:CT$12,#REF! &amp; "*") -$A32</f>
        <v>-1</v>
      </c>
      <c r="CU32">
        <f>COUNTIF(CU$2:CU$12,#REF! &amp; "*") -$A32</f>
        <v>-1</v>
      </c>
      <c r="CV32">
        <f>COUNTIF(CV$2:CV$12,#REF! &amp; "*") -$A32</f>
        <v>-1</v>
      </c>
      <c r="CW32">
        <f>COUNTIF(CW$2:CW$12,#REF! &amp; "*") -$A32</f>
        <v>-1</v>
      </c>
      <c r="CX32">
        <f>COUNTIF(CX$2:CX$12,#REF! &amp; "*") -$A32</f>
        <v>-1</v>
      </c>
      <c r="CY32" s="1"/>
      <c r="CZ32" s="5" t="s">
        <v>12</v>
      </c>
      <c r="DA32">
        <f>COUNTIF(DA$2:DA$12,#REF! &amp; "*") -$A32</f>
        <v>-1</v>
      </c>
      <c r="DB32">
        <f>COUNTIF(DB$2:DB$12,#REF! &amp; "*") -$A32</f>
        <v>-1</v>
      </c>
      <c r="DC32">
        <f>COUNTIF(DC$2:DC$12,#REF! &amp; "*") -$A32</f>
        <v>-1</v>
      </c>
      <c r="DD32">
        <f>COUNTIF(DD$2:DD$12,#REF! &amp; "*") -$A32</f>
        <v>-1</v>
      </c>
      <c r="DE32">
        <f>COUNTIF(DE$2:DE$12,#REF! &amp; "*") -$A32</f>
        <v>-1</v>
      </c>
      <c r="DF32" s="1"/>
      <c r="DG32" s="5" t="s">
        <v>12</v>
      </c>
      <c r="DH32">
        <f>COUNTIF(DH$2:DH$12,#REF! &amp; "*") -$A32</f>
        <v>-1</v>
      </c>
      <c r="DI32">
        <f>COUNTIF(DI$2:DI$12,#REF! &amp; "*") -$A32</f>
        <v>-1</v>
      </c>
      <c r="DJ32">
        <f>COUNTIF(DJ$2:DJ$12,#REF! &amp; "*") -$A32</f>
        <v>-1</v>
      </c>
      <c r="DK32">
        <f>COUNTIF(DK$2:DK$12,#REF! &amp; "*") -$A32</f>
        <v>-1</v>
      </c>
      <c r="DL32">
        <f>COUNTIF(DL$2:DL$12,#REF! &amp; "*") -$A32</f>
        <v>-1</v>
      </c>
      <c r="DM32" s="1"/>
      <c r="DN32" s="5" t="s">
        <v>12</v>
      </c>
      <c r="DO32">
        <f>COUNTIF(DO$2:DO$12,#REF! &amp; "*") -$A32</f>
        <v>-1</v>
      </c>
      <c r="DP32">
        <f>COUNTIF(DP$2:DP$12,#REF! &amp; "*") -$A32</f>
        <v>-1</v>
      </c>
      <c r="DQ32">
        <f>COUNTIF(DQ$2:DQ$12,#REF! &amp; "*") -$A32</f>
        <v>-1</v>
      </c>
      <c r="DR32">
        <f>COUNTIF(DR$2:DR$12,#REF! &amp; "*") -$A32</f>
        <v>-1</v>
      </c>
      <c r="DS32">
        <f>COUNTIF(DS$2:DS$12,#REF! &amp; "*") -$A32</f>
        <v>-1</v>
      </c>
      <c r="DT32" s="1"/>
      <c r="DU32" s="5" t="s">
        <v>12</v>
      </c>
      <c r="DV32">
        <f>COUNTIF(DV$2:DV$12,#REF! &amp; "*") -$A32</f>
        <v>-1</v>
      </c>
      <c r="DW32">
        <f>COUNTIF(DW$2:DW$12,#REF! &amp; "*") -$A32</f>
        <v>-1</v>
      </c>
      <c r="DX32">
        <f>COUNTIF(DX$2:DX$12,#REF! &amp; "*") -$A32</f>
        <v>-1</v>
      </c>
      <c r="DY32">
        <f>COUNTIF(DY$2:DY$12,#REF! &amp; "*") -$A32</f>
        <v>-1</v>
      </c>
      <c r="DZ32">
        <f>COUNTIF(DZ$2:DZ$12,#REF! &amp; "*") -$A32</f>
        <v>-1</v>
      </c>
      <c r="EA32" s="1"/>
      <c r="EB32" s="5" t="s">
        <v>12</v>
      </c>
      <c r="EC32">
        <f>COUNTIF(EC$2:EC$12,#REF! &amp; "*") -$A32</f>
        <v>-1</v>
      </c>
      <c r="ED32">
        <f>COUNTIF(ED$2:ED$12,#REF! &amp; "*") -$A32</f>
        <v>-1</v>
      </c>
      <c r="EE32">
        <f>COUNTIF(EE$2:EE$12,#REF! &amp; "*") -$A32</f>
        <v>-1</v>
      </c>
      <c r="EF32">
        <f>COUNTIF(EF$2:EF$12,#REF! &amp; "*") -$A32</f>
        <v>-1</v>
      </c>
      <c r="EG32">
        <f>COUNTIF(EG$2:EG$12,#REF! &amp; "*") -$A32</f>
        <v>-1</v>
      </c>
      <c r="EH32" s="1"/>
    </row>
    <row r="33" spans="1:138" hidden="1">
      <c r="A33">
        <v>1</v>
      </c>
      <c r="B33">
        <v>0</v>
      </c>
      <c r="C33">
        <f>COUNTIF(C$2:C$12,#REF! &amp; "*") -$A33</f>
        <v>-1</v>
      </c>
      <c r="D33">
        <f>COUNTIF(D$2:D$12,#REF! &amp; "*") -$A33</f>
        <v>-1</v>
      </c>
      <c r="F33" s="5" t="s">
        <v>9</v>
      </c>
      <c r="G33">
        <f>COUNTIF(G$2:G$12,#REF! &amp; "*") -$A33</f>
        <v>-1</v>
      </c>
      <c r="H33">
        <f>COUNTIF(H$2:H$12,#REF! &amp; "*") -$A33</f>
        <v>-1</v>
      </c>
      <c r="I33">
        <f>COUNTIF(I$2:I$12,#REF! &amp; "*") -$A33</f>
        <v>-1</v>
      </c>
      <c r="J33">
        <f>COUNTIF(J$2:J$12,#REF! &amp; "*") -$A33</f>
        <v>-1</v>
      </c>
      <c r="K33">
        <f>COUNTIF(K$2:K$12,#REF! &amp; "*") -$A33</f>
        <v>-1</v>
      </c>
      <c r="M33" s="5" t="s">
        <v>9</v>
      </c>
      <c r="N33">
        <f>COUNTIF(N$2:N$12,#REF! &amp; "*") -$A33</f>
        <v>-1</v>
      </c>
      <c r="O33">
        <f>COUNTIF(O$2:O$12,#REF! &amp; "*") -$A33</f>
        <v>-1</v>
      </c>
      <c r="P33">
        <f>COUNTIF(P$2:P$12,#REF! &amp; "*") -$A33</f>
        <v>-1</v>
      </c>
      <c r="Q33">
        <f>COUNTIF(Q$2:Q$12,#REF! &amp; "*") -$A33</f>
        <v>-1</v>
      </c>
      <c r="R33">
        <f>COUNTIF(R$2:R$12,#REF! &amp; "*") -$A33</f>
        <v>-1</v>
      </c>
      <c r="T33" s="5" t="s">
        <v>9</v>
      </c>
      <c r="U33">
        <f>COUNTIF(U$2:U$12,#REF! &amp; "*") -$A33</f>
        <v>-1</v>
      </c>
      <c r="V33">
        <f>COUNTIF(V$2:V$12,#REF! &amp; "*") -$A33</f>
        <v>-1</v>
      </c>
      <c r="W33">
        <f>COUNTIF(W$2:W$12,#REF! &amp; "*") -$A33</f>
        <v>-1</v>
      </c>
      <c r="X33">
        <f>COUNTIF(X$2:X$12,#REF! &amp; "*") -$A33</f>
        <v>-1</v>
      </c>
      <c r="Y33">
        <f>COUNTIF(Y$2:Y$12,#REF! &amp; "*") -$A33</f>
        <v>-1</v>
      </c>
      <c r="AA33" s="5" t="s">
        <v>9</v>
      </c>
      <c r="AB33">
        <f>COUNTIF(AB$2:AB$12,#REF! &amp; "*") -$A33</f>
        <v>-1</v>
      </c>
      <c r="AC33">
        <f>COUNTIF(AC$2:AC$12,#REF! &amp; "*") -$A33</f>
        <v>-1</v>
      </c>
      <c r="AD33">
        <f>COUNTIF(AD$2:AD$12,#REF! &amp; "*") -$A33</f>
        <v>-1</v>
      </c>
      <c r="AE33">
        <f>COUNTIF(AE$2:AE$12,#REF! &amp; "*") -$A33</f>
        <v>-1</v>
      </c>
      <c r="AF33">
        <f>COUNTIF(AF$2:AF$12,#REF! &amp; "*") -$A33</f>
        <v>-1</v>
      </c>
      <c r="AH33" s="5" t="s">
        <v>9</v>
      </c>
      <c r="AI33">
        <f>COUNTIF(AI$2:AI$12,#REF! &amp; "*") -$A33</f>
        <v>-1</v>
      </c>
      <c r="AJ33">
        <f>COUNTIF(AJ$2:AJ$12,#REF! &amp; "*") -$A33</f>
        <v>-1</v>
      </c>
      <c r="AK33">
        <f>COUNTIF(AK$2:AK$12,#REF! &amp; "*") -$A33</f>
        <v>-1</v>
      </c>
      <c r="AL33">
        <f>COUNTIF(AL$2:AL$12,#REF! &amp; "*") -$A33</f>
        <v>-1</v>
      </c>
      <c r="AM33">
        <f>COUNTIF(AM$2:AM$12,#REF! &amp; "*") -$A33</f>
        <v>-1</v>
      </c>
      <c r="AO33" s="5" t="s">
        <v>9</v>
      </c>
      <c r="AP33">
        <f>COUNTIF(AP$2:AP$12,#REF! &amp; "*") -$A33</f>
        <v>-1</v>
      </c>
      <c r="AQ33">
        <f>COUNTIF(AQ$2:AQ$12,#REF! &amp; "*") -$A33</f>
        <v>-1</v>
      </c>
      <c r="AR33">
        <f>COUNTIF(AR$2:AR$12,#REF! &amp; "*") -$A33</f>
        <v>-1</v>
      </c>
      <c r="AS33">
        <f>COUNTIF(AS$2:AS$12,#REF! &amp; "*") -$A33</f>
        <v>-1</v>
      </c>
      <c r="AT33">
        <f>COUNTIF(AT$2:AT$12,#REF! &amp; "*") -$A33</f>
        <v>-1</v>
      </c>
      <c r="AV33" s="5" t="s">
        <v>9</v>
      </c>
      <c r="AW33">
        <f>COUNTIF(AW$2:AW$12,#REF! &amp; "*") -$A33</f>
        <v>-1</v>
      </c>
      <c r="AX33">
        <f>COUNTIF(AX$2:AX$12,#REF! &amp; "*") -$A33</f>
        <v>-1</v>
      </c>
      <c r="AY33">
        <f>COUNTIF(AY$2:AY$12,#REF! &amp; "*") -$A33</f>
        <v>-1</v>
      </c>
      <c r="AZ33">
        <f>COUNTIF(AZ$2:AZ$12,#REF! &amp; "*") -$A33</f>
        <v>-1</v>
      </c>
      <c r="BA33">
        <f>COUNTIF(BA$2:BA$12,#REF! &amp; "*") -$A33</f>
        <v>-1</v>
      </c>
      <c r="BC33" s="5" t="s">
        <v>9</v>
      </c>
      <c r="BD33">
        <f>COUNTIF(BD$2:BD$12,#REF! &amp; "*") -$A33</f>
        <v>-1</v>
      </c>
      <c r="BE33">
        <f>COUNTIF(BE$2:BE$12,#REF! &amp; "*") -$A33</f>
        <v>-1</v>
      </c>
      <c r="BF33">
        <f>COUNTIF(BF$2:BF$12,#REF! &amp; "*") -$A33</f>
        <v>-1</v>
      </c>
      <c r="BG33">
        <f>COUNTIF(BG$2:BG$12,#REF! &amp; "*") -$A33</f>
        <v>-1</v>
      </c>
      <c r="BH33">
        <f>COUNTIF(BH$2:BH$12,#REF! &amp; "*") -$A33</f>
        <v>-1</v>
      </c>
      <c r="BI33" s="1"/>
      <c r="BJ33" s="5" t="s">
        <v>9</v>
      </c>
      <c r="BK33">
        <f>COUNTIF(BK$2:BK$12,#REF! &amp; "*") -$A33</f>
        <v>-1</v>
      </c>
      <c r="BL33">
        <f>COUNTIF(BL$2:BL$12,#REF! &amp; "*") -$A33</f>
        <v>-1</v>
      </c>
      <c r="BM33">
        <f>COUNTIF(BM$2:BM$12,#REF! &amp; "*") -$A33</f>
        <v>-1</v>
      </c>
      <c r="BN33">
        <f>COUNTIF(BN$2:BN$12,#REF! &amp; "*") -$A33</f>
        <v>-1</v>
      </c>
      <c r="BO33">
        <f>COUNTIF(BO$2:BO$12,#REF! &amp; "*") -$A33</f>
        <v>-1</v>
      </c>
      <c r="BP33" s="1"/>
      <c r="BQ33" s="5" t="s">
        <v>9</v>
      </c>
      <c r="BR33">
        <f>COUNTIF(BR$2:BR$12,#REF! &amp; "*") -$A33</f>
        <v>-1</v>
      </c>
      <c r="BS33">
        <f>COUNTIF(BS$2:BS$12,#REF! &amp; "*") -$A33</f>
        <v>-1</v>
      </c>
      <c r="BT33">
        <f>COUNTIF(BT$2:BT$12,#REF! &amp; "*") -$A33</f>
        <v>-1</v>
      </c>
      <c r="BU33">
        <f>COUNTIF(BU$2:BU$12,#REF! &amp; "*") -$A33</f>
        <v>-1</v>
      </c>
      <c r="BV33">
        <f>COUNTIF(BV$2:BV$12,#REF! &amp; "*") -$A33</f>
        <v>-1</v>
      </c>
      <c r="BW33" s="1"/>
      <c r="BX33" s="5" t="s">
        <v>9</v>
      </c>
      <c r="BY33">
        <f>COUNTIF(BY$2:BY$12,#REF! &amp; "*") -$A33</f>
        <v>-1</v>
      </c>
      <c r="BZ33">
        <f>COUNTIF(BZ$2:BZ$12,#REF! &amp; "*") -$A33</f>
        <v>-1</v>
      </c>
      <c r="CA33">
        <f>COUNTIF(CA$2:CA$12,#REF! &amp; "*") -$A33</f>
        <v>-1</v>
      </c>
      <c r="CB33">
        <f>COUNTIF(CB$2:CB$12,#REF! &amp; "*") -$A33</f>
        <v>-1</v>
      </c>
      <c r="CC33">
        <f>COUNTIF(CC$2:CC$12,#REF! &amp; "*") -$A33</f>
        <v>-1</v>
      </c>
      <c r="CD33" s="1"/>
      <c r="CE33" s="5" t="s">
        <v>9</v>
      </c>
      <c r="CF33">
        <f>COUNTIF(CF$2:CF$12,#REF! &amp; "*") -$A33</f>
        <v>-1</v>
      </c>
      <c r="CG33">
        <f>COUNTIF(CG$2:CG$12,#REF! &amp; "*") -$A33</f>
        <v>-1</v>
      </c>
      <c r="CH33">
        <f>COUNTIF(CH$2:CH$12,#REF! &amp; "*") -$A33</f>
        <v>-1</v>
      </c>
      <c r="CI33">
        <f>COUNTIF(CI$2:CI$12,#REF! &amp; "*") -$A33</f>
        <v>-1</v>
      </c>
      <c r="CJ33">
        <f>COUNTIF(CJ$2:CJ$12,#REF! &amp; "*") -$A33</f>
        <v>-1</v>
      </c>
      <c r="CK33" s="1"/>
      <c r="CL33" s="5" t="s">
        <v>9</v>
      </c>
      <c r="CM33">
        <f>COUNTIF(CM$2:CM$12,#REF! &amp; "*") -$A33</f>
        <v>-1</v>
      </c>
      <c r="CN33">
        <f>COUNTIF(CN$2:CN$12,#REF! &amp; "*") -$A33</f>
        <v>-1</v>
      </c>
      <c r="CO33">
        <f>COUNTIF(CO$2:CO$12,#REF! &amp; "*") -$A33</f>
        <v>-1</v>
      </c>
      <c r="CP33">
        <f>COUNTIF(CP$2:CP$12,#REF! &amp; "*") -$A33</f>
        <v>-1</v>
      </c>
      <c r="CQ33">
        <f>COUNTIF(CQ$2:CQ$12,#REF! &amp; "*") -$A33</f>
        <v>-1</v>
      </c>
      <c r="CR33" s="1"/>
      <c r="CS33" s="5" t="s">
        <v>9</v>
      </c>
      <c r="CT33">
        <f>COUNTIF(CT$2:CT$12,#REF! &amp; "*") -$A33</f>
        <v>-1</v>
      </c>
      <c r="CU33">
        <f>COUNTIF(CU$2:CU$12,#REF! &amp; "*") -$A33</f>
        <v>-1</v>
      </c>
      <c r="CV33">
        <f>COUNTIF(CV$2:CV$12,#REF! &amp; "*") -$A33</f>
        <v>-1</v>
      </c>
      <c r="CW33">
        <f>COUNTIF(CW$2:CW$12,#REF! &amp; "*") -$A33</f>
        <v>-1</v>
      </c>
      <c r="CX33">
        <f>COUNTIF(CX$2:CX$12,#REF! &amp; "*") -$A33</f>
        <v>-1</v>
      </c>
      <c r="CY33" s="1"/>
      <c r="CZ33" s="5" t="s">
        <v>9</v>
      </c>
      <c r="DA33">
        <f>COUNTIF(DA$2:DA$12,#REF! &amp; "*") -$A33</f>
        <v>-1</v>
      </c>
      <c r="DB33">
        <f>COUNTIF(DB$2:DB$12,#REF! &amp; "*") -$A33</f>
        <v>-1</v>
      </c>
      <c r="DC33">
        <f>COUNTIF(DC$2:DC$12,#REF! &amp; "*") -$A33</f>
        <v>-1</v>
      </c>
      <c r="DD33">
        <f>COUNTIF(DD$2:DD$12,#REF! &amp; "*") -$A33</f>
        <v>-1</v>
      </c>
      <c r="DE33">
        <f>COUNTIF(DE$2:DE$12,#REF! &amp; "*") -$A33</f>
        <v>-1</v>
      </c>
      <c r="DF33" s="1"/>
      <c r="DG33" s="5" t="s">
        <v>9</v>
      </c>
      <c r="DH33">
        <f>COUNTIF(DH$2:DH$12,#REF! &amp; "*") -$A33</f>
        <v>-1</v>
      </c>
      <c r="DI33">
        <f>COUNTIF(DI$2:DI$12,#REF! &amp; "*") -$A33</f>
        <v>-1</v>
      </c>
      <c r="DJ33">
        <f>COUNTIF(DJ$2:DJ$12,#REF! &amp; "*") -$A33</f>
        <v>-1</v>
      </c>
      <c r="DK33">
        <f>COUNTIF(DK$2:DK$12,#REF! &amp; "*") -$A33</f>
        <v>-1</v>
      </c>
      <c r="DL33">
        <f>COUNTIF(DL$2:DL$12,#REF! &amp; "*") -$A33</f>
        <v>-1</v>
      </c>
      <c r="DM33" s="1"/>
      <c r="DN33" s="5" t="s">
        <v>9</v>
      </c>
      <c r="DO33">
        <f>COUNTIF(DO$2:DO$12,#REF! &amp; "*") -$A33</f>
        <v>-1</v>
      </c>
      <c r="DP33">
        <f>COUNTIF(DP$2:DP$12,#REF! &amp; "*") -$A33</f>
        <v>-1</v>
      </c>
      <c r="DQ33">
        <f>COUNTIF(DQ$2:DQ$12,#REF! &amp; "*") -$A33</f>
        <v>-1</v>
      </c>
      <c r="DR33">
        <f>COUNTIF(DR$2:DR$12,#REF! &amp; "*") -$A33</f>
        <v>-1</v>
      </c>
      <c r="DS33">
        <f>COUNTIF(DS$2:DS$12,#REF! &amp; "*") -$A33</f>
        <v>-1</v>
      </c>
      <c r="DT33" s="1"/>
      <c r="DU33" s="5" t="s">
        <v>9</v>
      </c>
      <c r="DV33">
        <f>COUNTIF(DV$2:DV$12,#REF! &amp; "*") -$A33</f>
        <v>-1</v>
      </c>
      <c r="DW33">
        <f>COUNTIF(DW$2:DW$12,#REF! &amp; "*") -$A33</f>
        <v>-1</v>
      </c>
      <c r="DX33">
        <f>COUNTIF(DX$2:DX$12,#REF! &amp; "*") -$A33</f>
        <v>-1</v>
      </c>
      <c r="DY33">
        <f>COUNTIF(DY$2:DY$12,#REF! &amp; "*") -$A33</f>
        <v>-1</v>
      </c>
      <c r="DZ33">
        <f>COUNTIF(DZ$2:DZ$12,#REF! &amp; "*") -$A33</f>
        <v>-1</v>
      </c>
      <c r="EA33" s="1"/>
      <c r="EB33" s="5" t="s">
        <v>9</v>
      </c>
      <c r="EC33">
        <f>COUNTIF(EC$2:EC$12,#REF! &amp; "*") -$A33</f>
        <v>-1</v>
      </c>
      <c r="ED33">
        <f>COUNTIF(ED$2:ED$12,#REF! &amp; "*") -$A33</f>
        <v>-1</v>
      </c>
      <c r="EE33">
        <f>COUNTIF(EE$2:EE$12,#REF! &amp; "*") -$A33</f>
        <v>-1</v>
      </c>
      <c r="EF33">
        <f>COUNTIF(EF$2:EF$12,#REF! &amp; "*") -$A33</f>
        <v>-1</v>
      </c>
      <c r="EG33">
        <f>COUNTIF(EG$2:EG$12,#REF! &amp; "*") -$A33</f>
        <v>-1</v>
      </c>
      <c r="EH33" s="1"/>
    </row>
    <row r="34" spans="1:138" s="1" customFormat="1" hidden="1">
      <c r="B34" s="1">
        <v>0</v>
      </c>
      <c r="C34" s="1">
        <f>COUNTIF(C$2:C$12,#REF! &amp; "*") -$A34</f>
        <v>0</v>
      </c>
      <c r="D34" s="1">
        <f>COUNTIF(D$2:D$12,#REF! &amp; "*") -$A34</f>
        <v>0</v>
      </c>
      <c r="F34" s="5" t="s">
        <v>2</v>
      </c>
      <c r="G34" s="1">
        <f>COUNTIF(G$2:G$12,#REF! &amp; "*") -$A34</f>
        <v>0</v>
      </c>
      <c r="H34" s="1">
        <f>COUNTIF(H$2:H$12,#REF! &amp; "*") -$A34</f>
        <v>0</v>
      </c>
      <c r="I34" s="1">
        <f>COUNTIF(I$2:I$12,#REF! &amp; "*") -$A34</f>
        <v>0</v>
      </c>
      <c r="J34" s="1">
        <f>COUNTIF(J$2:J$12,#REF! &amp; "*") -$A34</f>
        <v>0</v>
      </c>
      <c r="K34" s="1">
        <f>COUNTIF(K$2:K$12,#REF! &amp; "*") -$A34</f>
        <v>0</v>
      </c>
      <c r="M34" s="5" t="s">
        <v>2</v>
      </c>
      <c r="N34" s="1">
        <f>COUNTIF(N$2:N$12,#REF! &amp; "*") -$A34</f>
        <v>0</v>
      </c>
      <c r="O34" s="1">
        <f>COUNTIF(O$2:O$12,#REF! &amp; "*") -$A34</f>
        <v>0</v>
      </c>
      <c r="P34" s="1">
        <f>COUNTIF(P$2:P$12,#REF! &amp; "*") -$A34</f>
        <v>0</v>
      </c>
      <c r="Q34" s="1">
        <f>COUNTIF(Q$2:Q$12,#REF! &amp; "*") -$A34</f>
        <v>0</v>
      </c>
      <c r="R34" s="1">
        <f>COUNTIF(R$2:R$12,#REF! &amp; "*") -$A34</f>
        <v>0</v>
      </c>
      <c r="T34" s="5" t="s">
        <v>2</v>
      </c>
      <c r="U34" s="1">
        <f>COUNTIF(U$2:U$12,#REF! &amp; "*") -$A34</f>
        <v>0</v>
      </c>
      <c r="V34" s="1">
        <f>COUNTIF(V$2:V$12,#REF! &amp; "*") -$A34</f>
        <v>0</v>
      </c>
      <c r="W34" s="1">
        <f>COUNTIF(W$2:W$12,#REF! &amp; "*") -$A34</f>
        <v>0</v>
      </c>
      <c r="X34" s="1">
        <f>COUNTIF(X$2:X$12,#REF! &amp; "*") -$A34</f>
        <v>0</v>
      </c>
      <c r="Y34" s="1">
        <f>COUNTIF(Y$2:Y$12,#REF! &amp; "*") -$A34</f>
        <v>0</v>
      </c>
      <c r="AA34" s="5" t="s">
        <v>2</v>
      </c>
      <c r="AB34" s="1">
        <f>COUNTIF(AB$2:AB$12,#REF! &amp; "*") -$A34</f>
        <v>0</v>
      </c>
      <c r="AC34" s="1">
        <f>COUNTIF(AC$2:AC$12,#REF! &amp; "*") -$A34</f>
        <v>0</v>
      </c>
      <c r="AD34" s="1">
        <f>COUNTIF(AD$2:AD$12,#REF! &amp; "*") -$A34</f>
        <v>0</v>
      </c>
      <c r="AE34" s="1">
        <f>COUNTIF(AE$2:AE$12,#REF! &amp; "*") -$A34</f>
        <v>0</v>
      </c>
      <c r="AF34" s="1">
        <f>COUNTIF(AF$2:AF$12,#REF! &amp; "*") -$A34</f>
        <v>0</v>
      </c>
      <c r="AH34" s="5" t="s">
        <v>2</v>
      </c>
      <c r="AI34" s="1">
        <f>COUNTIF(AI$2:AI$12,#REF! &amp; "*") -$A34</f>
        <v>0</v>
      </c>
      <c r="AJ34" s="1">
        <f>COUNTIF(AJ$2:AJ$12,#REF! &amp; "*") -$A34</f>
        <v>0</v>
      </c>
      <c r="AK34" s="1">
        <f>COUNTIF(AK$2:AK$12,#REF! &amp; "*") -$A34</f>
        <v>0</v>
      </c>
      <c r="AL34" s="1">
        <f>COUNTIF(AL$2:AL$12,#REF! &amp; "*") -$A34</f>
        <v>0</v>
      </c>
      <c r="AM34" s="1">
        <f>COUNTIF(AM$2:AM$12,#REF! &amp; "*") -$A34</f>
        <v>0</v>
      </c>
      <c r="AO34" s="5" t="s">
        <v>2</v>
      </c>
      <c r="AP34" s="1">
        <f>COUNTIF(AP$2:AP$12,#REF! &amp; "*") -$A34</f>
        <v>0</v>
      </c>
      <c r="AQ34" s="1">
        <f>COUNTIF(AQ$2:AQ$12,#REF! &amp; "*") -$A34</f>
        <v>0</v>
      </c>
      <c r="AR34" s="1">
        <f>COUNTIF(AR$2:AR$12,#REF! &amp; "*") -$A34</f>
        <v>0</v>
      </c>
      <c r="AS34" s="1">
        <f>COUNTIF(AS$2:AS$12,#REF! &amp; "*") -$A34</f>
        <v>0</v>
      </c>
      <c r="AT34" s="1">
        <f>COUNTIF(AT$2:AT$12,#REF! &amp; "*") -$A34</f>
        <v>0</v>
      </c>
      <c r="AV34" s="5" t="s">
        <v>2</v>
      </c>
      <c r="AW34" s="1">
        <f>COUNTIF(AW$2:AW$12,#REF! &amp; "*") -$A34</f>
        <v>0</v>
      </c>
      <c r="AX34" s="1">
        <f>COUNTIF(AX$2:AX$12,#REF! &amp; "*") -$A34</f>
        <v>0</v>
      </c>
      <c r="AY34" s="1">
        <f>COUNTIF(AY$2:AY$12,#REF! &amp; "*") -$A34</f>
        <v>0</v>
      </c>
      <c r="AZ34" s="1">
        <f>COUNTIF(AZ$2:AZ$12,#REF! &amp; "*") -$A34</f>
        <v>0</v>
      </c>
      <c r="BA34" s="1">
        <f>COUNTIF(BA$2:BA$12,#REF! &amp; "*") -$A34</f>
        <v>0</v>
      </c>
      <c r="BC34" s="5" t="s">
        <v>2</v>
      </c>
      <c r="BD34" s="1">
        <f>COUNTIF(BD$2:BD$12,#REF! &amp; "*") -$A34</f>
        <v>0</v>
      </c>
      <c r="BE34" s="1">
        <f>COUNTIF(BE$2:BE$12,#REF! &amp; "*") -$A34</f>
        <v>0</v>
      </c>
      <c r="BF34" s="1">
        <f>COUNTIF(BF$2:BF$12,#REF! &amp; "*") -$A34</f>
        <v>0</v>
      </c>
      <c r="BG34" s="1">
        <f>COUNTIF(BG$2:BG$12,#REF! &amp; "*") -$A34</f>
        <v>0</v>
      </c>
      <c r="BH34" s="1">
        <f>COUNTIF(BH$2:BH$12,#REF! &amp; "*") -$A34</f>
        <v>0</v>
      </c>
      <c r="BJ34" s="5" t="s">
        <v>2</v>
      </c>
      <c r="BK34" s="1">
        <f>COUNTIF(BK$2:BK$12,#REF! &amp; "*") -$A34</f>
        <v>0</v>
      </c>
      <c r="BL34" s="1">
        <f>COUNTIF(BL$2:BL$12,#REF! &amp; "*") -$A34</f>
        <v>0</v>
      </c>
      <c r="BM34" s="1">
        <f>COUNTIF(BM$2:BM$12,#REF! &amp; "*") -$A34</f>
        <v>0</v>
      </c>
      <c r="BN34" s="1">
        <f>COUNTIF(BN$2:BN$12,#REF! &amp; "*") -$A34</f>
        <v>0</v>
      </c>
      <c r="BO34" s="1">
        <f>COUNTIF(BO$2:BO$12,#REF! &amp; "*") -$A34</f>
        <v>0</v>
      </c>
      <c r="BQ34" s="5" t="s">
        <v>2</v>
      </c>
      <c r="BR34" s="1">
        <f>COUNTIF(BR$2:BR$12,#REF! &amp; "*") -$A34</f>
        <v>0</v>
      </c>
      <c r="BS34" s="1">
        <f>COUNTIF(BS$2:BS$12,#REF! &amp; "*") -$A34</f>
        <v>0</v>
      </c>
      <c r="BT34" s="1">
        <f>COUNTIF(BT$2:BT$12,#REF! &amp; "*") -$A34</f>
        <v>0</v>
      </c>
      <c r="BU34" s="1">
        <f>COUNTIF(BU$2:BU$12,#REF! &amp; "*") -$A34</f>
        <v>0</v>
      </c>
      <c r="BV34" s="1">
        <f>COUNTIF(BV$2:BV$12,#REF! &amp; "*") -$A34</f>
        <v>0</v>
      </c>
      <c r="BX34" s="5" t="s">
        <v>2</v>
      </c>
      <c r="BY34" s="1">
        <f>COUNTIF(BY$2:BY$12,#REF! &amp; "*") -$A34</f>
        <v>0</v>
      </c>
      <c r="BZ34" s="1">
        <f>COUNTIF(BZ$2:BZ$12,#REF! &amp; "*") -$A34</f>
        <v>0</v>
      </c>
      <c r="CA34" s="1">
        <f>COUNTIF(CA$2:CA$12,#REF! &amp; "*") -$A34</f>
        <v>0</v>
      </c>
      <c r="CB34" s="1">
        <f>COUNTIF(CB$2:CB$12,#REF! &amp; "*") -$A34</f>
        <v>0</v>
      </c>
      <c r="CC34" s="1">
        <f>COUNTIF(CC$2:CC$12,#REF! &amp; "*") -$A34</f>
        <v>0</v>
      </c>
      <c r="CE34" s="5" t="s">
        <v>2</v>
      </c>
      <c r="CF34" s="1">
        <f>COUNTIF(CF$2:CF$12,#REF! &amp; "*") -$A34</f>
        <v>0</v>
      </c>
      <c r="CG34" s="1">
        <f>COUNTIF(CG$2:CG$12,#REF! &amp; "*") -$A34</f>
        <v>0</v>
      </c>
      <c r="CH34" s="1">
        <f>COUNTIF(CH$2:CH$12,#REF! &amp; "*") -$A34</f>
        <v>0</v>
      </c>
      <c r="CI34" s="1">
        <f>COUNTIF(CI$2:CI$12,#REF! &amp; "*") -$A34</f>
        <v>0</v>
      </c>
      <c r="CJ34" s="1">
        <f>COUNTIF(CJ$2:CJ$12,#REF! &amp; "*") -$A34</f>
        <v>0</v>
      </c>
      <c r="CL34" s="5" t="s">
        <v>2</v>
      </c>
      <c r="CM34" s="1">
        <f>COUNTIF(CM$2:CM$12,#REF! &amp; "*") -$A34</f>
        <v>0</v>
      </c>
      <c r="CN34" s="1">
        <f>COUNTIF(CN$2:CN$12,#REF! &amp; "*") -$A34</f>
        <v>0</v>
      </c>
      <c r="CO34" s="1">
        <f>COUNTIF(CO$2:CO$12,#REF! &amp; "*") -$A34</f>
        <v>0</v>
      </c>
      <c r="CP34" s="1">
        <f>COUNTIF(CP$2:CP$12,#REF! &amp; "*") -$A34</f>
        <v>0</v>
      </c>
      <c r="CQ34" s="1">
        <f>COUNTIF(CQ$2:CQ$12,#REF! &amp; "*") -$A34</f>
        <v>0</v>
      </c>
      <c r="CS34" s="5" t="s">
        <v>2</v>
      </c>
      <c r="CT34" s="1">
        <f>COUNTIF(CT$2:CT$12,#REF! &amp; "*") -$A34</f>
        <v>0</v>
      </c>
      <c r="CU34" s="1">
        <f>COUNTIF(CU$2:CU$12,#REF! &amp; "*") -$A34</f>
        <v>0</v>
      </c>
      <c r="CV34" s="1">
        <f>COUNTIF(CV$2:CV$12,#REF! &amp; "*") -$A34</f>
        <v>0</v>
      </c>
      <c r="CW34" s="1">
        <f>COUNTIF(CW$2:CW$12,#REF! &amp; "*") -$A34</f>
        <v>0</v>
      </c>
      <c r="CX34" s="1">
        <f>COUNTIF(CX$2:CX$12,#REF! &amp; "*") -$A34</f>
        <v>0</v>
      </c>
      <c r="CZ34" s="5" t="s">
        <v>2</v>
      </c>
      <c r="DA34" s="1">
        <f>COUNTIF(DA$2:DA$12,#REF! &amp; "*") -$A34</f>
        <v>0</v>
      </c>
      <c r="DB34" s="1">
        <f>COUNTIF(DB$2:DB$12,#REF! &amp; "*") -$A34</f>
        <v>0</v>
      </c>
      <c r="DC34" s="1">
        <f>COUNTIF(DC$2:DC$12,#REF! &amp; "*") -$A34</f>
        <v>0</v>
      </c>
      <c r="DD34" s="1">
        <f>COUNTIF(DD$2:DD$12,#REF! &amp; "*") -$A34</f>
        <v>0</v>
      </c>
      <c r="DE34" s="1">
        <f>COUNTIF(DE$2:DE$12,#REF! &amp; "*") -$A34</f>
        <v>0</v>
      </c>
      <c r="DG34" s="5" t="s">
        <v>2</v>
      </c>
      <c r="DH34" s="1">
        <f>COUNTIF(DH$2:DH$12,#REF! &amp; "*") -$A34</f>
        <v>0</v>
      </c>
      <c r="DI34" s="1">
        <f>COUNTIF(DI$2:DI$12,#REF! &amp; "*") -$A34</f>
        <v>0</v>
      </c>
      <c r="DJ34" s="1">
        <f>COUNTIF(DJ$2:DJ$12,#REF! &amp; "*") -$A34</f>
        <v>0</v>
      </c>
      <c r="DK34" s="1">
        <f>COUNTIF(DK$2:DK$12,#REF! &amp; "*") -$A34</f>
        <v>0</v>
      </c>
      <c r="DL34" s="1">
        <f>COUNTIF(DL$2:DL$12,#REF! &amp; "*") -$A34</f>
        <v>0</v>
      </c>
      <c r="DN34" s="5" t="s">
        <v>2</v>
      </c>
      <c r="DO34" s="1">
        <f>COUNTIF(DO$2:DO$12,#REF! &amp; "*") -$A34</f>
        <v>0</v>
      </c>
      <c r="DP34" s="1">
        <f>COUNTIF(DP$2:DP$12,#REF! &amp; "*") -$A34</f>
        <v>0</v>
      </c>
      <c r="DQ34" s="1">
        <f>COUNTIF(DQ$2:DQ$12,#REF! &amp; "*") -$A34</f>
        <v>0</v>
      </c>
      <c r="DR34" s="1">
        <f>COUNTIF(DR$2:DR$12,#REF! &amp; "*") -$A34</f>
        <v>0</v>
      </c>
      <c r="DS34" s="1">
        <f>COUNTIF(DS$2:DS$12,#REF! &amp; "*") -$A34</f>
        <v>0</v>
      </c>
      <c r="DU34" s="5" t="s">
        <v>2</v>
      </c>
      <c r="DV34" s="1">
        <f>COUNTIF(DV$2:DV$12,#REF! &amp; "*") -$A34</f>
        <v>0</v>
      </c>
      <c r="DW34" s="1">
        <f>COUNTIF(DW$2:DW$12,#REF! &amp; "*") -$A34</f>
        <v>0</v>
      </c>
      <c r="DX34" s="1">
        <f>COUNTIF(DX$2:DX$12,#REF! &amp; "*") -$A34</f>
        <v>0</v>
      </c>
      <c r="DY34" s="1">
        <f>COUNTIF(DY$2:DY$12,#REF! &amp; "*") -$A34</f>
        <v>0</v>
      </c>
      <c r="DZ34" s="1">
        <f>COUNTIF(DZ$2:DZ$12,#REF! &amp; "*") -$A34</f>
        <v>0</v>
      </c>
      <c r="EB34" s="5" t="s">
        <v>2</v>
      </c>
      <c r="EC34" s="1">
        <f>COUNTIF(EC$2:EC$12,#REF! &amp; "*") -$A34</f>
        <v>0</v>
      </c>
      <c r="ED34" s="1">
        <f>COUNTIF(ED$2:ED$12,#REF! &amp; "*") -$A34</f>
        <v>0</v>
      </c>
      <c r="EE34" s="1">
        <f>COUNTIF(EE$2:EE$12,#REF! &amp; "*") -$A34</f>
        <v>0</v>
      </c>
      <c r="EF34" s="1">
        <f>COUNTIF(EF$2:EF$12,#REF! &amp; "*") -$A34</f>
        <v>0</v>
      </c>
      <c r="EG34" s="1">
        <f>COUNTIF(EG$2:EG$12,#REF! &amp; "*") -$A34</f>
        <v>0</v>
      </c>
    </row>
    <row r="35" spans="1:138" hidden="1">
      <c r="A35">
        <v>1</v>
      </c>
      <c r="B35">
        <v>0</v>
      </c>
      <c r="C35">
        <f>COUNTIF(C$2:C$12,#REF! &amp; "*") -$A35</f>
        <v>-1</v>
      </c>
      <c r="D35">
        <f>COUNTIF(D$2:D$12,#REF! &amp; "*") -$A35</f>
        <v>-1</v>
      </c>
      <c r="F35" s="5" t="s">
        <v>1</v>
      </c>
      <c r="G35">
        <f>COUNTIF(G$2:G$12,#REF! &amp; "*") -$A35</f>
        <v>-1</v>
      </c>
      <c r="H35">
        <f>COUNTIF(H$2:H$12,#REF! &amp; "*") -$A35</f>
        <v>-1</v>
      </c>
      <c r="I35">
        <f>COUNTIF(I$2:I$12,#REF! &amp; "*") -$A35</f>
        <v>-1</v>
      </c>
      <c r="J35">
        <f>COUNTIF(J$2:J$12,#REF! &amp; "*") -$A35</f>
        <v>-1</v>
      </c>
      <c r="K35">
        <f>COUNTIF(K$2:K$12,#REF! &amp; "*") -$A35</f>
        <v>-1</v>
      </c>
      <c r="M35" s="5" t="s">
        <v>1</v>
      </c>
      <c r="N35">
        <f>COUNTIF(N$2:N$12,#REF! &amp; "*") -$A35</f>
        <v>-1</v>
      </c>
      <c r="O35">
        <f>COUNTIF(O$2:O$12,#REF! &amp; "*") -$A35</f>
        <v>-1</v>
      </c>
      <c r="P35">
        <f>COUNTIF(P$2:P$12,#REF! &amp; "*") -$A35</f>
        <v>-1</v>
      </c>
      <c r="Q35">
        <f>COUNTIF(Q$2:Q$12,#REF! &amp; "*") -$A35</f>
        <v>-1</v>
      </c>
      <c r="R35">
        <f>COUNTIF(R$2:R$12,#REF! &amp; "*") -$A35</f>
        <v>-1</v>
      </c>
      <c r="T35" s="5" t="s">
        <v>1</v>
      </c>
      <c r="U35">
        <f>COUNTIF(U$2:U$12,#REF! &amp; "*") -$A35</f>
        <v>-1</v>
      </c>
      <c r="V35">
        <f>COUNTIF(V$2:V$12,#REF! &amp; "*") -$A35</f>
        <v>-1</v>
      </c>
      <c r="W35">
        <f>COUNTIF(W$2:W$12,#REF! &amp; "*") -$A35</f>
        <v>-1</v>
      </c>
      <c r="X35">
        <f>COUNTIF(X$2:X$12,#REF! &amp; "*") -$A35</f>
        <v>-1</v>
      </c>
      <c r="Y35">
        <f>COUNTIF(Y$2:Y$12,#REF! &amp; "*") -$A35</f>
        <v>-1</v>
      </c>
      <c r="AA35" s="5" t="s">
        <v>1</v>
      </c>
      <c r="AB35">
        <f>COUNTIF(AB$2:AB$12,#REF! &amp; "*") -$A35</f>
        <v>-1</v>
      </c>
      <c r="AC35">
        <f>COUNTIF(AC$2:AC$12,#REF! &amp; "*") -$A35</f>
        <v>-1</v>
      </c>
      <c r="AD35">
        <f>COUNTIF(AD$2:AD$12,#REF! &amp; "*") -$A35</f>
        <v>-1</v>
      </c>
      <c r="AE35">
        <f>COUNTIF(AE$2:AE$12,#REF! &amp; "*") -$A35</f>
        <v>-1</v>
      </c>
      <c r="AF35">
        <f>COUNTIF(AF$2:AF$12,#REF! &amp; "*") -$A35</f>
        <v>-1</v>
      </c>
      <c r="AH35" s="5" t="s">
        <v>1</v>
      </c>
      <c r="AI35">
        <f>COUNTIF(AI$2:AI$12,#REF! &amp; "*") -$A35</f>
        <v>-1</v>
      </c>
      <c r="AJ35">
        <f>COUNTIF(AJ$2:AJ$12,#REF! &amp; "*") -$A35</f>
        <v>-1</v>
      </c>
      <c r="AK35">
        <f>COUNTIF(AK$2:AK$12,#REF! &amp; "*") -$A35</f>
        <v>-1</v>
      </c>
      <c r="AL35">
        <f>COUNTIF(AL$2:AL$12,#REF! &amp; "*") -$A35</f>
        <v>-1</v>
      </c>
      <c r="AM35">
        <f>COUNTIF(AM$2:AM$12,#REF! &amp; "*") -$A35</f>
        <v>-1</v>
      </c>
      <c r="AO35" s="5" t="s">
        <v>1</v>
      </c>
      <c r="AP35">
        <f>COUNTIF(AP$2:AP$12,#REF! &amp; "*") -$A35</f>
        <v>-1</v>
      </c>
      <c r="AQ35">
        <f>COUNTIF(AQ$2:AQ$12,#REF! &amp; "*") -$A35</f>
        <v>-1</v>
      </c>
      <c r="AR35">
        <f>COUNTIF(AR$2:AR$12,#REF! &amp; "*") -$A35</f>
        <v>-1</v>
      </c>
      <c r="AS35">
        <f>COUNTIF(AS$2:AS$12,#REF! &amp; "*") -$A35</f>
        <v>-1</v>
      </c>
      <c r="AT35">
        <f>COUNTIF(AT$2:AT$12,#REF! &amp; "*") -$A35</f>
        <v>-1</v>
      </c>
      <c r="AV35" s="5" t="s">
        <v>1</v>
      </c>
      <c r="AW35">
        <f>COUNTIF(AW$2:AW$12,#REF! &amp; "*") -$A35</f>
        <v>-1</v>
      </c>
      <c r="AX35">
        <f>COUNTIF(AX$2:AX$12,#REF! &amp; "*") -$A35</f>
        <v>-1</v>
      </c>
      <c r="AY35">
        <f>COUNTIF(AY$2:AY$12,#REF! &amp; "*") -$A35</f>
        <v>-1</v>
      </c>
      <c r="AZ35">
        <f>COUNTIF(AZ$2:AZ$12,#REF! &amp; "*") -$A35</f>
        <v>-1</v>
      </c>
      <c r="BA35">
        <f>COUNTIF(BA$2:BA$12,#REF! &amp; "*") -$A35</f>
        <v>-1</v>
      </c>
      <c r="BC35" s="5" t="s">
        <v>1</v>
      </c>
      <c r="BD35">
        <f>COUNTIF(BD$2:BD$12,#REF! &amp; "*") -$A35</f>
        <v>-1</v>
      </c>
      <c r="BE35">
        <f>COUNTIF(BE$2:BE$12,#REF! &amp; "*") -$A35</f>
        <v>-1</v>
      </c>
      <c r="BF35">
        <f>COUNTIF(BF$2:BF$12,#REF! &amp; "*") -$A35</f>
        <v>-1</v>
      </c>
      <c r="BG35">
        <f>COUNTIF(BG$2:BG$12,#REF! &amp; "*") -$A35</f>
        <v>-1</v>
      </c>
      <c r="BH35">
        <f>COUNTIF(BH$2:BH$12,#REF! &amp; "*") -$A35</f>
        <v>-1</v>
      </c>
      <c r="BI35" s="1"/>
      <c r="BJ35" s="5" t="s">
        <v>1</v>
      </c>
      <c r="BK35">
        <f>COUNTIF(BK$2:BK$12,#REF! &amp; "*") -$A35</f>
        <v>-1</v>
      </c>
      <c r="BL35">
        <f>COUNTIF(BL$2:BL$12,#REF! &amp; "*") -$A35</f>
        <v>-1</v>
      </c>
      <c r="BM35">
        <f>COUNTIF(BM$2:BM$12,#REF! &amp; "*") -$A35</f>
        <v>-1</v>
      </c>
      <c r="BN35">
        <f>COUNTIF(BN$2:BN$12,#REF! &amp; "*") -$A35</f>
        <v>-1</v>
      </c>
      <c r="BO35">
        <f>COUNTIF(BO$2:BO$12,#REF! &amp; "*") -$A35</f>
        <v>-1</v>
      </c>
      <c r="BP35" s="1"/>
      <c r="BQ35" s="5" t="s">
        <v>1</v>
      </c>
      <c r="BR35">
        <f>COUNTIF(BR$2:BR$12,#REF! &amp; "*") -$A35</f>
        <v>-1</v>
      </c>
      <c r="BS35">
        <f>COUNTIF(BS$2:BS$12,#REF! &amp; "*") -$A35</f>
        <v>-1</v>
      </c>
      <c r="BT35">
        <f>COUNTIF(BT$2:BT$12,#REF! &amp; "*") -$A35</f>
        <v>-1</v>
      </c>
      <c r="BU35">
        <f>COUNTIF(BU$2:BU$12,#REF! &amp; "*") -$A35</f>
        <v>-1</v>
      </c>
      <c r="BV35">
        <f>COUNTIF(BV$2:BV$12,#REF! &amp; "*") -$A35</f>
        <v>-1</v>
      </c>
      <c r="BW35" s="1"/>
      <c r="BX35" s="5" t="s">
        <v>1</v>
      </c>
      <c r="BY35">
        <f>COUNTIF(BY$2:BY$12,#REF! &amp; "*") -$A35</f>
        <v>-1</v>
      </c>
      <c r="BZ35">
        <f>COUNTIF(BZ$2:BZ$12,#REF! &amp; "*") -$A35</f>
        <v>-1</v>
      </c>
      <c r="CA35">
        <f>COUNTIF(CA$2:CA$12,#REF! &amp; "*") -$A35</f>
        <v>-1</v>
      </c>
      <c r="CB35">
        <f>COUNTIF(CB$2:CB$12,#REF! &amp; "*") -$A35</f>
        <v>-1</v>
      </c>
      <c r="CC35">
        <f>COUNTIF(CC$2:CC$12,#REF! &amp; "*") -$A35</f>
        <v>-1</v>
      </c>
      <c r="CD35" s="1"/>
      <c r="CE35" s="5" t="s">
        <v>1</v>
      </c>
      <c r="CF35">
        <f>COUNTIF(CF$2:CF$12,#REF! &amp; "*") -$A35</f>
        <v>-1</v>
      </c>
      <c r="CG35">
        <f>COUNTIF(CG$2:CG$12,#REF! &amp; "*") -$A35</f>
        <v>-1</v>
      </c>
      <c r="CH35">
        <f>COUNTIF(CH$2:CH$12,#REF! &amp; "*") -$A35</f>
        <v>-1</v>
      </c>
      <c r="CI35">
        <f>COUNTIF(CI$2:CI$12,#REF! &amp; "*") -$A35</f>
        <v>-1</v>
      </c>
      <c r="CJ35">
        <f>COUNTIF(CJ$2:CJ$12,#REF! &amp; "*") -$A35</f>
        <v>-1</v>
      </c>
      <c r="CK35" s="1"/>
      <c r="CL35" s="5" t="s">
        <v>1</v>
      </c>
      <c r="CM35">
        <f>COUNTIF(CM$2:CM$12,#REF! &amp; "*") -$A35</f>
        <v>-1</v>
      </c>
      <c r="CN35">
        <f>COUNTIF(CN$2:CN$12,#REF! &amp; "*") -$A35</f>
        <v>-1</v>
      </c>
      <c r="CO35">
        <f>COUNTIF(CO$2:CO$12,#REF! &amp; "*") -$A35</f>
        <v>-1</v>
      </c>
      <c r="CP35">
        <f>COUNTIF(CP$2:CP$12,#REF! &amp; "*") -$A35</f>
        <v>-1</v>
      </c>
      <c r="CQ35">
        <f>COUNTIF(CQ$2:CQ$12,#REF! &amp; "*") -$A35</f>
        <v>-1</v>
      </c>
      <c r="CR35" s="1"/>
      <c r="CS35" s="5" t="s">
        <v>1</v>
      </c>
      <c r="CT35">
        <f>COUNTIF(CT$2:CT$12,#REF! &amp; "*") -$A35</f>
        <v>-1</v>
      </c>
      <c r="CU35">
        <f>COUNTIF(CU$2:CU$12,#REF! &amp; "*") -$A35</f>
        <v>-1</v>
      </c>
      <c r="CV35">
        <f>COUNTIF(CV$2:CV$12,#REF! &amp; "*") -$A35</f>
        <v>-1</v>
      </c>
      <c r="CW35">
        <f>COUNTIF(CW$2:CW$12,#REF! &amp; "*") -$A35</f>
        <v>-1</v>
      </c>
      <c r="CX35">
        <f>COUNTIF(CX$2:CX$12,#REF! &amp; "*") -$A35</f>
        <v>-1</v>
      </c>
      <c r="CY35" s="1"/>
      <c r="CZ35" s="5" t="s">
        <v>1</v>
      </c>
      <c r="DA35">
        <f>COUNTIF(DA$2:DA$12,#REF! &amp; "*") -$A35</f>
        <v>-1</v>
      </c>
      <c r="DB35">
        <f>COUNTIF(DB$2:DB$12,#REF! &amp; "*") -$A35</f>
        <v>-1</v>
      </c>
      <c r="DC35">
        <f>COUNTIF(DC$2:DC$12,#REF! &amp; "*") -$A35</f>
        <v>-1</v>
      </c>
      <c r="DD35">
        <f>COUNTIF(DD$2:DD$12,#REF! &amp; "*") -$A35</f>
        <v>-1</v>
      </c>
      <c r="DE35">
        <f>COUNTIF(DE$2:DE$12,#REF! &amp; "*") -$A35</f>
        <v>-1</v>
      </c>
      <c r="DF35" s="1"/>
      <c r="DG35" s="5" t="s">
        <v>1</v>
      </c>
      <c r="DH35">
        <f>COUNTIF(DH$2:DH$12,#REF! &amp; "*") -$A35</f>
        <v>-1</v>
      </c>
      <c r="DI35">
        <f>COUNTIF(DI$2:DI$12,#REF! &amp; "*") -$A35</f>
        <v>-1</v>
      </c>
      <c r="DJ35">
        <f>COUNTIF(DJ$2:DJ$12,#REF! &amp; "*") -$A35</f>
        <v>-1</v>
      </c>
      <c r="DK35">
        <f>COUNTIF(DK$2:DK$12,#REF! &amp; "*") -$A35</f>
        <v>-1</v>
      </c>
      <c r="DL35">
        <f>COUNTIF(DL$2:DL$12,#REF! &amp; "*") -$A35</f>
        <v>-1</v>
      </c>
      <c r="DM35" s="1"/>
      <c r="DN35" s="5" t="s">
        <v>1</v>
      </c>
      <c r="DO35">
        <f>COUNTIF(DO$2:DO$12,#REF! &amp; "*") -$A35</f>
        <v>-1</v>
      </c>
      <c r="DP35">
        <f>COUNTIF(DP$2:DP$12,#REF! &amp; "*") -$A35</f>
        <v>-1</v>
      </c>
      <c r="DQ35">
        <f>COUNTIF(DQ$2:DQ$12,#REF! &amp; "*") -$A35</f>
        <v>-1</v>
      </c>
      <c r="DR35">
        <f>COUNTIF(DR$2:DR$12,#REF! &amp; "*") -$A35</f>
        <v>-1</v>
      </c>
      <c r="DS35">
        <f>COUNTIF(DS$2:DS$12,#REF! &amp; "*") -$A35</f>
        <v>-1</v>
      </c>
      <c r="DT35" s="1"/>
      <c r="DU35" s="5" t="s">
        <v>1</v>
      </c>
      <c r="DV35">
        <f>COUNTIF(DV$2:DV$12,#REF! &amp; "*") -$A35</f>
        <v>-1</v>
      </c>
      <c r="DW35">
        <f>COUNTIF(DW$2:DW$12,#REF! &amp; "*") -$A35</f>
        <v>-1</v>
      </c>
      <c r="DX35">
        <f>COUNTIF(DX$2:DX$12,#REF! &amp; "*") -$A35</f>
        <v>-1</v>
      </c>
      <c r="DY35">
        <f>COUNTIF(DY$2:DY$12,#REF! &amp; "*") -$A35</f>
        <v>-1</v>
      </c>
      <c r="DZ35">
        <f>COUNTIF(DZ$2:DZ$12,#REF! &amp; "*") -$A35</f>
        <v>-1</v>
      </c>
      <c r="EA35" s="1"/>
      <c r="EB35" s="5" t="s">
        <v>1</v>
      </c>
      <c r="EC35">
        <f>COUNTIF(EC$2:EC$12,#REF! &amp; "*") -$A35</f>
        <v>-1</v>
      </c>
      <c r="ED35">
        <f>COUNTIF(ED$2:ED$12,#REF! &amp; "*") -$A35</f>
        <v>-1</v>
      </c>
      <c r="EE35">
        <f>COUNTIF(EE$2:EE$12,#REF! &amp; "*") -$A35</f>
        <v>-1</v>
      </c>
      <c r="EF35">
        <f>COUNTIF(EF$2:EF$12,#REF! &amp; "*") -$A35</f>
        <v>-1</v>
      </c>
      <c r="EG35">
        <f>COUNTIF(EG$2:EG$12,#REF! &amp; "*") -$A35</f>
        <v>-1</v>
      </c>
      <c r="EH35" s="1"/>
    </row>
    <row r="36" spans="1:138" s="18" customFormat="1">
      <c r="A36" s="17" t="s">
        <v>3</v>
      </c>
      <c r="G36" s="18" t="s">
        <v>21</v>
      </c>
      <c r="N36" s="18" t="s">
        <v>21</v>
      </c>
      <c r="U36" s="18" t="s">
        <v>21</v>
      </c>
      <c r="AB36" s="18" t="s">
        <v>21</v>
      </c>
      <c r="AI36" s="18" t="s">
        <v>21</v>
      </c>
      <c r="AP36" s="18" t="s">
        <v>21</v>
      </c>
      <c r="AW36" s="18" t="s">
        <v>21</v>
      </c>
      <c r="BD36" s="18" t="s">
        <v>21</v>
      </c>
      <c r="BK36" s="18" t="s">
        <v>21</v>
      </c>
      <c r="BR36" s="18" t="s">
        <v>21</v>
      </c>
      <c r="BY36" s="18" t="s">
        <v>21</v>
      </c>
      <c r="CF36" s="18" t="s">
        <v>21</v>
      </c>
      <c r="CM36" s="18" t="s">
        <v>21</v>
      </c>
      <c r="CT36" s="18" t="s">
        <v>21</v>
      </c>
      <c r="DA36" s="18" t="s">
        <v>21</v>
      </c>
      <c r="DH36" s="18" t="s">
        <v>21</v>
      </c>
      <c r="DO36" s="18" t="s">
        <v>21</v>
      </c>
      <c r="DV36" s="18" t="s">
        <v>21</v>
      </c>
      <c r="EC36" s="18" t="s">
        <v>21</v>
      </c>
    </row>
    <row r="37" spans="1:138">
      <c r="A37" s="13" t="s">
        <v>8</v>
      </c>
      <c r="C37" s="1">
        <f t="shared" ref="C37:D42" si="41">COUNTIF(C$2:C$12,$A37 &amp; " (call)")</f>
        <v>0</v>
      </c>
      <c r="D37" s="1">
        <f t="shared" si="41"/>
        <v>0</v>
      </c>
      <c r="F37" s="5" t="s">
        <v>8</v>
      </c>
      <c r="G37" s="1">
        <f t="shared" ref="G37:K42" si="42">COUNTIF(G$2:G$12,$A37 &amp; " (call)")</f>
        <v>0</v>
      </c>
      <c r="H37" s="1">
        <f t="shared" si="42"/>
        <v>0</v>
      </c>
      <c r="I37" s="1">
        <f t="shared" si="42"/>
        <v>0</v>
      </c>
      <c r="J37" s="1">
        <f t="shared" si="42"/>
        <v>1</v>
      </c>
      <c r="K37" s="1">
        <f t="shared" si="42"/>
        <v>0</v>
      </c>
      <c r="M37" s="5" t="s">
        <v>8</v>
      </c>
      <c r="N37" s="1">
        <f t="shared" ref="N37:R42" si="43">COUNTIF(N$2:N$12,$A37 &amp; " (call)")</f>
        <v>0</v>
      </c>
      <c r="O37" s="1">
        <f t="shared" si="43"/>
        <v>0</v>
      </c>
      <c r="P37" s="1">
        <f t="shared" si="43"/>
        <v>0</v>
      </c>
      <c r="Q37" s="1">
        <f t="shared" si="43"/>
        <v>0</v>
      </c>
      <c r="R37" s="1">
        <f t="shared" si="43"/>
        <v>0</v>
      </c>
      <c r="T37" s="5" t="s">
        <v>8</v>
      </c>
      <c r="U37" s="1">
        <f t="shared" ref="U37:Y42" si="44">COUNTIF(U$2:U$12,$A37 &amp; " (call)")</f>
        <v>0</v>
      </c>
      <c r="V37" s="1">
        <f t="shared" si="44"/>
        <v>0</v>
      </c>
      <c r="W37" s="1">
        <f t="shared" si="44"/>
        <v>0</v>
      </c>
      <c r="X37" s="1">
        <f t="shared" si="44"/>
        <v>0</v>
      </c>
      <c r="Y37" s="1">
        <f t="shared" si="44"/>
        <v>0</v>
      </c>
      <c r="AA37" s="5" t="s">
        <v>8</v>
      </c>
      <c r="AB37" s="1">
        <f t="shared" ref="AB37:AF42" si="45">COUNTIF(AB$2:AB$12,$A37 &amp; " (call)")</f>
        <v>0</v>
      </c>
      <c r="AC37" s="1">
        <f t="shared" si="45"/>
        <v>0</v>
      </c>
      <c r="AD37" s="1">
        <f t="shared" si="45"/>
        <v>0</v>
      </c>
      <c r="AE37" s="1">
        <f t="shared" si="45"/>
        <v>1</v>
      </c>
      <c r="AF37" s="1">
        <f t="shared" si="45"/>
        <v>0</v>
      </c>
      <c r="AH37" s="5" t="s">
        <v>8</v>
      </c>
      <c r="AI37" s="1">
        <f t="shared" ref="AI37:AM42" si="46">COUNTIF(AI$2:AI$12,$A37 &amp; " (call)")</f>
        <v>0</v>
      </c>
      <c r="AJ37" s="1">
        <f t="shared" si="46"/>
        <v>1</v>
      </c>
      <c r="AK37" s="1">
        <f t="shared" si="46"/>
        <v>0</v>
      </c>
      <c r="AL37" s="1">
        <f t="shared" si="46"/>
        <v>0</v>
      </c>
      <c r="AM37" s="1">
        <f t="shared" si="46"/>
        <v>0</v>
      </c>
      <c r="AO37" s="5" t="s">
        <v>8</v>
      </c>
      <c r="AP37" s="1">
        <f t="shared" ref="AP37:AT42" si="47">COUNTIF(AP$2:AP$12,$A37 &amp; " (call)")</f>
        <v>0</v>
      </c>
      <c r="AQ37" s="1">
        <f t="shared" si="47"/>
        <v>0</v>
      </c>
      <c r="AR37" s="1">
        <f t="shared" si="47"/>
        <v>0</v>
      </c>
      <c r="AS37" s="1">
        <f t="shared" si="47"/>
        <v>0</v>
      </c>
      <c r="AT37" s="1">
        <f t="shared" si="47"/>
        <v>0</v>
      </c>
      <c r="AV37" s="5" t="s">
        <v>8</v>
      </c>
      <c r="AW37" s="1">
        <f t="shared" ref="AW37:BA42" si="48">COUNTIF(AW$2:AW$12,$A37 &amp; " (call)")</f>
        <v>0</v>
      </c>
      <c r="AX37" s="1">
        <f t="shared" si="48"/>
        <v>1</v>
      </c>
      <c r="AY37" s="1">
        <f t="shared" si="48"/>
        <v>0</v>
      </c>
      <c r="AZ37" s="1">
        <f t="shared" si="48"/>
        <v>0</v>
      </c>
      <c r="BA37" s="1">
        <f t="shared" si="48"/>
        <v>1</v>
      </c>
      <c r="BC37" s="5" t="s">
        <v>8</v>
      </c>
      <c r="BD37" s="1">
        <f t="shared" ref="BD37:BH42" si="49">COUNTIF(BD$2:BD$12,$A37 &amp; " (call)")</f>
        <v>0</v>
      </c>
      <c r="BE37" s="1">
        <f t="shared" si="49"/>
        <v>1</v>
      </c>
      <c r="BF37" s="1">
        <f t="shared" si="49"/>
        <v>0</v>
      </c>
      <c r="BG37" s="1">
        <f t="shared" si="49"/>
        <v>0</v>
      </c>
      <c r="BH37" s="1">
        <f t="shared" si="49"/>
        <v>0</v>
      </c>
      <c r="BI37" s="1"/>
      <c r="BJ37" s="5" t="s">
        <v>8</v>
      </c>
      <c r="BK37" s="1">
        <f t="shared" ref="BK37:BO42" si="50">COUNTIF(BK$2:BK$12,$A37 &amp; " (call)")</f>
        <v>0</v>
      </c>
      <c r="BL37" s="1">
        <f t="shared" si="50"/>
        <v>0</v>
      </c>
      <c r="BM37" s="1">
        <f t="shared" si="50"/>
        <v>0</v>
      </c>
      <c r="BN37" s="1">
        <f t="shared" si="50"/>
        <v>0</v>
      </c>
      <c r="BO37" s="1">
        <f t="shared" si="50"/>
        <v>0</v>
      </c>
      <c r="BP37" s="1"/>
      <c r="BQ37" s="5" t="s">
        <v>8</v>
      </c>
      <c r="BR37" s="1">
        <f t="shared" ref="BR37:BV42" si="51">COUNTIF(BR$2:BR$12,$A37 &amp; " (call)")</f>
        <v>1</v>
      </c>
      <c r="BS37" s="1">
        <f t="shared" si="51"/>
        <v>0</v>
      </c>
      <c r="BT37" s="1">
        <f t="shared" si="51"/>
        <v>0</v>
      </c>
      <c r="BU37" s="1">
        <f t="shared" si="51"/>
        <v>0</v>
      </c>
      <c r="BV37" s="1">
        <f t="shared" si="51"/>
        <v>0</v>
      </c>
      <c r="BW37" s="1"/>
      <c r="BX37" s="5" t="s">
        <v>8</v>
      </c>
      <c r="BY37" s="1">
        <f t="shared" ref="BY37:CC42" si="52">COUNTIF(BY$2:BY$12,$A37 &amp; " (call)")</f>
        <v>0</v>
      </c>
      <c r="BZ37" s="1">
        <f t="shared" si="52"/>
        <v>0</v>
      </c>
      <c r="CA37" s="1">
        <f t="shared" si="52"/>
        <v>0</v>
      </c>
      <c r="CB37" s="1">
        <f t="shared" si="52"/>
        <v>0</v>
      </c>
      <c r="CC37" s="1">
        <f t="shared" si="52"/>
        <v>0</v>
      </c>
      <c r="CD37" s="1"/>
      <c r="CE37" s="5" t="s">
        <v>8</v>
      </c>
      <c r="CF37" s="1">
        <f t="shared" ref="CF37:CJ42" si="53">COUNTIF(CF$2:CF$12,$A37 &amp; " (call)")</f>
        <v>0</v>
      </c>
      <c r="CG37" s="1">
        <f t="shared" si="53"/>
        <v>0</v>
      </c>
      <c r="CH37" s="1">
        <f t="shared" si="53"/>
        <v>0</v>
      </c>
      <c r="CI37" s="1">
        <f t="shared" si="53"/>
        <v>1</v>
      </c>
      <c r="CJ37" s="1">
        <f t="shared" si="53"/>
        <v>1</v>
      </c>
      <c r="CK37" s="1"/>
      <c r="CL37" s="5" t="s">
        <v>8</v>
      </c>
      <c r="CM37" s="1">
        <f t="shared" ref="CM37:CQ42" si="54">COUNTIF(CM$2:CM$12,$A37 &amp; " (call)")</f>
        <v>0</v>
      </c>
      <c r="CN37" s="1">
        <f t="shared" si="54"/>
        <v>1</v>
      </c>
      <c r="CO37" s="1">
        <f t="shared" si="54"/>
        <v>0</v>
      </c>
      <c r="CP37" s="1">
        <f t="shared" si="54"/>
        <v>1</v>
      </c>
      <c r="CQ37" s="1">
        <f t="shared" si="54"/>
        <v>0</v>
      </c>
      <c r="CR37" s="1"/>
      <c r="CS37" s="5" t="s">
        <v>8</v>
      </c>
      <c r="CT37" s="1">
        <f t="shared" ref="CT37:CX42" si="55">COUNTIF(CT$2:CT$12,$A37 &amp; " (call)")</f>
        <v>1</v>
      </c>
      <c r="CU37" s="1">
        <f t="shared" si="55"/>
        <v>0</v>
      </c>
      <c r="CV37" s="1">
        <f t="shared" si="55"/>
        <v>0</v>
      </c>
      <c r="CW37" s="1">
        <f t="shared" si="55"/>
        <v>0</v>
      </c>
      <c r="CX37" s="1">
        <f t="shared" si="55"/>
        <v>1</v>
      </c>
      <c r="CY37" s="1"/>
      <c r="CZ37" s="5" t="s">
        <v>8</v>
      </c>
      <c r="DA37" s="1">
        <f t="shared" ref="DA37:DE42" si="56">COUNTIF(DA$2:DA$12,$A37 &amp; " (call)")</f>
        <v>1</v>
      </c>
      <c r="DB37" s="1">
        <f t="shared" si="56"/>
        <v>0</v>
      </c>
      <c r="DC37" s="1">
        <f t="shared" si="56"/>
        <v>1</v>
      </c>
      <c r="DD37" s="1">
        <f t="shared" si="56"/>
        <v>0</v>
      </c>
      <c r="DE37" s="1">
        <f t="shared" si="56"/>
        <v>0</v>
      </c>
      <c r="DF37" s="1"/>
      <c r="DG37" s="5" t="s">
        <v>8</v>
      </c>
      <c r="DH37" s="1">
        <f t="shared" ref="DH37:DL42" si="57">COUNTIF(DH$2:DH$12,$A37 &amp; " (call)")</f>
        <v>0</v>
      </c>
      <c r="DI37" s="1">
        <f t="shared" si="57"/>
        <v>0</v>
      </c>
      <c r="DJ37" s="1">
        <f t="shared" si="57"/>
        <v>1</v>
      </c>
      <c r="DK37" s="1">
        <f t="shared" si="57"/>
        <v>1</v>
      </c>
      <c r="DL37" s="1">
        <f t="shared" si="57"/>
        <v>0</v>
      </c>
      <c r="DM37" s="1"/>
      <c r="DN37" s="5" t="s">
        <v>8</v>
      </c>
      <c r="DO37" s="1">
        <f t="shared" ref="DO37:DS42" si="58">COUNTIF(DO$2:DO$12,$A37 &amp; " (call)")</f>
        <v>1</v>
      </c>
      <c r="DP37" s="1">
        <f t="shared" si="58"/>
        <v>0</v>
      </c>
      <c r="DQ37" s="1">
        <f t="shared" si="58"/>
        <v>0</v>
      </c>
      <c r="DR37" s="1">
        <f t="shared" si="58"/>
        <v>0</v>
      </c>
      <c r="DS37" s="1">
        <f t="shared" si="58"/>
        <v>0</v>
      </c>
      <c r="DT37" s="1"/>
      <c r="DU37" s="5" t="s">
        <v>8</v>
      </c>
      <c r="DV37" s="1">
        <f t="shared" ref="DV37:DZ42" si="59">COUNTIF(DV$2:DV$12,$A37 &amp; " (call)")</f>
        <v>0</v>
      </c>
      <c r="DW37" s="1">
        <f t="shared" si="59"/>
        <v>0</v>
      </c>
      <c r="DX37" s="1">
        <f t="shared" si="59"/>
        <v>0</v>
      </c>
      <c r="DY37" s="1">
        <f t="shared" si="59"/>
        <v>0</v>
      </c>
      <c r="DZ37" s="1">
        <f t="shared" si="59"/>
        <v>0</v>
      </c>
      <c r="EA37" s="1"/>
      <c r="EB37" s="5" t="s">
        <v>8</v>
      </c>
      <c r="EC37" s="1">
        <f t="shared" ref="EC37:EG42" si="60">COUNTIF(EC$2:EC$12,$A37 &amp; " (call)")</f>
        <v>0</v>
      </c>
      <c r="ED37" s="1">
        <f t="shared" si="60"/>
        <v>0</v>
      </c>
      <c r="EE37" s="1">
        <f t="shared" si="60"/>
        <v>0</v>
      </c>
      <c r="EF37" s="1">
        <f t="shared" si="60"/>
        <v>0</v>
      </c>
      <c r="EG37" s="1">
        <f t="shared" si="60"/>
        <v>0</v>
      </c>
      <c r="EH37" s="1"/>
    </row>
    <row r="38" spans="1:138">
      <c r="A38" s="13" t="s">
        <v>11</v>
      </c>
      <c r="C38" s="1">
        <f t="shared" si="41"/>
        <v>0</v>
      </c>
      <c r="D38" s="1">
        <f t="shared" si="41"/>
        <v>1</v>
      </c>
      <c r="F38" s="5" t="s">
        <v>11</v>
      </c>
      <c r="G38" s="1">
        <f t="shared" si="42"/>
        <v>0</v>
      </c>
      <c r="H38" s="1">
        <f t="shared" si="42"/>
        <v>0</v>
      </c>
      <c r="I38" s="1">
        <f t="shared" si="42"/>
        <v>1</v>
      </c>
      <c r="J38" s="1">
        <f t="shared" si="42"/>
        <v>0</v>
      </c>
      <c r="K38" s="1">
        <f t="shared" si="42"/>
        <v>0</v>
      </c>
      <c r="M38" s="5" t="s">
        <v>11</v>
      </c>
      <c r="N38" s="1">
        <f t="shared" si="43"/>
        <v>0</v>
      </c>
      <c r="O38" s="1">
        <f t="shared" si="43"/>
        <v>0</v>
      </c>
      <c r="P38" s="1">
        <f t="shared" si="43"/>
        <v>0</v>
      </c>
      <c r="Q38" s="1">
        <f t="shared" si="43"/>
        <v>0</v>
      </c>
      <c r="R38" s="1">
        <f t="shared" si="43"/>
        <v>1</v>
      </c>
      <c r="T38" s="5" t="s">
        <v>11</v>
      </c>
      <c r="U38" s="1">
        <f t="shared" si="44"/>
        <v>1</v>
      </c>
      <c r="V38" s="1">
        <f t="shared" si="44"/>
        <v>0</v>
      </c>
      <c r="W38" s="1">
        <f t="shared" si="44"/>
        <v>0</v>
      </c>
      <c r="X38" s="1">
        <f t="shared" si="44"/>
        <v>0</v>
      </c>
      <c r="Y38" s="1">
        <f t="shared" si="44"/>
        <v>1</v>
      </c>
      <c r="AA38" s="5" t="s">
        <v>11</v>
      </c>
      <c r="AB38" s="1">
        <f t="shared" si="45"/>
        <v>0</v>
      </c>
      <c r="AC38" s="1">
        <f t="shared" si="45"/>
        <v>1</v>
      </c>
      <c r="AD38" s="1">
        <f t="shared" si="45"/>
        <v>1</v>
      </c>
      <c r="AE38" s="1">
        <f t="shared" si="45"/>
        <v>0</v>
      </c>
      <c r="AF38" s="1">
        <f t="shared" si="45"/>
        <v>2</v>
      </c>
      <c r="AH38" s="5" t="s">
        <v>11</v>
      </c>
      <c r="AI38" s="1">
        <f t="shared" si="46"/>
        <v>0</v>
      </c>
      <c r="AJ38" s="1">
        <f t="shared" si="46"/>
        <v>0</v>
      </c>
      <c r="AK38" s="1">
        <f t="shared" si="46"/>
        <v>1</v>
      </c>
      <c r="AL38" s="1">
        <f t="shared" si="46"/>
        <v>1</v>
      </c>
      <c r="AM38" s="1">
        <f t="shared" si="46"/>
        <v>0</v>
      </c>
      <c r="AO38" s="5" t="s">
        <v>11</v>
      </c>
      <c r="AP38" s="1">
        <f t="shared" si="47"/>
        <v>0</v>
      </c>
      <c r="AQ38" s="1">
        <f t="shared" si="47"/>
        <v>0</v>
      </c>
      <c r="AR38" s="1">
        <f t="shared" si="47"/>
        <v>0</v>
      </c>
      <c r="AS38" s="1">
        <f t="shared" si="47"/>
        <v>0</v>
      </c>
      <c r="AT38" s="1">
        <f t="shared" si="47"/>
        <v>1</v>
      </c>
      <c r="AV38" s="5" t="s">
        <v>11</v>
      </c>
      <c r="AW38" s="1">
        <f t="shared" si="48"/>
        <v>0</v>
      </c>
      <c r="AX38" s="1">
        <f t="shared" si="48"/>
        <v>0</v>
      </c>
      <c r="AY38" s="1">
        <f t="shared" si="48"/>
        <v>0</v>
      </c>
      <c r="AZ38" s="1">
        <f t="shared" si="48"/>
        <v>1</v>
      </c>
      <c r="BA38" s="1">
        <f t="shared" si="48"/>
        <v>0</v>
      </c>
      <c r="BC38" s="5" t="s">
        <v>11</v>
      </c>
      <c r="BD38" s="1">
        <f t="shared" si="49"/>
        <v>1</v>
      </c>
      <c r="BE38" s="1">
        <f t="shared" si="49"/>
        <v>0</v>
      </c>
      <c r="BF38" s="1">
        <f t="shared" si="49"/>
        <v>1</v>
      </c>
      <c r="BG38" s="1">
        <f t="shared" si="49"/>
        <v>0</v>
      </c>
      <c r="BH38" s="1">
        <f t="shared" si="49"/>
        <v>0</v>
      </c>
      <c r="BI38" s="1"/>
      <c r="BJ38" s="5" t="s">
        <v>11</v>
      </c>
      <c r="BK38" s="1">
        <f t="shared" si="50"/>
        <v>0</v>
      </c>
      <c r="BL38" s="1">
        <f t="shared" si="50"/>
        <v>1</v>
      </c>
      <c r="BM38" s="1">
        <f t="shared" si="50"/>
        <v>0</v>
      </c>
      <c r="BN38" s="1">
        <f t="shared" si="50"/>
        <v>1</v>
      </c>
      <c r="BO38" s="1">
        <f t="shared" si="50"/>
        <v>0</v>
      </c>
      <c r="BP38" s="1"/>
      <c r="BQ38" s="5" t="s">
        <v>11</v>
      </c>
      <c r="BR38" s="1">
        <f t="shared" si="51"/>
        <v>0</v>
      </c>
      <c r="BS38" s="1">
        <f t="shared" si="51"/>
        <v>0</v>
      </c>
      <c r="BT38" s="1">
        <f t="shared" si="51"/>
        <v>0</v>
      </c>
      <c r="BU38" s="1">
        <f t="shared" si="51"/>
        <v>0</v>
      </c>
      <c r="BV38" s="1">
        <f t="shared" si="51"/>
        <v>2</v>
      </c>
      <c r="BW38" s="1"/>
      <c r="BX38" s="5" t="s">
        <v>11</v>
      </c>
      <c r="BY38" s="1">
        <f t="shared" si="52"/>
        <v>0</v>
      </c>
      <c r="BZ38" s="1">
        <f t="shared" si="52"/>
        <v>0</v>
      </c>
      <c r="CA38" s="1">
        <f t="shared" si="52"/>
        <v>0</v>
      </c>
      <c r="CB38" s="1">
        <f t="shared" si="52"/>
        <v>1</v>
      </c>
      <c r="CC38" s="1">
        <f t="shared" si="52"/>
        <v>0</v>
      </c>
      <c r="CD38" s="1"/>
      <c r="CE38" s="5" t="s">
        <v>11</v>
      </c>
      <c r="CF38" s="1">
        <f t="shared" si="53"/>
        <v>1</v>
      </c>
      <c r="CG38" s="1">
        <f t="shared" si="53"/>
        <v>1</v>
      </c>
      <c r="CH38" s="1">
        <f t="shared" si="53"/>
        <v>0</v>
      </c>
      <c r="CI38" s="1">
        <f t="shared" si="53"/>
        <v>0</v>
      </c>
      <c r="CJ38" s="1">
        <f t="shared" si="53"/>
        <v>0</v>
      </c>
      <c r="CK38" s="1"/>
      <c r="CL38" s="5" t="s">
        <v>11</v>
      </c>
      <c r="CM38" s="1">
        <f t="shared" si="54"/>
        <v>1</v>
      </c>
      <c r="CN38" s="1">
        <f t="shared" si="54"/>
        <v>0</v>
      </c>
      <c r="CO38" s="1">
        <f t="shared" si="54"/>
        <v>0</v>
      </c>
      <c r="CP38" s="1">
        <f t="shared" si="54"/>
        <v>0</v>
      </c>
      <c r="CQ38" s="1">
        <f t="shared" si="54"/>
        <v>0</v>
      </c>
      <c r="CR38" s="1"/>
      <c r="CS38" s="5" t="s">
        <v>11</v>
      </c>
      <c r="CT38" s="1">
        <f t="shared" si="55"/>
        <v>0</v>
      </c>
      <c r="CU38" s="1">
        <f t="shared" si="55"/>
        <v>0</v>
      </c>
      <c r="CV38" s="1">
        <f t="shared" si="55"/>
        <v>0</v>
      </c>
      <c r="CW38" s="1">
        <f t="shared" si="55"/>
        <v>0</v>
      </c>
      <c r="CX38" s="1">
        <f t="shared" si="55"/>
        <v>0</v>
      </c>
      <c r="CY38" s="1"/>
      <c r="CZ38" s="5" t="s">
        <v>11</v>
      </c>
      <c r="DA38" s="1">
        <f t="shared" si="56"/>
        <v>0</v>
      </c>
      <c r="DB38" s="1">
        <f t="shared" si="56"/>
        <v>0</v>
      </c>
      <c r="DC38" s="1">
        <f t="shared" si="56"/>
        <v>0</v>
      </c>
      <c r="DD38" s="1">
        <f t="shared" si="56"/>
        <v>0</v>
      </c>
      <c r="DE38" s="1">
        <f t="shared" si="56"/>
        <v>0</v>
      </c>
      <c r="DF38" s="1"/>
      <c r="DG38" s="5" t="s">
        <v>11</v>
      </c>
      <c r="DH38" s="1">
        <f t="shared" si="57"/>
        <v>1</v>
      </c>
      <c r="DI38" s="1">
        <f t="shared" si="57"/>
        <v>1</v>
      </c>
      <c r="DJ38" s="1">
        <f t="shared" si="57"/>
        <v>0</v>
      </c>
      <c r="DK38" s="1">
        <f t="shared" si="57"/>
        <v>0</v>
      </c>
      <c r="DL38" s="1">
        <f t="shared" si="57"/>
        <v>0</v>
      </c>
      <c r="DM38" s="1"/>
      <c r="DN38" s="5" t="s">
        <v>11</v>
      </c>
      <c r="DO38" s="1">
        <f t="shared" si="58"/>
        <v>0</v>
      </c>
      <c r="DP38" s="1">
        <f t="shared" si="58"/>
        <v>1</v>
      </c>
      <c r="DQ38" s="1">
        <f t="shared" si="58"/>
        <v>0</v>
      </c>
      <c r="DR38" s="1">
        <f t="shared" si="58"/>
        <v>0</v>
      </c>
      <c r="DS38" s="1">
        <f t="shared" si="58"/>
        <v>0</v>
      </c>
      <c r="DT38" s="1"/>
      <c r="DU38" s="5" t="s">
        <v>11</v>
      </c>
      <c r="DV38" s="1">
        <f t="shared" si="59"/>
        <v>0</v>
      </c>
      <c r="DW38" s="1">
        <f t="shared" si="59"/>
        <v>0</v>
      </c>
      <c r="DX38" s="1">
        <f t="shared" si="59"/>
        <v>0</v>
      </c>
      <c r="DY38" s="1">
        <f t="shared" si="59"/>
        <v>0</v>
      </c>
      <c r="DZ38" s="1">
        <f t="shared" si="59"/>
        <v>0</v>
      </c>
      <c r="EA38" s="1"/>
      <c r="EB38" s="5" t="s">
        <v>11</v>
      </c>
      <c r="EC38" s="1">
        <f t="shared" si="60"/>
        <v>0</v>
      </c>
      <c r="ED38" s="1">
        <f t="shared" si="60"/>
        <v>0</v>
      </c>
      <c r="EE38" s="1">
        <f t="shared" si="60"/>
        <v>0</v>
      </c>
      <c r="EF38" s="1">
        <f t="shared" si="60"/>
        <v>0</v>
      </c>
      <c r="EG38" s="1">
        <f t="shared" si="60"/>
        <v>0</v>
      </c>
      <c r="EH38" s="1"/>
    </row>
    <row r="39" spans="1:138">
      <c r="A39" s="13" t="s">
        <v>10</v>
      </c>
      <c r="C39" s="1">
        <f t="shared" si="41"/>
        <v>0</v>
      </c>
      <c r="D39" s="1">
        <f t="shared" si="41"/>
        <v>0</v>
      </c>
      <c r="F39" s="5" t="s">
        <v>10</v>
      </c>
      <c r="G39" s="1">
        <f t="shared" si="42"/>
        <v>0</v>
      </c>
      <c r="H39" s="1">
        <f t="shared" si="42"/>
        <v>0</v>
      </c>
      <c r="I39" s="1">
        <f t="shared" si="42"/>
        <v>0</v>
      </c>
      <c r="J39" s="1">
        <f t="shared" si="42"/>
        <v>0</v>
      </c>
      <c r="K39" s="1">
        <f t="shared" si="42"/>
        <v>0</v>
      </c>
      <c r="M39" s="5" t="s">
        <v>10</v>
      </c>
      <c r="N39" s="1">
        <f t="shared" si="43"/>
        <v>1</v>
      </c>
      <c r="O39" s="1">
        <f t="shared" si="43"/>
        <v>0</v>
      </c>
      <c r="P39" s="1">
        <f t="shared" si="43"/>
        <v>0</v>
      </c>
      <c r="Q39" s="1">
        <f t="shared" si="43"/>
        <v>1</v>
      </c>
      <c r="R39" s="1">
        <f t="shared" si="43"/>
        <v>0</v>
      </c>
      <c r="T39" s="5" t="s">
        <v>10</v>
      </c>
      <c r="U39" s="1">
        <f t="shared" si="44"/>
        <v>0</v>
      </c>
      <c r="V39" s="1">
        <f t="shared" si="44"/>
        <v>1</v>
      </c>
      <c r="W39" s="1">
        <f t="shared" si="44"/>
        <v>1</v>
      </c>
      <c r="X39" s="1">
        <f t="shared" si="44"/>
        <v>1</v>
      </c>
      <c r="Y39" s="1">
        <f t="shared" si="44"/>
        <v>0</v>
      </c>
      <c r="AA39" s="5" t="s">
        <v>10</v>
      </c>
      <c r="AB39" s="1">
        <f t="shared" si="45"/>
        <v>0</v>
      </c>
      <c r="AC39" s="1">
        <f t="shared" si="45"/>
        <v>0</v>
      </c>
      <c r="AD39" s="1">
        <f t="shared" si="45"/>
        <v>0</v>
      </c>
      <c r="AE39" s="1">
        <f t="shared" si="45"/>
        <v>0</v>
      </c>
      <c r="AF39" s="1">
        <f t="shared" si="45"/>
        <v>0</v>
      </c>
      <c r="AH39" s="5" t="s">
        <v>10</v>
      </c>
      <c r="AI39" s="1">
        <f t="shared" si="46"/>
        <v>0</v>
      </c>
      <c r="AJ39" s="1">
        <f t="shared" si="46"/>
        <v>0</v>
      </c>
      <c r="AK39" s="1">
        <f t="shared" si="46"/>
        <v>0</v>
      </c>
      <c r="AL39" s="1">
        <f t="shared" si="46"/>
        <v>0</v>
      </c>
      <c r="AM39" s="1">
        <f t="shared" si="46"/>
        <v>1</v>
      </c>
      <c r="AO39" s="5" t="s">
        <v>10</v>
      </c>
      <c r="AP39" s="1">
        <f t="shared" si="47"/>
        <v>0</v>
      </c>
      <c r="AQ39" s="1">
        <f t="shared" si="47"/>
        <v>0</v>
      </c>
      <c r="AR39" s="1">
        <f t="shared" si="47"/>
        <v>0</v>
      </c>
      <c r="AS39" s="1">
        <f t="shared" si="47"/>
        <v>0</v>
      </c>
      <c r="AT39" s="1">
        <f t="shared" si="47"/>
        <v>1</v>
      </c>
      <c r="AV39" s="5" t="s">
        <v>10</v>
      </c>
      <c r="AW39" s="1">
        <f t="shared" si="48"/>
        <v>0</v>
      </c>
      <c r="AX39" s="1">
        <f t="shared" si="48"/>
        <v>0</v>
      </c>
      <c r="AY39" s="1">
        <f t="shared" si="48"/>
        <v>1</v>
      </c>
      <c r="AZ39" s="1">
        <f t="shared" si="48"/>
        <v>0</v>
      </c>
      <c r="BA39" s="1">
        <f t="shared" si="48"/>
        <v>1</v>
      </c>
      <c r="BC39" s="5" t="s">
        <v>10</v>
      </c>
      <c r="BD39" s="1">
        <f t="shared" si="49"/>
        <v>0</v>
      </c>
      <c r="BE39" s="1">
        <f t="shared" si="49"/>
        <v>0</v>
      </c>
      <c r="BF39" s="1">
        <f t="shared" si="49"/>
        <v>0</v>
      </c>
      <c r="BG39" s="1">
        <f t="shared" si="49"/>
        <v>1</v>
      </c>
      <c r="BH39" s="1">
        <f t="shared" si="49"/>
        <v>1</v>
      </c>
      <c r="BI39" s="1"/>
      <c r="BJ39" s="5" t="s">
        <v>10</v>
      </c>
      <c r="BK39" s="1">
        <f t="shared" si="50"/>
        <v>1</v>
      </c>
      <c r="BL39" s="1">
        <f t="shared" si="50"/>
        <v>0</v>
      </c>
      <c r="BM39" s="1">
        <f t="shared" si="50"/>
        <v>1</v>
      </c>
      <c r="BN39" s="1">
        <f t="shared" si="50"/>
        <v>0</v>
      </c>
      <c r="BO39" s="1">
        <f t="shared" si="50"/>
        <v>0</v>
      </c>
      <c r="BP39" s="1"/>
      <c r="BQ39" s="5" t="s">
        <v>10</v>
      </c>
      <c r="BR39" s="1">
        <f t="shared" si="51"/>
        <v>0</v>
      </c>
      <c r="BS39" s="1">
        <f t="shared" si="51"/>
        <v>0</v>
      </c>
      <c r="BT39" s="1">
        <f t="shared" si="51"/>
        <v>0</v>
      </c>
      <c r="BU39" s="1">
        <f t="shared" si="51"/>
        <v>0</v>
      </c>
      <c r="BV39" s="1">
        <f t="shared" si="51"/>
        <v>0</v>
      </c>
      <c r="BW39" s="1"/>
      <c r="BX39" s="5" t="s">
        <v>10</v>
      </c>
      <c r="BY39" s="1">
        <f t="shared" si="52"/>
        <v>0</v>
      </c>
      <c r="BZ39" s="1">
        <f t="shared" si="52"/>
        <v>0</v>
      </c>
      <c r="CA39" s="1">
        <f t="shared" si="52"/>
        <v>1</v>
      </c>
      <c r="CB39" s="1">
        <f t="shared" si="52"/>
        <v>0</v>
      </c>
      <c r="CC39" s="1">
        <f t="shared" si="52"/>
        <v>0</v>
      </c>
      <c r="CD39" s="1"/>
      <c r="CE39" s="5" t="s">
        <v>10</v>
      </c>
      <c r="CF39" s="1">
        <f t="shared" si="53"/>
        <v>0</v>
      </c>
      <c r="CG39" s="1">
        <f t="shared" si="53"/>
        <v>0</v>
      </c>
      <c r="CH39" s="1">
        <f t="shared" si="53"/>
        <v>0</v>
      </c>
      <c r="CI39" s="1">
        <f t="shared" si="53"/>
        <v>0</v>
      </c>
      <c r="CJ39" s="1">
        <f t="shared" si="53"/>
        <v>0</v>
      </c>
      <c r="CK39" s="1"/>
      <c r="CL39" s="5" t="s">
        <v>10</v>
      </c>
      <c r="CM39" s="1">
        <f t="shared" si="54"/>
        <v>0</v>
      </c>
      <c r="CN39" s="1">
        <f t="shared" si="54"/>
        <v>0</v>
      </c>
      <c r="CO39" s="1">
        <f t="shared" si="54"/>
        <v>0</v>
      </c>
      <c r="CP39" s="1">
        <f t="shared" si="54"/>
        <v>0</v>
      </c>
      <c r="CQ39" s="1">
        <f t="shared" si="54"/>
        <v>1</v>
      </c>
      <c r="CR39" s="1"/>
      <c r="CS39" s="5" t="s">
        <v>10</v>
      </c>
      <c r="CT39" s="1">
        <f t="shared" si="55"/>
        <v>0</v>
      </c>
      <c r="CU39" s="1">
        <f t="shared" si="55"/>
        <v>0</v>
      </c>
      <c r="CV39" s="1">
        <f t="shared" si="55"/>
        <v>0</v>
      </c>
      <c r="CW39" s="1">
        <f t="shared" si="55"/>
        <v>1</v>
      </c>
      <c r="CX39" s="1">
        <f t="shared" si="55"/>
        <v>0</v>
      </c>
      <c r="CY39" s="1"/>
      <c r="CZ39" s="5" t="s">
        <v>10</v>
      </c>
      <c r="DA39" s="1">
        <f t="shared" si="56"/>
        <v>0</v>
      </c>
      <c r="DB39" s="1">
        <f t="shared" si="56"/>
        <v>1</v>
      </c>
      <c r="DC39" s="1">
        <f t="shared" si="56"/>
        <v>0</v>
      </c>
      <c r="DD39" s="1">
        <f t="shared" si="56"/>
        <v>0</v>
      </c>
      <c r="DE39" s="1">
        <f t="shared" si="56"/>
        <v>0</v>
      </c>
      <c r="DF39" s="1"/>
      <c r="DG39" s="5" t="s">
        <v>10</v>
      </c>
      <c r="DH39" s="1">
        <f t="shared" si="57"/>
        <v>0</v>
      </c>
      <c r="DI39" s="1">
        <f t="shared" si="57"/>
        <v>0</v>
      </c>
      <c r="DJ39" s="1">
        <f t="shared" si="57"/>
        <v>0</v>
      </c>
      <c r="DK39" s="1">
        <f t="shared" si="57"/>
        <v>0</v>
      </c>
      <c r="DL39" s="1">
        <f t="shared" si="57"/>
        <v>1</v>
      </c>
      <c r="DM39" s="1"/>
      <c r="DN39" s="5" t="s">
        <v>10</v>
      </c>
      <c r="DO39" s="1">
        <f t="shared" si="58"/>
        <v>0</v>
      </c>
      <c r="DP39" s="1">
        <f t="shared" si="58"/>
        <v>0</v>
      </c>
      <c r="DQ39" s="1">
        <f t="shared" si="58"/>
        <v>0</v>
      </c>
      <c r="DR39" s="1">
        <f t="shared" si="58"/>
        <v>0</v>
      </c>
      <c r="DS39" s="1">
        <f t="shared" si="58"/>
        <v>0</v>
      </c>
      <c r="DT39" s="1"/>
      <c r="DU39" s="5" t="s">
        <v>10</v>
      </c>
      <c r="DV39" s="1">
        <f t="shared" si="59"/>
        <v>0</v>
      </c>
      <c r="DW39" s="1">
        <f t="shared" si="59"/>
        <v>0</v>
      </c>
      <c r="DX39" s="1">
        <f t="shared" si="59"/>
        <v>0</v>
      </c>
      <c r="DY39" s="1">
        <f t="shared" si="59"/>
        <v>0</v>
      </c>
      <c r="DZ39" s="1">
        <f t="shared" si="59"/>
        <v>0</v>
      </c>
      <c r="EA39" s="1"/>
      <c r="EB39" s="5" t="s">
        <v>10</v>
      </c>
      <c r="EC39" s="1">
        <f t="shared" si="60"/>
        <v>0</v>
      </c>
      <c r="ED39" s="1">
        <f t="shared" si="60"/>
        <v>0</v>
      </c>
      <c r="EE39" s="1">
        <f t="shared" si="60"/>
        <v>0</v>
      </c>
      <c r="EF39" s="1">
        <f t="shared" si="60"/>
        <v>0</v>
      </c>
      <c r="EG39" s="1">
        <f t="shared" si="60"/>
        <v>0</v>
      </c>
      <c r="EH39" s="1"/>
    </row>
    <row r="40" spans="1:138">
      <c r="A40" s="13" t="s">
        <v>7</v>
      </c>
      <c r="C40" s="1">
        <f t="shared" si="41"/>
        <v>0</v>
      </c>
      <c r="D40" s="1">
        <f t="shared" si="41"/>
        <v>0</v>
      </c>
      <c r="F40" s="5" t="s">
        <v>7</v>
      </c>
      <c r="G40" s="1">
        <f t="shared" si="42"/>
        <v>0</v>
      </c>
      <c r="H40" s="1">
        <f t="shared" si="42"/>
        <v>0</v>
      </c>
      <c r="I40" s="1">
        <f t="shared" si="42"/>
        <v>0</v>
      </c>
      <c r="J40" s="1">
        <f t="shared" si="42"/>
        <v>0</v>
      </c>
      <c r="K40" s="1">
        <f t="shared" si="42"/>
        <v>1</v>
      </c>
      <c r="M40" s="5" t="s">
        <v>7</v>
      </c>
      <c r="N40" s="1">
        <f t="shared" si="43"/>
        <v>0</v>
      </c>
      <c r="O40" s="1">
        <f t="shared" si="43"/>
        <v>0</v>
      </c>
      <c r="P40" s="1">
        <f t="shared" si="43"/>
        <v>0</v>
      </c>
      <c r="Q40" s="1">
        <f t="shared" si="43"/>
        <v>0</v>
      </c>
      <c r="R40" s="1">
        <f t="shared" si="43"/>
        <v>1</v>
      </c>
      <c r="T40" s="5" t="s">
        <v>7</v>
      </c>
      <c r="U40" s="1">
        <f t="shared" si="44"/>
        <v>0</v>
      </c>
      <c r="V40" s="1">
        <f t="shared" si="44"/>
        <v>0</v>
      </c>
      <c r="W40" s="1">
        <f t="shared" si="44"/>
        <v>0</v>
      </c>
      <c r="X40" s="1">
        <f t="shared" si="44"/>
        <v>0</v>
      </c>
      <c r="Y40" s="1">
        <f t="shared" si="44"/>
        <v>1</v>
      </c>
      <c r="AA40" s="5" t="s">
        <v>7</v>
      </c>
      <c r="AB40" s="1">
        <f t="shared" si="45"/>
        <v>1</v>
      </c>
      <c r="AC40" s="1">
        <f t="shared" si="45"/>
        <v>0</v>
      </c>
      <c r="AD40" s="1">
        <f t="shared" si="45"/>
        <v>0</v>
      </c>
      <c r="AE40" s="1">
        <f t="shared" si="45"/>
        <v>0</v>
      </c>
      <c r="AF40" s="1">
        <f t="shared" si="45"/>
        <v>0</v>
      </c>
      <c r="AH40" s="5" t="s">
        <v>7</v>
      </c>
      <c r="AI40" s="1">
        <f t="shared" si="46"/>
        <v>0</v>
      </c>
      <c r="AJ40" s="1">
        <f t="shared" si="46"/>
        <v>0</v>
      </c>
      <c r="AK40" s="1">
        <f t="shared" si="46"/>
        <v>0</v>
      </c>
      <c r="AL40" s="1">
        <f t="shared" si="46"/>
        <v>0</v>
      </c>
      <c r="AM40" s="1">
        <f t="shared" si="46"/>
        <v>0</v>
      </c>
      <c r="AO40" s="5" t="s">
        <v>7</v>
      </c>
      <c r="AP40" s="1">
        <f t="shared" si="47"/>
        <v>0</v>
      </c>
      <c r="AQ40" s="1">
        <f t="shared" si="47"/>
        <v>0</v>
      </c>
      <c r="AR40" s="1">
        <f t="shared" si="47"/>
        <v>0</v>
      </c>
      <c r="AS40" s="1">
        <f t="shared" si="47"/>
        <v>0</v>
      </c>
      <c r="AT40" s="1">
        <f t="shared" si="47"/>
        <v>0</v>
      </c>
      <c r="AV40" s="5" t="s">
        <v>7</v>
      </c>
      <c r="AW40" s="1">
        <f t="shared" si="48"/>
        <v>0</v>
      </c>
      <c r="AX40" s="1">
        <f t="shared" si="48"/>
        <v>0</v>
      </c>
      <c r="AY40" s="1">
        <f t="shared" si="48"/>
        <v>0</v>
      </c>
      <c r="AZ40" s="1">
        <f t="shared" si="48"/>
        <v>0</v>
      </c>
      <c r="BA40" s="1">
        <f t="shared" si="48"/>
        <v>0</v>
      </c>
      <c r="BC40" s="5" t="s">
        <v>7</v>
      </c>
      <c r="BD40" s="1">
        <f t="shared" si="49"/>
        <v>0</v>
      </c>
      <c r="BE40" s="1">
        <f t="shared" si="49"/>
        <v>0</v>
      </c>
      <c r="BF40" s="1">
        <f t="shared" si="49"/>
        <v>0</v>
      </c>
      <c r="BG40" s="1">
        <f t="shared" si="49"/>
        <v>0</v>
      </c>
      <c r="BH40" s="1">
        <f t="shared" si="49"/>
        <v>0</v>
      </c>
      <c r="BI40" s="1"/>
      <c r="BJ40" s="5" t="s">
        <v>7</v>
      </c>
      <c r="BK40" s="1">
        <f t="shared" si="50"/>
        <v>0</v>
      </c>
      <c r="BL40" s="1">
        <f t="shared" si="50"/>
        <v>0</v>
      </c>
      <c r="BM40" s="1">
        <f t="shared" si="50"/>
        <v>0</v>
      </c>
      <c r="BN40" s="1">
        <f t="shared" si="50"/>
        <v>0</v>
      </c>
      <c r="BO40" s="1">
        <f t="shared" si="50"/>
        <v>0</v>
      </c>
      <c r="BP40" s="1"/>
      <c r="BQ40" s="5" t="s">
        <v>7</v>
      </c>
      <c r="BR40" s="1">
        <f t="shared" si="51"/>
        <v>0</v>
      </c>
      <c r="BS40" s="1">
        <f t="shared" si="51"/>
        <v>1</v>
      </c>
      <c r="BT40" s="1">
        <f t="shared" si="51"/>
        <v>0</v>
      </c>
      <c r="BU40" s="1">
        <f t="shared" si="51"/>
        <v>1</v>
      </c>
      <c r="BV40" s="1">
        <f t="shared" si="51"/>
        <v>0</v>
      </c>
      <c r="BW40" s="1"/>
      <c r="BX40" s="5" t="s">
        <v>7</v>
      </c>
      <c r="BY40" s="1">
        <f t="shared" si="52"/>
        <v>0</v>
      </c>
      <c r="BZ40" s="1">
        <f t="shared" si="52"/>
        <v>1</v>
      </c>
      <c r="CA40" s="1">
        <f t="shared" si="52"/>
        <v>0</v>
      </c>
      <c r="CB40" s="1">
        <f t="shared" si="52"/>
        <v>0</v>
      </c>
      <c r="CC40" s="1">
        <f t="shared" si="52"/>
        <v>0</v>
      </c>
      <c r="CD40" s="1"/>
      <c r="CE40" s="5" t="s">
        <v>7</v>
      </c>
      <c r="CF40" s="1">
        <f t="shared" si="53"/>
        <v>0</v>
      </c>
      <c r="CG40" s="1">
        <f t="shared" si="53"/>
        <v>0</v>
      </c>
      <c r="CH40" s="1">
        <f t="shared" si="53"/>
        <v>0</v>
      </c>
      <c r="CI40" s="1">
        <f t="shared" si="53"/>
        <v>0</v>
      </c>
      <c r="CJ40" s="1">
        <f t="shared" si="53"/>
        <v>0</v>
      </c>
      <c r="CK40" s="1"/>
      <c r="CL40" s="5" t="s">
        <v>7</v>
      </c>
      <c r="CM40" s="1">
        <f t="shared" si="54"/>
        <v>0</v>
      </c>
      <c r="CN40" s="1">
        <f t="shared" si="54"/>
        <v>0</v>
      </c>
      <c r="CO40" s="1">
        <f t="shared" si="54"/>
        <v>1</v>
      </c>
      <c r="CP40" s="1">
        <f t="shared" si="54"/>
        <v>0</v>
      </c>
      <c r="CQ40" s="1">
        <f t="shared" si="54"/>
        <v>0</v>
      </c>
      <c r="CR40" s="1"/>
      <c r="CS40" s="5" t="s">
        <v>7</v>
      </c>
      <c r="CT40" s="1">
        <f t="shared" si="55"/>
        <v>0</v>
      </c>
      <c r="CU40" s="1">
        <f t="shared" si="55"/>
        <v>0</v>
      </c>
      <c r="CV40" s="1">
        <f t="shared" si="55"/>
        <v>1</v>
      </c>
      <c r="CW40" s="1">
        <f t="shared" si="55"/>
        <v>0</v>
      </c>
      <c r="CX40" s="1">
        <f t="shared" si="55"/>
        <v>0</v>
      </c>
      <c r="CY40" s="1"/>
      <c r="CZ40" s="5" t="s">
        <v>7</v>
      </c>
      <c r="DA40" s="1">
        <f t="shared" si="56"/>
        <v>0</v>
      </c>
      <c r="DB40" s="1">
        <f t="shared" si="56"/>
        <v>0</v>
      </c>
      <c r="DC40" s="1">
        <f t="shared" si="56"/>
        <v>0</v>
      </c>
      <c r="DD40" s="1">
        <f t="shared" si="56"/>
        <v>0</v>
      </c>
      <c r="DE40" s="1">
        <f t="shared" si="56"/>
        <v>1</v>
      </c>
      <c r="DF40" s="1"/>
      <c r="DG40" s="5" t="s">
        <v>7</v>
      </c>
      <c r="DH40" s="1">
        <f t="shared" si="57"/>
        <v>0</v>
      </c>
      <c r="DI40" s="1">
        <f t="shared" si="57"/>
        <v>0</v>
      </c>
      <c r="DJ40" s="1">
        <f t="shared" si="57"/>
        <v>0</v>
      </c>
      <c r="DK40" s="1">
        <f t="shared" si="57"/>
        <v>0</v>
      </c>
      <c r="DL40" s="1">
        <f t="shared" si="57"/>
        <v>0</v>
      </c>
      <c r="DM40" s="1"/>
      <c r="DN40" s="5" t="s">
        <v>7</v>
      </c>
      <c r="DO40" s="1">
        <f t="shared" si="58"/>
        <v>0</v>
      </c>
      <c r="DP40" s="1">
        <f t="shared" si="58"/>
        <v>0</v>
      </c>
      <c r="DQ40" s="1">
        <f t="shared" si="58"/>
        <v>0</v>
      </c>
      <c r="DR40" s="1">
        <f t="shared" si="58"/>
        <v>1</v>
      </c>
      <c r="DS40" s="1">
        <f t="shared" si="58"/>
        <v>0</v>
      </c>
      <c r="DT40" s="1"/>
      <c r="DU40" s="5" t="s">
        <v>7</v>
      </c>
      <c r="DV40" s="1">
        <f t="shared" si="59"/>
        <v>0</v>
      </c>
      <c r="DW40" s="1">
        <f t="shared" si="59"/>
        <v>0</v>
      </c>
      <c r="DX40" s="1">
        <f t="shared" si="59"/>
        <v>0</v>
      </c>
      <c r="DY40" s="1">
        <f t="shared" si="59"/>
        <v>0</v>
      </c>
      <c r="DZ40" s="1">
        <f t="shared" si="59"/>
        <v>0</v>
      </c>
      <c r="EA40" s="1"/>
      <c r="EB40" s="5" t="s">
        <v>7</v>
      </c>
      <c r="EC40" s="1">
        <f t="shared" si="60"/>
        <v>0</v>
      </c>
      <c r="ED40" s="1">
        <f t="shared" si="60"/>
        <v>0</v>
      </c>
      <c r="EE40" s="1">
        <f t="shared" si="60"/>
        <v>0</v>
      </c>
      <c r="EF40" s="1">
        <f t="shared" si="60"/>
        <v>0</v>
      </c>
      <c r="EG40" s="1">
        <f t="shared" si="60"/>
        <v>0</v>
      </c>
      <c r="EH40" s="1"/>
    </row>
    <row r="41" spans="1:138">
      <c r="A41" s="13" t="s">
        <v>12</v>
      </c>
      <c r="C41" s="1">
        <f t="shared" si="41"/>
        <v>0</v>
      </c>
      <c r="D41" s="1">
        <f t="shared" si="41"/>
        <v>1</v>
      </c>
      <c r="F41" s="5" t="s">
        <v>12</v>
      </c>
      <c r="G41" s="1">
        <f t="shared" si="42"/>
        <v>0</v>
      </c>
      <c r="H41" s="1">
        <f t="shared" si="42"/>
        <v>0</v>
      </c>
      <c r="I41" s="1">
        <f t="shared" si="42"/>
        <v>0</v>
      </c>
      <c r="J41" s="1">
        <f t="shared" si="42"/>
        <v>0</v>
      </c>
      <c r="K41" s="1">
        <f t="shared" si="42"/>
        <v>1</v>
      </c>
      <c r="M41" s="5" t="s">
        <v>12</v>
      </c>
      <c r="N41" s="1">
        <f t="shared" si="43"/>
        <v>0</v>
      </c>
      <c r="O41" s="1">
        <f t="shared" si="43"/>
        <v>0</v>
      </c>
      <c r="P41" s="1">
        <f t="shared" si="43"/>
        <v>1</v>
      </c>
      <c r="Q41" s="1">
        <f t="shared" si="43"/>
        <v>0</v>
      </c>
      <c r="R41" s="1">
        <f t="shared" si="43"/>
        <v>0</v>
      </c>
      <c r="T41" s="5" t="s">
        <v>12</v>
      </c>
      <c r="U41" s="1">
        <f t="shared" si="44"/>
        <v>0</v>
      </c>
      <c r="V41" s="1">
        <f t="shared" si="44"/>
        <v>0</v>
      </c>
      <c r="W41" s="1">
        <f t="shared" si="44"/>
        <v>0</v>
      </c>
      <c r="X41" s="1">
        <f t="shared" si="44"/>
        <v>0</v>
      </c>
      <c r="Y41" s="1">
        <f t="shared" si="44"/>
        <v>0</v>
      </c>
      <c r="AA41" s="5" t="s">
        <v>12</v>
      </c>
      <c r="AB41" s="1">
        <f t="shared" si="45"/>
        <v>0</v>
      </c>
      <c r="AC41" s="1">
        <f t="shared" si="45"/>
        <v>0</v>
      </c>
      <c r="AD41" s="1">
        <f t="shared" si="45"/>
        <v>0</v>
      </c>
      <c r="AE41" s="1">
        <f t="shared" si="45"/>
        <v>0</v>
      </c>
      <c r="AF41" s="1">
        <f t="shared" si="45"/>
        <v>0</v>
      </c>
      <c r="AH41" s="5" t="s">
        <v>12</v>
      </c>
      <c r="AI41" s="1">
        <f t="shared" si="46"/>
        <v>1</v>
      </c>
      <c r="AJ41" s="1">
        <f t="shared" si="46"/>
        <v>0</v>
      </c>
      <c r="AK41" s="1">
        <f t="shared" si="46"/>
        <v>0</v>
      </c>
      <c r="AL41" s="1">
        <f t="shared" si="46"/>
        <v>0</v>
      </c>
      <c r="AM41" s="1">
        <f t="shared" si="46"/>
        <v>0</v>
      </c>
      <c r="AO41" s="5" t="s">
        <v>12</v>
      </c>
      <c r="AP41" s="1">
        <f t="shared" si="47"/>
        <v>0</v>
      </c>
      <c r="AQ41" s="1">
        <f t="shared" si="47"/>
        <v>0</v>
      </c>
      <c r="AR41" s="1">
        <f t="shared" si="47"/>
        <v>1</v>
      </c>
      <c r="AS41" s="1">
        <f t="shared" si="47"/>
        <v>0</v>
      </c>
      <c r="AT41" s="1">
        <f t="shared" si="47"/>
        <v>0</v>
      </c>
      <c r="AV41" s="5" t="s">
        <v>12</v>
      </c>
      <c r="AW41" s="1">
        <f t="shared" si="48"/>
        <v>1</v>
      </c>
      <c r="AX41" s="1">
        <f t="shared" si="48"/>
        <v>0</v>
      </c>
      <c r="AY41" s="1">
        <f t="shared" si="48"/>
        <v>0</v>
      </c>
      <c r="AZ41" s="1">
        <f t="shared" si="48"/>
        <v>0</v>
      </c>
      <c r="BA41" s="1">
        <f t="shared" si="48"/>
        <v>0</v>
      </c>
      <c r="BC41" s="5" t="s">
        <v>12</v>
      </c>
      <c r="BD41" s="1">
        <f t="shared" si="49"/>
        <v>0</v>
      </c>
      <c r="BE41" s="1">
        <f t="shared" si="49"/>
        <v>0</v>
      </c>
      <c r="BF41" s="1">
        <f t="shared" si="49"/>
        <v>0</v>
      </c>
      <c r="BG41" s="1">
        <f t="shared" si="49"/>
        <v>0</v>
      </c>
      <c r="BH41" s="1">
        <f t="shared" si="49"/>
        <v>1</v>
      </c>
      <c r="BI41" s="1"/>
      <c r="BJ41" s="5" t="s">
        <v>12</v>
      </c>
      <c r="BK41" s="1">
        <f t="shared" si="50"/>
        <v>0</v>
      </c>
      <c r="BL41" s="1">
        <f t="shared" si="50"/>
        <v>0</v>
      </c>
      <c r="BM41" s="1">
        <f t="shared" si="50"/>
        <v>0</v>
      </c>
      <c r="BN41" s="1">
        <f t="shared" si="50"/>
        <v>0</v>
      </c>
      <c r="BO41" s="1">
        <f t="shared" si="50"/>
        <v>1</v>
      </c>
      <c r="BP41" s="1"/>
      <c r="BQ41" s="5" t="s">
        <v>12</v>
      </c>
      <c r="BR41" s="1">
        <f t="shared" si="51"/>
        <v>0</v>
      </c>
      <c r="BS41" s="1">
        <f t="shared" si="51"/>
        <v>0</v>
      </c>
      <c r="BT41" s="1">
        <f t="shared" si="51"/>
        <v>0</v>
      </c>
      <c r="BU41" s="1">
        <f t="shared" si="51"/>
        <v>0</v>
      </c>
      <c r="BV41" s="1">
        <f t="shared" si="51"/>
        <v>0</v>
      </c>
      <c r="BW41" s="1"/>
      <c r="BX41" s="5" t="s">
        <v>12</v>
      </c>
      <c r="BY41" s="1">
        <f t="shared" si="52"/>
        <v>1</v>
      </c>
      <c r="BZ41" s="1">
        <f t="shared" si="52"/>
        <v>0</v>
      </c>
      <c r="CA41" s="1">
        <f t="shared" si="52"/>
        <v>0</v>
      </c>
      <c r="CB41" s="1">
        <f t="shared" si="52"/>
        <v>0</v>
      </c>
      <c r="CC41" s="1">
        <f t="shared" si="52"/>
        <v>0</v>
      </c>
      <c r="CD41" s="1"/>
      <c r="CE41" s="5" t="s">
        <v>12</v>
      </c>
      <c r="CF41" s="1">
        <f t="shared" si="53"/>
        <v>0</v>
      </c>
      <c r="CG41" s="1">
        <f t="shared" si="53"/>
        <v>0</v>
      </c>
      <c r="CH41" s="1">
        <f t="shared" si="53"/>
        <v>0</v>
      </c>
      <c r="CI41" s="1">
        <f t="shared" si="53"/>
        <v>0</v>
      </c>
      <c r="CJ41" s="1">
        <f t="shared" si="53"/>
        <v>0</v>
      </c>
      <c r="CK41" s="1"/>
      <c r="CL41" s="5" t="s">
        <v>12</v>
      </c>
      <c r="CM41" s="1">
        <f t="shared" si="54"/>
        <v>0</v>
      </c>
      <c r="CN41" s="1">
        <f t="shared" si="54"/>
        <v>0</v>
      </c>
      <c r="CO41" s="1">
        <f t="shared" si="54"/>
        <v>0</v>
      </c>
      <c r="CP41" s="1">
        <f t="shared" si="54"/>
        <v>0</v>
      </c>
      <c r="CQ41" s="1">
        <f t="shared" si="54"/>
        <v>1</v>
      </c>
      <c r="CR41" s="1"/>
      <c r="CS41" s="5" t="s">
        <v>12</v>
      </c>
      <c r="CT41" s="1">
        <f t="shared" si="55"/>
        <v>0</v>
      </c>
      <c r="CU41" s="1">
        <f t="shared" si="55"/>
        <v>1</v>
      </c>
      <c r="CV41" s="1">
        <f t="shared" si="55"/>
        <v>0</v>
      </c>
      <c r="CW41" s="1">
        <f t="shared" si="55"/>
        <v>0</v>
      </c>
      <c r="CX41" s="1">
        <f t="shared" si="55"/>
        <v>0</v>
      </c>
      <c r="CY41" s="1"/>
      <c r="CZ41" s="5" t="s">
        <v>12</v>
      </c>
      <c r="DA41" s="1">
        <f t="shared" si="56"/>
        <v>0</v>
      </c>
      <c r="DB41" s="1">
        <f t="shared" si="56"/>
        <v>0</v>
      </c>
      <c r="DC41" s="1">
        <f t="shared" si="56"/>
        <v>0</v>
      </c>
      <c r="DD41" s="1">
        <f t="shared" si="56"/>
        <v>1</v>
      </c>
      <c r="DE41" s="1">
        <f t="shared" si="56"/>
        <v>0</v>
      </c>
      <c r="DF41" s="1"/>
      <c r="DG41" s="5" t="s">
        <v>12</v>
      </c>
      <c r="DH41" s="1">
        <f t="shared" si="57"/>
        <v>0</v>
      </c>
      <c r="DI41" s="1">
        <f t="shared" si="57"/>
        <v>0</v>
      </c>
      <c r="DJ41" s="1">
        <f t="shared" si="57"/>
        <v>0</v>
      </c>
      <c r="DK41" s="1">
        <f t="shared" si="57"/>
        <v>0</v>
      </c>
      <c r="DL41" s="1">
        <f t="shared" si="57"/>
        <v>0</v>
      </c>
      <c r="DM41" s="1"/>
      <c r="DN41" s="5" t="s">
        <v>12</v>
      </c>
      <c r="DO41" s="1">
        <f t="shared" si="58"/>
        <v>0</v>
      </c>
      <c r="DP41" s="1">
        <f t="shared" si="58"/>
        <v>0</v>
      </c>
      <c r="DQ41" s="1">
        <f t="shared" si="58"/>
        <v>1</v>
      </c>
      <c r="DR41" s="1">
        <f t="shared" si="58"/>
        <v>0</v>
      </c>
      <c r="DS41" s="1">
        <f t="shared" si="58"/>
        <v>0</v>
      </c>
      <c r="DT41" s="1"/>
      <c r="DU41" s="5" t="s">
        <v>12</v>
      </c>
      <c r="DV41" s="1">
        <f t="shared" si="59"/>
        <v>0</v>
      </c>
      <c r="DW41" s="1">
        <f t="shared" si="59"/>
        <v>0</v>
      </c>
      <c r="DX41" s="1">
        <f t="shared" si="59"/>
        <v>0</v>
      </c>
      <c r="DY41" s="1">
        <f t="shared" si="59"/>
        <v>0</v>
      </c>
      <c r="DZ41" s="1">
        <f t="shared" si="59"/>
        <v>0</v>
      </c>
      <c r="EA41" s="1"/>
      <c r="EB41" s="5" t="s">
        <v>12</v>
      </c>
      <c r="EC41" s="1">
        <f t="shared" si="60"/>
        <v>0</v>
      </c>
      <c r="ED41" s="1">
        <f t="shared" si="60"/>
        <v>0</v>
      </c>
      <c r="EE41" s="1">
        <f t="shared" si="60"/>
        <v>0</v>
      </c>
      <c r="EF41" s="1">
        <f t="shared" si="60"/>
        <v>0</v>
      </c>
      <c r="EG41" s="1">
        <f t="shared" si="60"/>
        <v>0</v>
      </c>
      <c r="EH41" s="1"/>
    </row>
    <row r="42" spans="1:138">
      <c r="A42" s="13" t="s">
        <v>9</v>
      </c>
      <c r="C42" s="1">
        <f t="shared" si="41"/>
        <v>0</v>
      </c>
      <c r="D42" s="1">
        <f t="shared" si="41"/>
        <v>0</v>
      </c>
      <c r="F42" s="5" t="s">
        <v>9</v>
      </c>
      <c r="G42" s="1">
        <f t="shared" si="42"/>
        <v>1</v>
      </c>
      <c r="H42" s="1">
        <f t="shared" si="42"/>
        <v>0</v>
      </c>
      <c r="I42" s="1">
        <f t="shared" si="42"/>
        <v>0</v>
      </c>
      <c r="J42" s="1">
        <f t="shared" si="42"/>
        <v>0</v>
      </c>
      <c r="K42" s="1">
        <f t="shared" si="42"/>
        <v>0</v>
      </c>
      <c r="M42" s="5" t="s">
        <v>9</v>
      </c>
      <c r="N42" s="1">
        <f t="shared" si="43"/>
        <v>0</v>
      </c>
      <c r="O42" s="1">
        <f t="shared" si="43"/>
        <v>0</v>
      </c>
      <c r="P42" s="1">
        <f t="shared" si="43"/>
        <v>0</v>
      </c>
      <c r="Q42" s="1">
        <f t="shared" si="43"/>
        <v>0</v>
      </c>
      <c r="R42" s="1">
        <f t="shared" si="43"/>
        <v>0</v>
      </c>
      <c r="T42" s="5" t="s">
        <v>9</v>
      </c>
      <c r="U42" s="1">
        <f t="shared" si="44"/>
        <v>0</v>
      </c>
      <c r="V42" s="1">
        <f t="shared" si="44"/>
        <v>0</v>
      </c>
      <c r="W42" s="1">
        <f t="shared" si="44"/>
        <v>0</v>
      </c>
      <c r="X42" s="1">
        <f t="shared" si="44"/>
        <v>0</v>
      </c>
      <c r="Y42" s="1">
        <f t="shared" si="44"/>
        <v>0</v>
      </c>
      <c r="AA42" s="5" t="s">
        <v>9</v>
      </c>
      <c r="AB42" s="1">
        <f t="shared" si="45"/>
        <v>0</v>
      </c>
      <c r="AC42" s="1">
        <f t="shared" si="45"/>
        <v>0</v>
      </c>
      <c r="AD42" s="1">
        <f t="shared" si="45"/>
        <v>0</v>
      </c>
      <c r="AE42" s="1">
        <f t="shared" si="45"/>
        <v>0</v>
      </c>
      <c r="AF42" s="1">
        <f t="shared" si="45"/>
        <v>0</v>
      </c>
      <c r="AH42" s="5" t="s">
        <v>9</v>
      </c>
      <c r="AI42" s="1">
        <f t="shared" si="46"/>
        <v>0</v>
      </c>
      <c r="AJ42" s="1">
        <f t="shared" si="46"/>
        <v>0</v>
      </c>
      <c r="AK42" s="1">
        <f t="shared" si="46"/>
        <v>0</v>
      </c>
      <c r="AL42" s="1">
        <f t="shared" si="46"/>
        <v>0</v>
      </c>
      <c r="AM42" s="1">
        <f t="shared" si="46"/>
        <v>0</v>
      </c>
      <c r="AO42" s="5" t="s">
        <v>9</v>
      </c>
      <c r="AP42" s="1">
        <f t="shared" si="47"/>
        <v>0</v>
      </c>
      <c r="AQ42" s="1">
        <f t="shared" si="47"/>
        <v>1</v>
      </c>
      <c r="AR42" s="1">
        <f t="shared" si="47"/>
        <v>0</v>
      </c>
      <c r="AS42" s="1">
        <f t="shared" si="47"/>
        <v>0</v>
      </c>
      <c r="AT42" s="1">
        <f t="shared" si="47"/>
        <v>0</v>
      </c>
      <c r="AV42" s="5" t="s">
        <v>9</v>
      </c>
      <c r="AW42" s="1">
        <f t="shared" si="48"/>
        <v>0</v>
      </c>
      <c r="AX42" s="1">
        <f t="shared" si="48"/>
        <v>0</v>
      </c>
      <c r="AY42" s="1">
        <f t="shared" si="48"/>
        <v>0</v>
      </c>
      <c r="AZ42" s="1">
        <f t="shared" si="48"/>
        <v>0</v>
      </c>
      <c r="BA42" s="1">
        <f t="shared" si="48"/>
        <v>0</v>
      </c>
      <c r="BC42" s="5" t="s">
        <v>9</v>
      </c>
      <c r="BD42" s="1">
        <f t="shared" si="49"/>
        <v>0</v>
      </c>
      <c r="BE42" s="1">
        <f t="shared" si="49"/>
        <v>0</v>
      </c>
      <c r="BF42" s="1">
        <f t="shared" si="49"/>
        <v>0</v>
      </c>
      <c r="BG42" s="1">
        <f t="shared" si="49"/>
        <v>0</v>
      </c>
      <c r="BH42" s="1">
        <f t="shared" si="49"/>
        <v>0</v>
      </c>
      <c r="BI42" s="1"/>
      <c r="BJ42" s="5" t="s">
        <v>9</v>
      </c>
      <c r="BK42" s="1">
        <f t="shared" si="50"/>
        <v>0</v>
      </c>
      <c r="BL42" s="1">
        <f t="shared" si="50"/>
        <v>0</v>
      </c>
      <c r="BM42" s="1">
        <f t="shared" si="50"/>
        <v>0</v>
      </c>
      <c r="BN42" s="1">
        <f t="shared" si="50"/>
        <v>0</v>
      </c>
      <c r="BO42" s="1">
        <f t="shared" si="50"/>
        <v>0</v>
      </c>
      <c r="BP42" s="1"/>
      <c r="BQ42" s="5" t="s">
        <v>9</v>
      </c>
      <c r="BR42" s="1">
        <f t="shared" si="51"/>
        <v>0</v>
      </c>
      <c r="BS42" s="1">
        <f t="shared" si="51"/>
        <v>0</v>
      </c>
      <c r="BT42" s="1">
        <f t="shared" si="51"/>
        <v>1</v>
      </c>
      <c r="BU42" s="1">
        <f t="shared" si="51"/>
        <v>0</v>
      </c>
      <c r="BV42" s="1">
        <f t="shared" si="51"/>
        <v>0</v>
      </c>
      <c r="BW42" s="1"/>
      <c r="BX42" s="5" t="s">
        <v>9</v>
      </c>
      <c r="BY42" s="1">
        <f t="shared" si="52"/>
        <v>0</v>
      </c>
      <c r="BZ42" s="1">
        <f t="shared" si="52"/>
        <v>0</v>
      </c>
      <c r="CA42" s="1">
        <f t="shared" si="52"/>
        <v>0</v>
      </c>
      <c r="CB42" s="1">
        <f t="shared" si="52"/>
        <v>0</v>
      </c>
      <c r="CC42" s="1">
        <f t="shared" si="52"/>
        <v>1</v>
      </c>
      <c r="CD42" s="1"/>
      <c r="CE42" s="5" t="s">
        <v>9</v>
      </c>
      <c r="CF42" s="1">
        <f t="shared" si="53"/>
        <v>0</v>
      </c>
      <c r="CG42" s="1">
        <f t="shared" si="53"/>
        <v>0</v>
      </c>
      <c r="CH42" s="1">
        <f t="shared" si="53"/>
        <v>1</v>
      </c>
      <c r="CI42" s="1">
        <f t="shared" si="53"/>
        <v>0</v>
      </c>
      <c r="CJ42" s="1">
        <f t="shared" si="53"/>
        <v>0</v>
      </c>
      <c r="CK42" s="1"/>
      <c r="CL42" s="5" t="s">
        <v>9</v>
      </c>
      <c r="CM42" s="1">
        <f t="shared" si="54"/>
        <v>0</v>
      </c>
      <c r="CN42" s="1">
        <f t="shared" si="54"/>
        <v>0</v>
      </c>
      <c r="CO42" s="1">
        <f t="shared" si="54"/>
        <v>0</v>
      </c>
      <c r="CP42" s="1">
        <f t="shared" si="54"/>
        <v>0</v>
      </c>
      <c r="CQ42" s="1">
        <f t="shared" si="54"/>
        <v>0</v>
      </c>
      <c r="CR42" s="1"/>
      <c r="CS42" s="5" t="s">
        <v>9</v>
      </c>
      <c r="CT42" s="1">
        <f t="shared" si="55"/>
        <v>0</v>
      </c>
      <c r="CU42" s="1">
        <f t="shared" si="55"/>
        <v>0</v>
      </c>
      <c r="CV42" s="1">
        <f t="shared" si="55"/>
        <v>0</v>
      </c>
      <c r="CW42" s="1">
        <f t="shared" si="55"/>
        <v>0</v>
      </c>
      <c r="CX42" s="1">
        <f t="shared" si="55"/>
        <v>0</v>
      </c>
      <c r="CY42" s="1"/>
      <c r="CZ42" s="5" t="s">
        <v>9</v>
      </c>
      <c r="DA42" s="1">
        <f t="shared" si="56"/>
        <v>0</v>
      </c>
      <c r="DB42" s="1">
        <f t="shared" si="56"/>
        <v>0</v>
      </c>
      <c r="DC42" s="1">
        <f t="shared" si="56"/>
        <v>0</v>
      </c>
      <c r="DD42" s="1">
        <f t="shared" si="56"/>
        <v>0</v>
      </c>
      <c r="DE42" s="1">
        <f t="shared" si="56"/>
        <v>0</v>
      </c>
      <c r="DF42" s="1"/>
      <c r="DG42" s="5" t="s">
        <v>9</v>
      </c>
      <c r="DH42" s="1">
        <f t="shared" si="57"/>
        <v>0</v>
      </c>
      <c r="DI42" s="1">
        <f t="shared" si="57"/>
        <v>0</v>
      </c>
      <c r="DJ42" s="1">
        <f t="shared" si="57"/>
        <v>0</v>
      </c>
      <c r="DK42" s="1">
        <f t="shared" si="57"/>
        <v>0</v>
      </c>
      <c r="DL42" s="1">
        <f t="shared" si="57"/>
        <v>0</v>
      </c>
      <c r="DM42" s="1"/>
      <c r="DN42" s="5" t="s">
        <v>9</v>
      </c>
      <c r="DO42" s="1">
        <f t="shared" si="58"/>
        <v>0</v>
      </c>
      <c r="DP42" s="1">
        <f t="shared" si="58"/>
        <v>0</v>
      </c>
      <c r="DQ42" s="1">
        <f t="shared" si="58"/>
        <v>0</v>
      </c>
      <c r="DR42" s="1">
        <f t="shared" si="58"/>
        <v>0</v>
      </c>
      <c r="DS42" s="1">
        <f t="shared" si="58"/>
        <v>0</v>
      </c>
      <c r="DT42" s="1"/>
      <c r="DU42" s="5" t="s">
        <v>9</v>
      </c>
      <c r="DV42" s="1">
        <f t="shared" si="59"/>
        <v>0</v>
      </c>
      <c r="DW42" s="1">
        <f t="shared" si="59"/>
        <v>0</v>
      </c>
      <c r="DX42" s="1">
        <f t="shared" si="59"/>
        <v>0</v>
      </c>
      <c r="DY42" s="1">
        <f t="shared" si="59"/>
        <v>0</v>
      </c>
      <c r="DZ42" s="1">
        <f t="shared" si="59"/>
        <v>0</v>
      </c>
      <c r="EA42" s="1"/>
      <c r="EB42" s="5" t="s">
        <v>9</v>
      </c>
      <c r="EC42" s="1">
        <f t="shared" si="60"/>
        <v>0</v>
      </c>
      <c r="ED42" s="1">
        <f t="shared" si="60"/>
        <v>0</v>
      </c>
      <c r="EE42" s="1">
        <f t="shared" si="60"/>
        <v>0</v>
      </c>
      <c r="EF42" s="1">
        <f t="shared" si="60"/>
        <v>0</v>
      </c>
      <c r="EG42" s="1">
        <f t="shared" si="60"/>
        <v>0</v>
      </c>
      <c r="EH42" s="1"/>
    </row>
  </sheetData>
  <conditionalFormatting sqref="A19:A25">
    <cfRule type="containsText" dxfId="5099" priority="3630" operator="containsText" text="9ab">
      <formula>NOT(ISERROR(SEARCH("9ab",A19)))</formula>
    </cfRule>
    <cfRule type="cellIs" dxfId="5098" priority="3631" stopIfTrue="1" operator="equal">
      <formula>"leave"</formula>
    </cfRule>
    <cfRule type="containsText" dxfId="5097" priority="3632" operator="containsText" text="ds">
      <formula>NOT(ISERROR(SEARCH("ds",A19)))</formula>
    </cfRule>
    <cfRule type="containsText" dxfId="5096" priority="3633" operator="containsText" text="subobs">
      <formula>NOT(ISERROR(SEARCH("subobs",A19)))</formula>
    </cfRule>
    <cfRule type="containsText" dxfId="5095" priority="3634" operator="containsText" text="Call">
      <formula>NOT(ISERROR(SEARCH("Call",A19)))</formula>
    </cfRule>
    <cfRule type="containsText" dxfId="5094" priority="3636" operator="containsText" text="9ab">
      <formula>NOT(ISERROR(SEARCH("9ab",A19)))</formula>
    </cfRule>
    <cfRule type="cellIs" dxfId="5093" priority="3637" stopIfTrue="1" operator="equal">
      <formula>"leave"</formula>
    </cfRule>
    <cfRule type="containsText" dxfId="5092" priority="3638" operator="containsText" text="ds">
      <formula>NOT(ISERROR(SEARCH("ds",A19)))</formula>
    </cfRule>
    <cfRule type="containsText" dxfId="5091" priority="3639" operator="containsText" text="subobs">
      <formula>NOT(ISERROR(SEARCH("subobs",A19)))</formula>
    </cfRule>
    <cfRule type="containsText" dxfId="5090" priority="3640" stopIfTrue="1" operator="containsText" text="(Call)">
      <formula>NOT(ISERROR(SEARCH("(Call)",A19)))</formula>
    </cfRule>
    <cfRule type="containsText" dxfId="5089" priority="3642" operator="containsText" text="9ab">
      <formula>NOT(ISERROR(SEARCH("9ab",A19)))</formula>
    </cfRule>
    <cfRule type="cellIs" dxfId="5088" priority="3643" stopIfTrue="1" operator="equal">
      <formula>"leave"</formula>
    </cfRule>
    <cfRule type="containsText" dxfId="5087" priority="3644" operator="containsText" text="ds">
      <formula>NOT(ISERROR(SEARCH("ds",A19)))</formula>
    </cfRule>
    <cfRule type="containsText" dxfId="5086" priority="3645" operator="containsText" text="subobs">
      <formula>NOT(ISERROR(SEARCH("subobs",A19)))</formula>
    </cfRule>
    <cfRule type="containsText" dxfId="5085" priority="3646" operator="containsText" text="Call">
      <formula>NOT(ISERROR(SEARCH("Call",A19)))</formula>
    </cfRule>
    <cfRule type="cellIs" dxfId="5084" priority="3648" operator="equal">
      <formula>0</formula>
    </cfRule>
    <cfRule type="containsText" dxfId="5083" priority="3649" operator="containsText" text="9ab">
      <formula>NOT(ISERROR(SEARCH("9ab",A19)))</formula>
    </cfRule>
    <cfRule type="cellIs" dxfId="5082" priority="3650" stopIfTrue="1" operator="equal">
      <formula>"leave"</formula>
    </cfRule>
    <cfRule type="containsText" dxfId="5081" priority="3651" operator="containsText" text="ds">
      <formula>NOT(ISERROR(SEARCH("ds",A19)))</formula>
    </cfRule>
    <cfRule type="containsText" dxfId="5080" priority="3652" operator="containsText" text="subobs">
      <formula>NOT(ISERROR(SEARCH("subobs",A19)))</formula>
    </cfRule>
    <cfRule type="containsText" dxfId="5079" priority="3653" operator="containsText" text="Call">
      <formula>NOT(ISERROR(SEARCH("Call",A19)))</formula>
    </cfRule>
  </conditionalFormatting>
  <conditionalFormatting sqref="A19:A25">
    <cfRule type="containsText" dxfId="5078" priority="4200" operator="containsText" text="9ab">
      <formula>NOT(ISERROR(SEARCH("9ab",A19)))</formula>
    </cfRule>
    <cfRule type="cellIs" dxfId="5077" priority="4201" stopIfTrue="1" operator="equal">
      <formula>"leave"</formula>
    </cfRule>
    <cfRule type="containsText" dxfId="5076" priority="4202" operator="containsText" text="ds">
      <formula>NOT(ISERROR(SEARCH("ds",A19)))</formula>
    </cfRule>
    <cfRule type="containsText" dxfId="5075" priority="4203" operator="containsText" text="subobs">
      <formula>NOT(ISERROR(SEARCH("subobs",A19)))</formula>
    </cfRule>
    <cfRule type="containsText" dxfId="5074" priority="4204" operator="containsText" text="Call">
      <formula>NOT(ISERROR(SEARCH("Call",A19)))</formula>
    </cfRule>
  </conditionalFormatting>
  <conditionalFormatting sqref="A1:A16 C1:BB16 C26:BB26 A27:BB35 A17:BB25 BC1:CR35">
    <cfRule type="containsText" dxfId="5073" priority="3629" operator="containsText" text="(Call)">
      <formula>NOT(ISERROR(SEARCH("(Call)",A1)))</formula>
    </cfRule>
    <cfRule type="cellIs" dxfId="5072" priority="4173" operator="equal">
      <formula>0</formula>
    </cfRule>
    <cfRule type="containsText" dxfId="5071" priority="4225" stopIfTrue="1" operator="containsText" text="9ab">
      <formula>NOT(ISERROR(SEARCH("9ab",A1)))</formula>
    </cfRule>
    <cfRule type="containsText" dxfId="5070" priority="4227" stopIfTrue="1" operator="containsText" text="ds">
      <formula>NOT(ISERROR(SEARCH("ds",A1)))</formula>
    </cfRule>
    <cfRule type="containsText" dxfId="5069" priority="4228" stopIfTrue="1" operator="containsText" text="subobs">
      <formula>NOT(ISERROR(SEARCH("subobs",A1)))</formula>
    </cfRule>
  </conditionalFormatting>
  <conditionalFormatting sqref="A1:A16 C1:BB16 C26:BB26 A43:BG146 A27:BB42 A17:BB25 BC1:CR42">
    <cfRule type="cellIs" dxfId="5068" priority="4226" stopIfTrue="1" operator="equal">
      <formula>"leave"</formula>
    </cfRule>
  </conditionalFormatting>
  <conditionalFormatting sqref="A1:A16 C1:BB16 C26:BB26 A27:BB35 A17:BB25 BC1:CR35">
    <cfRule type="containsText" dxfId="5067" priority="4192" stopIfTrue="1" operator="containsText" text="go">
      <formula>NOT(ISERROR(SEARCH("go",A1)))</formula>
    </cfRule>
    <cfRule type="cellIs" dxfId="5066" priority="4224" operator="equal">
      <formula>"ps_cover"</formula>
    </cfRule>
  </conditionalFormatting>
  <conditionalFormatting sqref="A1:A16 C1:BB16 C26:BB26 A27:BB35 A17:BB25 BC1:CR35">
    <cfRule type="containsText" dxfId="5065" priority="4172" operator="containsText" text="b1">
      <formula>NOT(ISERROR(SEARCH("b1",A1)))</formula>
    </cfRule>
  </conditionalFormatting>
  <conditionalFormatting sqref="C28:Y35">
    <cfRule type="cellIs" dxfId="5064" priority="3936" operator="equal">
      <formula>0</formula>
    </cfRule>
  </conditionalFormatting>
  <conditionalFormatting sqref="C36:D42">
    <cfRule type="containsText" dxfId="5063" priority="3543" operator="containsText" text="b1">
      <formula>NOT(ISERROR(SEARCH("b1",C36)))</formula>
    </cfRule>
    <cfRule type="cellIs" dxfId="5062" priority="3544" operator="equal">
      <formula>0</formula>
    </cfRule>
    <cfRule type="containsText" dxfId="5061" priority="3551" stopIfTrue="1" operator="containsText" text="go">
      <formula>NOT(ISERROR(SEARCH("go",C36)))</formula>
    </cfRule>
    <cfRule type="cellIs" dxfId="5060" priority="3558" operator="equal">
      <formula>"ps_cover"</formula>
    </cfRule>
    <cfRule type="containsText" dxfId="5059" priority="3559" stopIfTrue="1" operator="containsText" text="9ab">
      <formula>NOT(ISERROR(SEARCH("9ab",C36)))</formula>
    </cfRule>
    <cfRule type="containsText" dxfId="5058" priority="3560" stopIfTrue="1" operator="containsText" text="ds">
      <formula>NOT(ISERROR(SEARCH("ds",C36)))</formula>
    </cfRule>
    <cfRule type="containsText" dxfId="5057" priority="3561" stopIfTrue="1" operator="containsText" text="subobs">
      <formula>NOT(ISERROR(SEARCH("subobs",C36)))</formula>
    </cfRule>
  </conditionalFormatting>
  <conditionalFormatting sqref="C36:D42">
    <cfRule type="containsText" dxfId="5056" priority="3496" operator="containsText" text="(Call)">
      <formula>NOT(ISERROR(SEARCH("(Call)",C36)))</formula>
    </cfRule>
  </conditionalFormatting>
  <conditionalFormatting sqref="F19:F25">
    <cfRule type="containsText" dxfId="5055" priority="4148" operator="containsText" text="9ab">
      <formula>NOT(ISERROR(SEARCH("9ab",F19)))</formula>
    </cfRule>
    <cfRule type="cellIs" dxfId="5054" priority="4149" stopIfTrue="1" operator="equal">
      <formula>"leave"</formula>
    </cfRule>
    <cfRule type="containsText" dxfId="5053" priority="4150" operator="containsText" text="ds">
      <formula>NOT(ISERROR(SEARCH("ds",F19)))</formula>
    </cfRule>
    <cfRule type="containsText" dxfId="5052" priority="4151" operator="containsText" text="subobs">
      <formula>NOT(ISERROR(SEARCH("subobs",F19)))</formula>
    </cfRule>
    <cfRule type="containsText" dxfId="5051" priority="4152" operator="containsText" text="Call">
      <formula>NOT(ISERROR(SEARCH("Call",F19)))</formula>
    </cfRule>
    <cfRule type="containsText" dxfId="5050" priority="4174" operator="containsText" text="9ab">
      <formula>NOT(ISERROR(SEARCH("9ab",F19)))</formula>
    </cfRule>
    <cfRule type="cellIs" dxfId="5049" priority="4175" stopIfTrue="1" operator="equal">
      <formula>"leave"</formula>
    </cfRule>
    <cfRule type="containsText" dxfId="5048" priority="4176" operator="containsText" text="ds">
      <formula>NOT(ISERROR(SEARCH("ds",F19)))</formula>
    </cfRule>
    <cfRule type="containsText" dxfId="5047" priority="4177" operator="containsText" text="subobs">
      <formula>NOT(ISERROR(SEARCH("subobs",F19)))</formula>
    </cfRule>
    <cfRule type="containsText" dxfId="5046" priority="4178" operator="containsText" text="Call">
      <formula>NOT(ISERROR(SEARCH("Call",F19)))</formula>
    </cfRule>
  </conditionalFormatting>
  <conditionalFormatting sqref="F19:F26">
    <cfRule type="containsText" dxfId="5045" priority="4154" operator="containsText" text="9ab">
      <formula>NOT(ISERROR(SEARCH("9ab",F19)))</formula>
    </cfRule>
    <cfRule type="cellIs" dxfId="5044" priority="4155" stopIfTrue="1" operator="equal">
      <formula>"leave"</formula>
    </cfRule>
    <cfRule type="containsText" dxfId="5043" priority="4156" operator="containsText" text="ds">
      <formula>NOT(ISERROR(SEARCH("ds",F19)))</formula>
    </cfRule>
    <cfRule type="containsText" dxfId="5042" priority="4157" operator="containsText" text="subobs">
      <formula>NOT(ISERROR(SEARCH("subobs",F19)))</formula>
    </cfRule>
    <cfRule type="containsText" dxfId="5041" priority="4158" stopIfTrue="1" operator="containsText" text="(Call)">
      <formula>NOT(ISERROR(SEARCH("(Call)",F19)))</formula>
    </cfRule>
    <cfRule type="containsText" dxfId="5040" priority="4218" operator="containsText" text="9ab">
      <formula>NOT(ISERROR(SEARCH("9ab",F19)))</formula>
    </cfRule>
    <cfRule type="cellIs" dxfId="5039" priority="4219" stopIfTrue="1" operator="equal">
      <formula>"leave"</formula>
    </cfRule>
    <cfRule type="containsText" dxfId="5038" priority="4220" operator="containsText" text="ds">
      <formula>NOT(ISERROR(SEARCH("ds",F19)))</formula>
    </cfRule>
    <cfRule type="containsText" dxfId="5037" priority="4221" operator="containsText" text="subobs">
      <formula>NOT(ISERROR(SEARCH("subobs",F19)))</formula>
    </cfRule>
    <cfRule type="containsText" dxfId="5036" priority="4222" operator="containsText" text="Call">
      <formula>NOT(ISERROR(SEARCH("Call",F19)))</formula>
    </cfRule>
  </conditionalFormatting>
  <conditionalFormatting sqref="F28:F33">
    <cfRule type="containsText" dxfId="5035" priority="3894" operator="containsText" text="9ab">
      <formula>NOT(ISERROR(SEARCH("9ab",F28)))</formula>
    </cfRule>
    <cfRule type="cellIs" dxfId="5034" priority="3895" stopIfTrue="1" operator="equal">
      <formula>"leave"</formula>
    </cfRule>
    <cfRule type="containsText" dxfId="5033" priority="3896" operator="containsText" text="ds">
      <formula>NOT(ISERROR(SEARCH("ds",F28)))</formula>
    </cfRule>
    <cfRule type="containsText" dxfId="5032" priority="3897" operator="containsText" text="subobs">
      <formula>NOT(ISERROR(SEARCH("subobs",F28)))</formula>
    </cfRule>
    <cfRule type="containsText" dxfId="5031" priority="3898" operator="containsText" text="Call">
      <formula>NOT(ISERROR(SEARCH("Call",F28)))</formula>
    </cfRule>
    <cfRule type="containsText" dxfId="5030" priority="3918" operator="containsText" text="9ab">
      <formula>NOT(ISERROR(SEARCH("9ab",F28)))</formula>
    </cfRule>
    <cfRule type="cellIs" dxfId="5029" priority="3919" stopIfTrue="1" operator="equal">
      <formula>"leave"</formula>
    </cfRule>
    <cfRule type="containsText" dxfId="5028" priority="3920" operator="containsText" text="ds">
      <formula>NOT(ISERROR(SEARCH("ds",F28)))</formula>
    </cfRule>
    <cfRule type="containsText" dxfId="5027" priority="3921" operator="containsText" text="subobs">
      <formula>NOT(ISERROR(SEARCH("subobs",F28)))</formula>
    </cfRule>
    <cfRule type="containsText" dxfId="5026" priority="3922" operator="containsText" text="Call">
      <formula>NOT(ISERROR(SEARCH("Call",F28)))</formula>
    </cfRule>
  </conditionalFormatting>
  <conditionalFormatting sqref="F28:F35">
    <cfRule type="containsText" dxfId="5025" priority="3900" operator="containsText" text="9ab">
      <formula>NOT(ISERROR(SEARCH("9ab",F28)))</formula>
    </cfRule>
    <cfRule type="cellIs" dxfId="5024" priority="3901" stopIfTrue="1" operator="equal">
      <formula>"leave"</formula>
    </cfRule>
    <cfRule type="containsText" dxfId="5023" priority="3902" operator="containsText" text="ds">
      <formula>NOT(ISERROR(SEARCH("ds",F28)))</formula>
    </cfRule>
    <cfRule type="containsText" dxfId="5022" priority="3903" operator="containsText" text="subobs">
      <formula>NOT(ISERROR(SEARCH("subobs",F28)))</formula>
    </cfRule>
    <cfRule type="containsText" dxfId="5021" priority="3904" stopIfTrue="1" operator="containsText" text="(Call)">
      <formula>NOT(ISERROR(SEARCH("(Call)",F28)))</formula>
    </cfRule>
    <cfRule type="containsText" dxfId="5020" priority="3961" operator="containsText" text="9ab">
      <formula>NOT(ISERROR(SEARCH("9ab",F28)))</formula>
    </cfRule>
    <cfRule type="cellIs" dxfId="5019" priority="3962" stopIfTrue="1" operator="equal">
      <formula>"leave"</formula>
    </cfRule>
    <cfRule type="containsText" dxfId="5018" priority="3963" operator="containsText" text="ds">
      <formula>NOT(ISERROR(SEARCH("ds",F28)))</formula>
    </cfRule>
    <cfRule type="containsText" dxfId="5017" priority="3964" operator="containsText" text="subobs">
      <formula>NOT(ISERROR(SEARCH("subobs",F28)))</formula>
    </cfRule>
    <cfRule type="containsText" dxfId="5016" priority="3965" operator="containsText" text="Call">
      <formula>NOT(ISERROR(SEARCH("Call",F28)))</formula>
    </cfRule>
  </conditionalFormatting>
  <conditionalFormatting sqref="F37:F42">
    <cfRule type="containsText" dxfId="5015" priority="3447" operator="containsText" text="9ab">
      <formula>NOT(ISERROR(SEARCH("9ab",F37)))</formula>
    </cfRule>
    <cfRule type="cellIs" dxfId="5014" priority="3448" stopIfTrue="1" operator="equal">
      <formula>"leave"</formula>
    </cfRule>
    <cfRule type="containsText" dxfId="5013" priority="3449" operator="containsText" text="ds">
      <formula>NOT(ISERROR(SEARCH("ds",F37)))</formula>
    </cfRule>
    <cfRule type="containsText" dxfId="5012" priority="3450" operator="containsText" text="subobs">
      <formula>NOT(ISERROR(SEARCH("subobs",F37)))</formula>
    </cfRule>
    <cfRule type="containsText" dxfId="5011" priority="3451" operator="containsText" text="Call">
      <formula>NOT(ISERROR(SEARCH("Call",F37)))</formula>
    </cfRule>
    <cfRule type="containsText" dxfId="5010" priority="3453" operator="containsText" text="9ab">
      <formula>NOT(ISERROR(SEARCH("9ab",F37)))</formula>
    </cfRule>
    <cfRule type="cellIs" dxfId="5009" priority="3454" stopIfTrue="1" operator="equal">
      <formula>"leave"</formula>
    </cfRule>
    <cfRule type="containsText" dxfId="5008" priority="3455" operator="containsText" text="ds">
      <formula>NOT(ISERROR(SEARCH("ds",F37)))</formula>
    </cfRule>
    <cfRule type="containsText" dxfId="5007" priority="3456" operator="containsText" text="subobs">
      <formula>NOT(ISERROR(SEARCH("subobs",F37)))</formula>
    </cfRule>
    <cfRule type="containsText" dxfId="5006" priority="3457" stopIfTrue="1" operator="containsText" text="(Call)">
      <formula>NOT(ISERROR(SEARCH("(Call)",F37)))</formula>
    </cfRule>
    <cfRule type="containsText" dxfId="5005" priority="3459" operator="containsText" text="9ab">
      <formula>NOT(ISERROR(SEARCH("9ab",F37)))</formula>
    </cfRule>
    <cfRule type="cellIs" dxfId="5004" priority="3460" stopIfTrue="1" operator="equal">
      <formula>"leave"</formula>
    </cfRule>
    <cfRule type="containsText" dxfId="5003" priority="3461" operator="containsText" text="ds">
      <formula>NOT(ISERROR(SEARCH("ds",F37)))</formula>
    </cfRule>
    <cfRule type="containsText" dxfId="5002" priority="3462" operator="containsText" text="subobs">
      <formula>NOT(ISERROR(SEARCH("subobs",F37)))</formula>
    </cfRule>
    <cfRule type="containsText" dxfId="5001" priority="3463" operator="containsText" text="Call">
      <formula>NOT(ISERROR(SEARCH("Call",F37)))</formula>
    </cfRule>
    <cfRule type="containsText" dxfId="5000" priority="3465" operator="containsText" text="9ab">
      <formula>NOT(ISERROR(SEARCH("9ab",F37)))</formula>
    </cfRule>
    <cfRule type="cellIs" dxfId="4999" priority="3466" stopIfTrue="1" operator="equal">
      <formula>"leave"</formula>
    </cfRule>
    <cfRule type="containsText" dxfId="4998" priority="3467" operator="containsText" text="ds">
      <formula>NOT(ISERROR(SEARCH("ds",F37)))</formula>
    </cfRule>
    <cfRule type="containsText" dxfId="4997" priority="3468" operator="containsText" text="subobs">
      <formula>NOT(ISERROR(SEARCH("subobs",F37)))</formula>
    </cfRule>
    <cfRule type="containsText" dxfId="4996" priority="3469" operator="containsText" text="Call">
      <formula>NOT(ISERROR(SEARCH("Call",F37)))</formula>
    </cfRule>
    <cfRule type="containsText" dxfId="4995" priority="3471" operator="containsText" text="9ab">
      <formula>NOT(ISERROR(SEARCH("9ab",F37)))</formula>
    </cfRule>
    <cfRule type="cellIs" dxfId="4994" priority="3472" stopIfTrue="1" operator="equal">
      <formula>"leave"</formula>
    </cfRule>
    <cfRule type="containsText" dxfId="4993" priority="3473" operator="containsText" text="ds">
      <formula>NOT(ISERROR(SEARCH("ds",F37)))</formula>
    </cfRule>
    <cfRule type="containsText" dxfId="4992" priority="3474" operator="containsText" text="subobs">
      <formula>NOT(ISERROR(SEARCH("subobs",F37)))</formula>
    </cfRule>
    <cfRule type="containsText" dxfId="4991" priority="3475" operator="containsText" text="Call">
      <formula>NOT(ISERROR(SEARCH("Call",F37)))</formula>
    </cfRule>
    <cfRule type="containsText" dxfId="4990" priority="3479" operator="containsText" text="9ab">
      <formula>NOT(ISERROR(SEARCH("9ab",F37)))</formula>
    </cfRule>
    <cfRule type="cellIs" dxfId="4989" priority="3480" stopIfTrue="1" operator="equal">
      <formula>"leave"</formula>
    </cfRule>
    <cfRule type="containsText" dxfId="4988" priority="3481" operator="containsText" text="ds">
      <formula>NOT(ISERROR(SEARCH("ds",F37)))</formula>
    </cfRule>
    <cfRule type="containsText" dxfId="4987" priority="3482" operator="containsText" text="subobs">
      <formula>NOT(ISERROR(SEARCH("subobs",F37)))</formula>
    </cfRule>
    <cfRule type="containsText" dxfId="4986" priority="3483" operator="containsText" text="Call">
      <formula>NOT(ISERROR(SEARCH("Call",F37)))</formula>
    </cfRule>
    <cfRule type="containsText" dxfId="4985" priority="3486" operator="containsText" text="9ab">
      <formula>NOT(ISERROR(SEARCH("9ab",F37)))</formula>
    </cfRule>
    <cfRule type="cellIs" dxfId="4984" priority="3487" stopIfTrue="1" operator="equal">
      <formula>"leave"</formula>
    </cfRule>
    <cfRule type="containsText" dxfId="4983" priority="3488" operator="containsText" text="ds">
      <formula>NOT(ISERROR(SEARCH("ds",F37)))</formula>
    </cfRule>
    <cfRule type="containsText" dxfId="4982" priority="3489" operator="containsText" text="subobs">
      <formula>NOT(ISERROR(SEARCH("subobs",F37)))</formula>
    </cfRule>
    <cfRule type="containsText" dxfId="4981" priority="3490" stopIfTrue="1" operator="containsText" text="(Call)">
      <formula>NOT(ISERROR(SEARCH("(Call)",F37)))</formula>
    </cfRule>
  </conditionalFormatting>
  <conditionalFormatting sqref="F36:G42">
    <cfRule type="containsText" dxfId="4980" priority="3477" operator="containsText" text="b1">
      <formula>NOT(ISERROR(SEARCH("b1",F36)))</formula>
    </cfRule>
    <cfRule type="cellIs" dxfId="4979" priority="3478" operator="equal">
      <formula>0</formula>
    </cfRule>
    <cfRule type="containsText" dxfId="4978" priority="3485" stopIfTrue="1" operator="containsText" text="go">
      <formula>NOT(ISERROR(SEARCH("go",F36)))</formula>
    </cfRule>
    <cfRule type="cellIs" dxfId="4977" priority="3492" operator="equal">
      <formula>"ps_cover"</formula>
    </cfRule>
    <cfRule type="containsText" dxfId="4976" priority="3493" stopIfTrue="1" operator="containsText" text="9ab">
      <formula>NOT(ISERROR(SEARCH("9ab",F36)))</formula>
    </cfRule>
    <cfRule type="containsText" dxfId="4975" priority="3494" stopIfTrue="1" operator="containsText" text="ds">
      <formula>NOT(ISERROR(SEARCH("ds",F36)))</formula>
    </cfRule>
    <cfRule type="containsText" dxfId="4974" priority="3495" stopIfTrue="1" operator="containsText" text="subobs">
      <formula>NOT(ISERROR(SEARCH("subobs",F36)))</formula>
    </cfRule>
  </conditionalFormatting>
  <conditionalFormatting sqref="F36:K42">
    <cfRule type="containsText" dxfId="4973" priority="3430" operator="containsText" text="(Call)">
      <formula>NOT(ISERROR(SEARCH("(Call)",F36)))</formula>
    </cfRule>
  </conditionalFormatting>
  <conditionalFormatting sqref="H36:K42">
    <cfRule type="containsText" dxfId="4972" priority="3431" operator="containsText" text="b1">
      <formula>NOT(ISERROR(SEARCH("b1",H36)))</formula>
    </cfRule>
    <cfRule type="cellIs" dxfId="4971" priority="3432" operator="equal">
      <formula>0</formula>
    </cfRule>
    <cfRule type="containsText" dxfId="4970" priority="3433" stopIfTrue="1" operator="containsText" text="go">
      <formula>NOT(ISERROR(SEARCH("go",H36)))</formula>
    </cfRule>
    <cfRule type="cellIs" dxfId="4969" priority="3434" operator="equal">
      <formula>"ps_cover"</formula>
    </cfRule>
    <cfRule type="containsText" dxfId="4968" priority="3435" stopIfTrue="1" operator="containsText" text="9ab">
      <formula>NOT(ISERROR(SEARCH("9ab",H36)))</formula>
    </cfRule>
    <cfRule type="containsText" dxfId="4967" priority="3436" stopIfTrue="1" operator="containsText" text="ds">
      <formula>NOT(ISERROR(SEARCH("ds",H36)))</formula>
    </cfRule>
    <cfRule type="containsText" dxfId="4966" priority="3437" stopIfTrue="1" operator="containsText" text="subobs">
      <formula>NOT(ISERROR(SEARCH("subobs",H36)))</formula>
    </cfRule>
  </conditionalFormatting>
  <conditionalFormatting sqref="M19:M25">
    <cfRule type="containsText" dxfId="4965" priority="4124" operator="containsText" text="9ab">
      <formula>NOT(ISERROR(SEARCH("9ab",M19)))</formula>
    </cfRule>
    <cfRule type="cellIs" dxfId="4964" priority="4125" stopIfTrue="1" operator="equal">
      <formula>"leave"</formula>
    </cfRule>
    <cfRule type="containsText" dxfId="4963" priority="4126" operator="containsText" text="ds">
      <formula>NOT(ISERROR(SEARCH("ds",M19)))</formula>
    </cfRule>
    <cfRule type="containsText" dxfId="4962" priority="4127" operator="containsText" text="subobs">
      <formula>NOT(ISERROR(SEARCH("subobs",M19)))</formula>
    </cfRule>
    <cfRule type="containsText" dxfId="4961" priority="4128" operator="containsText" text="Call">
      <formula>NOT(ISERROR(SEARCH("Call",M19)))</formula>
    </cfRule>
    <cfRule type="containsText" dxfId="4960" priority="4136" operator="containsText" text="9ab">
      <formula>NOT(ISERROR(SEARCH("9ab",M19)))</formula>
    </cfRule>
    <cfRule type="cellIs" dxfId="4959" priority="4137" stopIfTrue="1" operator="equal">
      <formula>"leave"</formula>
    </cfRule>
    <cfRule type="containsText" dxfId="4958" priority="4138" operator="containsText" text="ds">
      <formula>NOT(ISERROR(SEARCH("ds",M19)))</formula>
    </cfRule>
    <cfRule type="containsText" dxfId="4957" priority="4139" operator="containsText" text="subobs">
      <formula>NOT(ISERROR(SEARCH("subobs",M19)))</formula>
    </cfRule>
    <cfRule type="containsText" dxfId="4956" priority="4140" operator="containsText" text="Call">
      <formula>NOT(ISERROR(SEARCH("Call",M19)))</formula>
    </cfRule>
  </conditionalFormatting>
  <conditionalFormatting sqref="M19:M26">
    <cfRule type="containsText" dxfId="4955" priority="4130" operator="containsText" text="9ab">
      <formula>NOT(ISERROR(SEARCH("9ab",M19)))</formula>
    </cfRule>
    <cfRule type="cellIs" dxfId="4954" priority="4131" stopIfTrue="1" operator="equal">
      <formula>"leave"</formula>
    </cfRule>
    <cfRule type="containsText" dxfId="4953" priority="4132" operator="containsText" text="ds">
      <formula>NOT(ISERROR(SEARCH("ds",M19)))</formula>
    </cfRule>
    <cfRule type="containsText" dxfId="4952" priority="4133" operator="containsText" text="subobs">
      <formula>NOT(ISERROR(SEARCH("subobs",M19)))</formula>
    </cfRule>
    <cfRule type="containsText" dxfId="4951" priority="4134" stopIfTrue="1" operator="containsText" text="(Call)">
      <formula>NOT(ISERROR(SEARCH("(Call)",M19)))</formula>
    </cfRule>
    <cfRule type="containsText" dxfId="4950" priority="4142" operator="containsText" text="9ab">
      <formula>NOT(ISERROR(SEARCH("9ab",M19)))</formula>
    </cfRule>
    <cfRule type="cellIs" dxfId="4949" priority="4143" stopIfTrue="1" operator="equal">
      <formula>"leave"</formula>
    </cfRule>
    <cfRule type="containsText" dxfId="4948" priority="4144" operator="containsText" text="ds">
      <formula>NOT(ISERROR(SEARCH("ds",M19)))</formula>
    </cfRule>
    <cfRule type="containsText" dxfId="4947" priority="4145" operator="containsText" text="subobs">
      <formula>NOT(ISERROR(SEARCH("subobs",M19)))</formula>
    </cfRule>
    <cfRule type="containsText" dxfId="4946" priority="4146" operator="containsText" text="Call">
      <formula>NOT(ISERROR(SEARCH("Call",M19)))</formula>
    </cfRule>
    <cfRule type="containsText" dxfId="4945" priority="4212" operator="containsText" text="9ab">
      <formula>NOT(ISERROR(SEARCH("9ab",M19)))</formula>
    </cfRule>
    <cfRule type="cellIs" dxfId="4944" priority="4213" stopIfTrue="1" operator="equal">
      <formula>"leave"</formula>
    </cfRule>
    <cfRule type="containsText" dxfId="4943" priority="4214" operator="containsText" text="ds">
      <formula>NOT(ISERROR(SEARCH("ds",M19)))</formula>
    </cfRule>
    <cfRule type="containsText" dxfId="4942" priority="4215" operator="containsText" text="subobs">
      <formula>NOT(ISERROR(SEARCH("subobs",M19)))</formula>
    </cfRule>
    <cfRule type="containsText" dxfId="4941" priority="4216" operator="containsText" text="Call">
      <formula>NOT(ISERROR(SEARCH("Call",M19)))</formula>
    </cfRule>
  </conditionalFormatting>
  <conditionalFormatting sqref="M28:M33">
    <cfRule type="containsText" dxfId="4940" priority="3870" operator="containsText" text="9ab">
      <formula>NOT(ISERROR(SEARCH("9ab",M28)))</formula>
    </cfRule>
    <cfRule type="cellIs" dxfId="4939" priority="3871" stopIfTrue="1" operator="equal">
      <formula>"leave"</formula>
    </cfRule>
    <cfRule type="containsText" dxfId="4938" priority="3872" operator="containsText" text="ds">
      <formula>NOT(ISERROR(SEARCH("ds",M28)))</formula>
    </cfRule>
    <cfRule type="containsText" dxfId="4937" priority="3873" operator="containsText" text="subobs">
      <formula>NOT(ISERROR(SEARCH("subobs",M28)))</formula>
    </cfRule>
    <cfRule type="containsText" dxfId="4936" priority="3874" operator="containsText" text="Call">
      <formula>NOT(ISERROR(SEARCH("Call",M28)))</formula>
    </cfRule>
    <cfRule type="containsText" dxfId="4935" priority="3882" operator="containsText" text="9ab">
      <formula>NOT(ISERROR(SEARCH("9ab",M28)))</formula>
    </cfRule>
    <cfRule type="cellIs" dxfId="4934" priority="3883" stopIfTrue="1" operator="equal">
      <formula>"leave"</formula>
    </cfRule>
    <cfRule type="containsText" dxfId="4933" priority="3884" operator="containsText" text="ds">
      <formula>NOT(ISERROR(SEARCH("ds",M28)))</formula>
    </cfRule>
    <cfRule type="containsText" dxfId="4932" priority="3885" operator="containsText" text="subobs">
      <formula>NOT(ISERROR(SEARCH("subobs",M28)))</formula>
    </cfRule>
    <cfRule type="containsText" dxfId="4931" priority="3886" operator="containsText" text="Call">
      <formula>NOT(ISERROR(SEARCH("Call",M28)))</formula>
    </cfRule>
  </conditionalFormatting>
  <conditionalFormatting sqref="M28:M35">
    <cfRule type="containsText" dxfId="4930" priority="3876" operator="containsText" text="9ab">
      <formula>NOT(ISERROR(SEARCH("9ab",M28)))</formula>
    </cfRule>
    <cfRule type="cellIs" dxfId="4929" priority="3877" stopIfTrue="1" operator="equal">
      <formula>"leave"</formula>
    </cfRule>
    <cfRule type="containsText" dxfId="4928" priority="3878" operator="containsText" text="ds">
      <formula>NOT(ISERROR(SEARCH("ds",M28)))</formula>
    </cfRule>
    <cfRule type="containsText" dxfId="4927" priority="3879" operator="containsText" text="subobs">
      <formula>NOT(ISERROR(SEARCH("subobs",M28)))</formula>
    </cfRule>
    <cfRule type="containsText" dxfId="4926" priority="3880" stopIfTrue="1" operator="containsText" text="(Call)">
      <formula>NOT(ISERROR(SEARCH("(Call)",M28)))</formula>
    </cfRule>
    <cfRule type="containsText" dxfId="4925" priority="3888" operator="containsText" text="9ab">
      <formula>NOT(ISERROR(SEARCH("9ab",M28)))</formula>
    </cfRule>
    <cfRule type="cellIs" dxfId="4924" priority="3889" stopIfTrue="1" operator="equal">
      <formula>"leave"</formula>
    </cfRule>
    <cfRule type="containsText" dxfId="4923" priority="3890" operator="containsText" text="ds">
      <formula>NOT(ISERROR(SEARCH("ds",M28)))</formula>
    </cfRule>
    <cfRule type="containsText" dxfId="4922" priority="3891" operator="containsText" text="subobs">
      <formula>NOT(ISERROR(SEARCH("subobs",M28)))</formula>
    </cfRule>
    <cfRule type="containsText" dxfId="4921" priority="3892" operator="containsText" text="Call">
      <formula>NOT(ISERROR(SEARCH("Call",M28)))</formula>
    </cfRule>
    <cfRule type="containsText" dxfId="4920" priority="3955" operator="containsText" text="9ab">
      <formula>NOT(ISERROR(SEARCH("9ab",M28)))</formula>
    </cfRule>
    <cfRule type="cellIs" dxfId="4919" priority="3956" stopIfTrue="1" operator="equal">
      <formula>"leave"</formula>
    </cfRule>
    <cfRule type="containsText" dxfId="4918" priority="3957" operator="containsText" text="ds">
      <formula>NOT(ISERROR(SEARCH("ds",M28)))</formula>
    </cfRule>
    <cfRule type="containsText" dxfId="4917" priority="3958" operator="containsText" text="subobs">
      <formula>NOT(ISERROR(SEARCH("subobs",M28)))</formula>
    </cfRule>
    <cfRule type="containsText" dxfId="4916" priority="3959" operator="containsText" text="Call">
      <formula>NOT(ISERROR(SEARCH("Call",M28)))</formula>
    </cfRule>
  </conditionalFormatting>
  <conditionalFormatting sqref="M37:M42">
    <cfRule type="containsText" dxfId="4915" priority="3381" operator="containsText" text="9ab">
      <formula>NOT(ISERROR(SEARCH("9ab",M37)))</formula>
    </cfRule>
    <cfRule type="cellIs" dxfId="4914" priority="3382" stopIfTrue="1" operator="equal">
      <formula>"leave"</formula>
    </cfRule>
    <cfRule type="containsText" dxfId="4913" priority="3383" operator="containsText" text="ds">
      <formula>NOT(ISERROR(SEARCH("ds",M37)))</formula>
    </cfRule>
    <cfRule type="containsText" dxfId="4912" priority="3384" operator="containsText" text="subobs">
      <formula>NOT(ISERROR(SEARCH("subobs",M37)))</formula>
    </cfRule>
    <cfRule type="containsText" dxfId="4911" priority="3385" operator="containsText" text="Call">
      <formula>NOT(ISERROR(SEARCH("Call",M37)))</formula>
    </cfRule>
    <cfRule type="containsText" dxfId="4910" priority="3387" operator="containsText" text="9ab">
      <formula>NOT(ISERROR(SEARCH("9ab",M37)))</formula>
    </cfRule>
    <cfRule type="cellIs" dxfId="4909" priority="3388" stopIfTrue="1" operator="equal">
      <formula>"leave"</formula>
    </cfRule>
    <cfRule type="containsText" dxfId="4908" priority="3389" operator="containsText" text="ds">
      <formula>NOT(ISERROR(SEARCH("ds",M37)))</formula>
    </cfRule>
    <cfRule type="containsText" dxfId="4907" priority="3390" operator="containsText" text="subobs">
      <formula>NOT(ISERROR(SEARCH("subobs",M37)))</formula>
    </cfRule>
    <cfRule type="containsText" dxfId="4906" priority="3391" stopIfTrue="1" operator="containsText" text="(Call)">
      <formula>NOT(ISERROR(SEARCH("(Call)",M37)))</formula>
    </cfRule>
    <cfRule type="containsText" dxfId="4905" priority="3393" operator="containsText" text="9ab">
      <formula>NOT(ISERROR(SEARCH("9ab",M37)))</formula>
    </cfRule>
    <cfRule type="cellIs" dxfId="4904" priority="3394" stopIfTrue="1" operator="equal">
      <formula>"leave"</formula>
    </cfRule>
    <cfRule type="containsText" dxfId="4903" priority="3395" operator="containsText" text="ds">
      <formula>NOT(ISERROR(SEARCH("ds",M37)))</formula>
    </cfRule>
    <cfRule type="containsText" dxfId="4902" priority="3396" operator="containsText" text="subobs">
      <formula>NOT(ISERROR(SEARCH("subobs",M37)))</formula>
    </cfRule>
    <cfRule type="containsText" dxfId="4901" priority="3397" operator="containsText" text="Call">
      <formula>NOT(ISERROR(SEARCH("Call",M37)))</formula>
    </cfRule>
    <cfRule type="containsText" dxfId="4900" priority="3399" operator="containsText" text="9ab">
      <formula>NOT(ISERROR(SEARCH("9ab",M37)))</formula>
    </cfRule>
    <cfRule type="cellIs" dxfId="4899" priority="3400" stopIfTrue="1" operator="equal">
      <formula>"leave"</formula>
    </cfRule>
    <cfRule type="containsText" dxfId="4898" priority="3401" operator="containsText" text="ds">
      <formula>NOT(ISERROR(SEARCH("ds",M37)))</formula>
    </cfRule>
    <cfRule type="containsText" dxfId="4897" priority="3402" operator="containsText" text="subobs">
      <formula>NOT(ISERROR(SEARCH("subobs",M37)))</formula>
    </cfRule>
    <cfRule type="containsText" dxfId="4896" priority="3403" operator="containsText" text="Call">
      <formula>NOT(ISERROR(SEARCH("Call",M37)))</formula>
    </cfRule>
    <cfRule type="containsText" dxfId="4895" priority="3405" operator="containsText" text="9ab">
      <formula>NOT(ISERROR(SEARCH("9ab",M37)))</formula>
    </cfRule>
    <cfRule type="cellIs" dxfId="4894" priority="3406" stopIfTrue="1" operator="equal">
      <formula>"leave"</formula>
    </cfRule>
    <cfRule type="containsText" dxfId="4893" priority="3407" operator="containsText" text="ds">
      <formula>NOT(ISERROR(SEARCH("ds",M37)))</formula>
    </cfRule>
    <cfRule type="containsText" dxfId="4892" priority="3408" operator="containsText" text="subobs">
      <formula>NOT(ISERROR(SEARCH("subobs",M37)))</formula>
    </cfRule>
    <cfRule type="containsText" dxfId="4891" priority="3409" operator="containsText" text="Call">
      <formula>NOT(ISERROR(SEARCH("Call",M37)))</formula>
    </cfRule>
    <cfRule type="containsText" dxfId="4890" priority="3413" operator="containsText" text="9ab">
      <formula>NOT(ISERROR(SEARCH("9ab",M37)))</formula>
    </cfRule>
    <cfRule type="cellIs" dxfId="4889" priority="3414" stopIfTrue="1" operator="equal">
      <formula>"leave"</formula>
    </cfRule>
    <cfRule type="containsText" dxfId="4888" priority="3415" operator="containsText" text="ds">
      <formula>NOT(ISERROR(SEARCH("ds",M37)))</formula>
    </cfRule>
    <cfRule type="containsText" dxfId="4887" priority="3416" operator="containsText" text="subobs">
      <formula>NOT(ISERROR(SEARCH("subobs",M37)))</formula>
    </cfRule>
    <cfRule type="containsText" dxfId="4886" priority="3417" operator="containsText" text="Call">
      <formula>NOT(ISERROR(SEARCH("Call",M37)))</formula>
    </cfRule>
    <cfRule type="containsText" dxfId="4885" priority="3420" operator="containsText" text="9ab">
      <formula>NOT(ISERROR(SEARCH("9ab",M37)))</formula>
    </cfRule>
    <cfRule type="cellIs" dxfId="4884" priority="3421" stopIfTrue="1" operator="equal">
      <formula>"leave"</formula>
    </cfRule>
    <cfRule type="containsText" dxfId="4883" priority="3422" operator="containsText" text="ds">
      <formula>NOT(ISERROR(SEARCH("ds",M37)))</formula>
    </cfRule>
    <cfRule type="containsText" dxfId="4882" priority="3423" operator="containsText" text="subobs">
      <formula>NOT(ISERROR(SEARCH("subobs",M37)))</formula>
    </cfRule>
    <cfRule type="containsText" dxfId="4881" priority="3424" stopIfTrue="1" operator="containsText" text="(Call)">
      <formula>NOT(ISERROR(SEARCH("(Call)",M37)))</formula>
    </cfRule>
  </conditionalFormatting>
  <conditionalFormatting sqref="M36:N42">
    <cfRule type="containsText" dxfId="4880" priority="3411" operator="containsText" text="b1">
      <formula>NOT(ISERROR(SEARCH("b1",M36)))</formula>
    </cfRule>
    <cfRule type="cellIs" dxfId="4879" priority="3412" operator="equal">
      <formula>0</formula>
    </cfRule>
    <cfRule type="containsText" dxfId="4878" priority="3419" stopIfTrue="1" operator="containsText" text="go">
      <formula>NOT(ISERROR(SEARCH("go",M36)))</formula>
    </cfRule>
    <cfRule type="cellIs" dxfId="4877" priority="3426" operator="equal">
      <formula>"ps_cover"</formula>
    </cfRule>
    <cfRule type="containsText" dxfId="4876" priority="3427" stopIfTrue="1" operator="containsText" text="9ab">
      <formula>NOT(ISERROR(SEARCH("9ab",M36)))</formula>
    </cfRule>
    <cfRule type="containsText" dxfId="4875" priority="3428" stopIfTrue="1" operator="containsText" text="ds">
      <formula>NOT(ISERROR(SEARCH("ds",M36)))</formula>
    </cfRule>
    <cfRule type="containsText" dxfId="4874" priority="3429" stopIfTrue="1" operator="containsText" text="subobs">
      <formula>NOT(ISERROR(SEARCH("subobs",M36)))</formula>
    </cfRule>
  </conditionalFormatting>
  <conditionalFormatting sqref="M36:R42">
    <cfRule type="containsText" dxfId="4873" priority="3364" operator="containsText" text="(Call)">
      <formula>NOT(ISERROR(SEARCH("(Call)",M36)))</formula>
    </cfRule>
  </conditionalFormatting>
  <conditionalFormatting sqref="O36:R42">
    <cfRule type="containsText" dxfId="4872" priority="3365" operator="containsText" text="b1">
      <formula>NOT(ISERROR(SEARCH("b1",O36)))</formula>
    </cfRule>
    <cfRule type="cellIs" dxfId="4871" priority="3366" operator="equal">
      <formula>0</formula>
    </cfRule>
    <cfRule type="containsText" dxfId="4870" priority="3367" stopIfTrue="1" operator="containsText" text="go">
      <formula>NOT(ISERROR(SEARCH("go",O36)))</formula>
    </cfRule>
    <cfRule type="cellIs" dxfId="4869" priority="3368" operator="equal">
      <formula>"ps_cover"</formula>
    </cfRule>
    <cfRule type="containsText" dxfId="4868" priority="3369" stopIfTrue="1" operator="containsText" text="9ab">
      <formula>NOT(ISERROR(SEARCH("9ab",O36)))</formula>
    </cfRule>
    <cfRule type="containsText" dxfId="4867" priority="3370" stopIfTrue="1" operator="containsText" text="ds">
      <formula>NOT(ISERROR(SEARCH("ds",O36)))</formula>
    </cfRule>
    <cfRule type="containsText" dxfId="4866" priority="3371" stopIfTrue="1" operator="containsText" text="subobs">
      <formula>NOT(ISERROR(SEARCH("subobs",O36)))</formula>
    </cfRule>
  </conditionalFormatting>
  <conditionalFormatting sqref="T19:T25">
    <cfRule type="containsText" dxfId="4865" priority="4100" operator="containsText" text="9ab">
      <formula>NOT(ISERROR(SEARCH("9ab",T19)))</formula>
    </cfRule>
    <cfRule type="cellIs" dxfId="4864" priority="4101" stopIfTrue="1" operator="equal">
      <formula>"leave"</formula>
    </cfRule>
    <cfRule type="containsText" dxfId="4863" priority="4102" operator="containsText" text="ds">
      <formula>NOT(ISERROR(SEARCH("ds",T19)))</formula>
    </cfRule>
    <cfRule type="containsText" dxfId="4862" priority="4103" operator="containsText" text="subobs">
      <formula>NOT(ISERROR(SEARCH("subobs",T19)))</formula>
    </cfRule>
    <cfRule type="containsText" dxfId="4861" priority="4104" operator="containsText" text="Call">
      <formula>NOT(ISERROR(SEARCH("Call",T19)))</formula>
    </cfRule>
    <cfRule type="containsText" dxfId="4860" priority="4112" operator="containsText" text="9ab">
      <formula>NOT(ISERROR(SEARCH("9ab",T19)))</formula>
    </cfRule>
    <cfRule type="cellIs" dxfId="4859" priority="4113" stopIfTrue="1" operator="equal">
      <formula>"leave"</formula>
    </cfRule>
    <cfRule type="containsText" dxfId="4858" priority="4114" operator="containsText" text="ds">
      <formula>NOT(ISERROR(SEARCH("ds",T19)))</formula>
    </cfRule>
    <cfRule type="containsText" dxfId="4857" priority="4115" operator="containsText" text="subobs">
      <formula>NOT(ISERROR(SEARCH("subobs",T19)))</formula>
    </cfRule>
    <cfRule type="containsText" dxfId="4856" priority="4116" operator="containsText" text="Call">
      <formula>NOT(ISERROR(SEARCH("Call",T19)))</formula>
    </cfRule>
  </conditionalFormatting>
  <conditionalFormatting sqref="T19:T26">
    <cfRule type="containsText" dxfId="4855" priority="4106" operator="containsText" text="9ab">
      <formula>NOT(ISERROR(SEARCH("9ab",T19)))</formula>
    </cfRule>
    <cfRule type="cellIs" dxfId="4854" priority="4107" stopIfTrue="1" operator="equal">
      <formula>"leave"</formula>
    </cfRule>
    <cfRule type="containsText" dxfId="4853" priority="4108" operator="containsText" text="ds">
      <formula>NOT(ISERROR(SEARCH("ds",T19)))</formula>
    </cfRule>
    <cfRule type="containsText" dxfId="4852" priority="4109" operator="containsText" text="subobs">
      <formula>NOT(ISERROR(SEARCH("subobs",T19)))</formula>
    </cfRule>
    <cfRule type="containsText" dxfId="4851" priority="4110" stopIfTrue="1" operator="containsText" text="(Call)">
      <formula>NOT(ISERROR(SEARCH("(Call)",T19)))</formula>
    </cfRule>
    <cfRule type="containsText" dxfId="4850" priority="4118" operator="containsText" text="9ab">
      <formula>NOT(ISERROR(SEARCH("9ab",T19)))</formula>
    </cfRule>
    <cfRule type="cellIs" dxfId="4849" priority="4119" stopIfTrue="1" operator="equal">
      <formula>"leave"</formula>
    </cfRule>
    <cfRule type="containsText" dxfId="4848" priority="4120" operator="containsText" text="ds">
      <formula>NOT(ISERROR(SEARCH("ds",T19)))</formula>
    </cfRule>
    <cfRule type="containsText" dxfId="4847" priority="4121" operator="containsText" text="subobs">
      <formula>NOT(ISERROR(SEARCH("subobs",T19)))</formula>
    </cfRule>
    <cfRule type="containsText" dxfId="4846" priority="4122" operator="containsText" text="Call">
      <formula>NOT(ISERROR(SEARCH("Call",T19)))</formula>
    </cfRule>
    <cfRule type="containsText" dxfId="4845" priority="4206" operator="containsText" text="9ab">
      <formula>NOT(ISERROR(SEARCH("9ab",T19)))</formula>
    </cfRule>
    <cfRule type="cellIs" dxfId="4844" priority="4207" stopIfTrue="1" operator="equal">
      <formula>"leave"</formula>
    </cfRule>
    <cfRule type="containsText" dxfId="4843" priority="4208" operator="containsText" text="ds">
      <formula>NOT(ISERROR(SEARCH("ds",T19)))</formula>
    </cfRule>
    <cfRule type="containsText" dxfId="4842" priority="4209" operator="containsText" text="subobs">
      <formula>NOT(ISERROR(SEARCH("subobs",T19)))</formula>
    </cfRule>
    <cfRule type="containsText" dxfId="4841" priority="4210" operator="containsText" text="Call">
      <formula>NOT(ISERROR(SEARCH("Call",T19)))</formula>
    </cfRule>
  </conditionalFormatting>
  <conditionalFormatting sqref="T28:T33">
    <cfRule type="containsText" dxfId="4840" priority="3846" operator="containsText" text="9ab">
      <formula>NOT(ISERROR(SEARCH("9ab",T28)))</formula>
    </cfRule>
    <cfRule type="cellIs" dxfId="4839" priority="3847" stopIfTrue="1" operator="equal">
      <formula>"leave"</formula>
    </cfRule>
    <cfRule type="containsText" dxfId="4838" priority="3848" operator="containsText" text="ds">
      <formula>NOT(ISERROR(SEARCH("ds",T28)))</formula>
    </cfRule>
    <cfRule type="containsText" dxfId="4837" priority="3849" operator="containsText" text="subobs">
      <formula>NOT(ISERROR(SEARCH("subobs",T28)))</formula>
    </cfRule>
    <cfRule type="containsText" dxfId="4836" priority="3850" operator="containsText" text="Call">
      <formula>NOT(ISERROR(SEARCH("Call",T28)))</formula>
    </cfRule>
    <cfRule type="containsText" dxfId="4835" priority="3858" operator="containsText" text="9ab">
      <formula>NOT(ISERROR(SEARCH("9ab",T28)))</formula>
    </cfRule>
    <cfRule type="cellIs" dxfId="4834" priority="3859" stopIfTrue="1" operator="equal">
      <formula>"leave"</formula>
    </cfRule>
    <cfRule type="containsText" dxfId="4833" priority="3860" operator="containsText" text="ds">
      <formula>NOT(ISERROR(SEARCH("ds",T28)))</formula>
    </cfRule>
    <cfRule type="containsText" dxfId="4832" priority="3861" operator="containsText" text="subobs">
      <formula>NOT(ISERROR(SEARCH("subobs",T28)))</formula>
    </cfRule>
    <cfRule type="containsText" dxfId="4831" priority="3862" operator="containsText" text="Call">
      <formula>NOT(ISERROR(SEARCH("Call",T28)))</formula>
    </cfRule>
  </conditionalFormatting>
  <conditionalFormatting sqref="T28:T35">
    <cfRule type="containsText" dxfId="4830" priority="3852" operator="containsText" text="9ab">
      <formula>NOT(ISERROR(SEARCH("9ab",T28)))</formula>
    </cfRule>
    <cfRule type="cellIs" dxfId="4829" priority="3853" stopIfTrue="1" operator="equal">
      <formula>"leave"</formula>
    </cfRule>
    <cfRule type="containsText" dxfId="4828" priority="3854" operator="containsText" text="ds">
      <formula>NOT(ISERROR(SEARCH("ds",T28)))</formula>
    </cfRule>
    <cfRule type="containsText" dxfId="4827" priority="3855" operator="containsText" text="subobs">
      <formula>NOT(ISERROR(SEARCH("subobs",T28)))</formula>
    </cfRule>
    <cfRule type="containsText" dxfId="4826" priority="3856" stopIfTrue="1" operator="containsText" text="(Call)">
      <formula>NOT(ISERROR(SEARCH("(Call)",T28)))</formula>
    </cfRule>
    <cfRule type="containsText" dxfId="4825" priority="3864" operator="containsText" text="9ab">
      <formula>NOT(ISERROR(SEARCH("9ab",T28)))</formula>
    </cfRule>
    <cfRule type="cellIs" dxfId="4824" priority="3865" stopIfTrue="1" operator="equal">
      <formula>"leave"</formula>
    </cfRule>
    <cfRule type="containsText" dxfId="4823" priority="3866" operator="containsText" text="ds">
      <formula>NOT(ISERROR(SEARCH("ds",T28)))</formula>
    </cfRule>
    <cfRule type="containsText" dxfId="4822" priority="3867" operator="containsText" text="subobs">
      <formula>NOT(ISERROR(SEARCH("subobs",T28)))</formula>
    </cfRule>
    <cfRule type="containsText" dxfId="4821" priority="3868" operator="containsText" text="Call">
      <formula>NOT(ISERROR(SEARCH("Call",T28)))</formula>
    </cfRule>
    <cfRule type="containsText" dxfId="4820" priority="3949" operator="containsText" text="9ab">
      <formula>NOT(ISERROR(SEARCH("9ab",T28)))</formula>
    </cfRule>
    <cfRule type="cellIs" dxfId="4819" priority="3950" stopIfTrue="1" operator="equal">
      <formula>"leave"</formula>
    </cfRule>
    <cfRule type="containsText" dxfId="4818" priority="3951" operator="containsText" text="ds">
      <formula>NOT(ISERROR(SEARCH("ds",T28)))</formula>
    </cfRule>
    <cfRule type="containsText" dxfId="4817" priority="3952" operator="containsText" text="subobs">
      <formula>NOT(ISERROR(SEARCH("subobs",T28)))</formula>
    </cfRule>
    <cfRule type="containsText" dxfId="4816" priority="3953" operator="containsText" text="Call">
      <formula>NOT(ISERROR(SEARCH("Call",T28)))</formula>
    </cfRule>
  </conditionalFormatting>
  <conditionalFormatting sqref="T37:T42">
    <cfRule type="containsText" dxfId="4815" priority="3315" operator="containsText" text="9ab">
      <formula>NOT(ISERROR(SEARCH("9ab",T37)))</formula>
    </cfRule>
    <cfRule type="cellIs" dxfId="4814" priority="3316" stopIfTrue="1" operator="equal">
      <formula>"leave"</formula>
    </cfRule>
    <cfRule type="containsText" dxfId="4813" priority="3317" operator="containsText" text="ds">
      <formula>NOT(ISERROR(SEARCH("ds",T37)))</formula>
    </cfRule>
    <cfRule type="containsText" dxfId="4812" priority="3318" operator="containsText" text="subobs">
      <formula>NOT(ISERROR(SEARCH("subobs",T37)))</formula>
    </cfRule>
    <cfRule type="containsText" dxfId="4811" priority="3319" operator="containsText" text="Call">
      <formula>NOT(ISERROR(SEARCH("Call",T37)))</formula>
    </cfRule>
    <cfRule type="containsText" dxfId="4810" priority="3321" operator="containsText" text="9ab">
      <formula>NOT(ISERROR(SEARCH("9ab",T37)))</formula>
    </cfRule>
    <cfRule type="cellIs" dxfId="4809" priority="3322" stopIfTrue="1" operator="equal">
      <formula>"leave"</formula>
    </cfRule>
    <cfRule type="containsText" dxfId="4808" priority="3323" operator="containsText" text="ds">
      <formula>NOT(ISERROR(SEARCH("ds",T37)))</formula>
    </cfRule>
    <cfRule type="containsText" dxfId="4807" priority="3324" operator="containsText" text="subobs">
      <formula>NOT(ISERROR(SEARCH("subobs",T37)))</formula>
    </cfRule>
    <cfRule type="containsText" dxfId="4806" priority="3325" stopIfTrue="1" operator="containsText" text="(Call)">
      <formula>NOT(ISERROR(SEARCH("(Call)",T37)))</formula>
    </cfRule>
    <cfRule type="containsText" dxfId="4805" priority="3327" operator="containsText" text="9ab">
      <formula>NOT(ISERROR(SEARCH("9ab",T37)))</formula>
    </cfRule>
    <cfRule type="cellIs" dxfId="4804" priority="3328" stopIfTrue="1" operator="equal">
      <formula>"leave"</formula>
    </cfRule>
    <cfRule type="containsText" dxfId="4803" priority="3329" operator="containsText" text="ds">
      <formula>NOT(ISERROR(SEARCH("ds",T37)))</formula>
    </cfRule>
    <cfRule type="containsText" dxfId="4802" priority="3330" operator="containsText" text="subobs">
      <formula>NOT(ISERROR(SEARCH("subobs",T37)))</formula>
    </cfRule>
    <cfRule type="containsText" dxfId="4801" priority="3331" operator="containsText" text="Call">
      <formula>NOT(ISERROR(SEARCH("Call",T37)))</formula>
    </cfRule>
    <cfRule type="containsText" dxfId="4800" priority="3333" operator="containsText" text="9ab">
      <formula>NOT(ISERROR(SEARCH("9ab",T37)))</formula>
    </cfRule>
    <cfRule type="cellIs" dxfId="4799" priority="3334" stopIfTrue="1" operator="equal">
      <formula>"leave"</formula>
    </cfRule>
    <cfRule type="containsText" dxfId="4798" priority="3335" operator="containsText" text="ds">
      <formula>NOT(ISERROR(SEARCH("ds",T37)))</formula>
    </cfRule>
    <cfRule type="containsText" dxfId="4797" priority="3336" operator="containsText" text="subobs">
      <formula>NOT(ISERROR(SEARCH("subobs",T37)))</formula>
    </cfRule>
    <cfRule type="containsText" dxfId="4796" priority="3337" operator="containsText" text="Call">
      <formula>NOT(ISERROR(SEARCH("Call",T37)))</formula>
    </cfRule>
    <cfRule type="containsText" dxfId="4795" priority="3339" operator="containsText" text="9ab">
      <formula>NOT(ISERROR(SEARCH("9ab",T37)))</formula>
    </cfRule>
    <cfRule type="cellIs" dxfId="4794" priority="3340" stopIfTrue="1" operator="equal">
      <formula>"leave"</formula>
    </cfRule>
    <cfRule type="containsText" dxfId="4793" priority="3341" operator="containsText" text="ds">
      <formula>NOT(ISERROR(SEARCH("ds",T37)))</formula>
    </cfRule>
    <cfRule type="containsText" dxfId="4792" priority="3342" operator="containsText" text="subobs">
      <formula>NOT(ISERROR(SEARCH("subobs",T37)))</formula>
    </cfRule>
    <cfRule type="containsText" dxfId="4791" priority="3343" operator="containsText" text="Call">
      <formula>NOT(ISERROR(SEARCH("Call",T37)))</formula>
    </cfRule>
    <cfRule type="containsText" dxfId="4790" priority="3347" operator="containsText" text="9ab">
      <formula>NOT(ISERROR(SEARCH("9ab",T37)))</formula>
    </cfRule>
    <cfRule type="cellIs" dxfId="4789" priority="3348" stopIfTrue="1" operator="equal">
      <formula>"leave"</formula>
    </cfRule>
    <cfRule type="containsText" dxfId="4788" priority="3349" operator="containsText" text="ds">
      <formula>NOT(ISERROR(SEARCH("ds",T37)))</formula>
    </cfRule>
    <cfRule type="containsText" dxfId="4787" priority="3350" operator="containsText" text="subobs">
      <formula>NOT(ISERROR(SEARCH("subobs",T37)))</formula>
    </cfRule>
    <cfRule type="containsText" dxfId="4786" priority="3351" operator="containsText" text="Call">
      <formula>NOT(ISERROR(SEARCH("Call",T37)))</formula>
    </cfRule>
    <cfRule type="containsText" dxfId="4785" priority="3354" operator="containsText" text="9ab">
      <formula>NOT(ISERROR(SEARCH("9ab",T37)))</formula>
    </cfRule>
    <cfRule type="cellIs" dxfId="4784" priority="3355" stopIfTrue="1" operator="equal">
      <formula>"leave"</formula>
    </cfRule>
    <cfRule type="containsText" dxfId="4783" priority="3356" operator="containsText" text="ds">
      <formula>NOT(ISERROR(SEARCH("ds",T37)))</formula>
    </cfRule>
    <cfRule type="containsText" dxfId="4782" priority="3357" operator="containsText" text="subobs">
      <formula>NOT(ISERROR(SEARCH("subobs",T37)))</formula>
    </cfRule>
    <cfRule type="containsText" dxfId="4781" priority="3358" stopIfTrue="1" operator="containsText" text="(Call)">
      <formula>NOT(ISERROR(SEARCH("(Call)",T37)))</formula>
    </cfRule>
  </conditionalFormatting>
  <conditionalFormatting sqref="T36:U42">
    <cfRule type="containsText" dxfId="4780" priority="3345" operator="containsText" text="b1">
      <formula>NOT(ISERROR(SEARCH("b1",T36)))</formula>
    </cfRule>
    <cfRule type="cellIs" dxfId="4779" priority="3346" operator="equal">
      <formula>0</formula>
    </cfRule>
    <cfRule type="containsText" dxfId="4778" priority="3353" stopIfTrue="1" operator="containsText" text="go">
      <formula>NOT(ISERROR(SEARCH("go",T36)))</formula>
    </cfRule>
    <cfRule type="cellIs" dxfId="4777" priority="3360" operator="equal">
      <formula>"ps_cover"</formula>
    </cfRule>
    <cfRule type="containsText" dxfId="4776" priority="3361" stopIfTrue="1" operator="containsText" text="9ab">
      <formula>NOT(ISERROR(SEARCH("9ab",T36)))</formula>
    </cfRule>
    <cfRule type="containsText" dxfId="4775" priority="3362" stopIfTrue="1" operator="containsText" text="ds">
      <formula>NOT(ISERROR(SEARCH("ds",T36)))</formula>
    </cfRule>
    <cfRule type="containsText" dxfId="4774" priority="3363" stopIfTrue="1" operator="containsText" text="subobs">
      <formula>NOT(ISERROR(SEARCH("subobs",T36)))</formula>
    </cfRule>
  </conditionalFormatting>
  <conditionalFormatting sqref="T36:Y42">
    <cfRule type="containsText" dxfId="4773" priority="3298" operator="containsText" text="(Call)">
      <formula>NOT(ISERROR(SEARCH("(Call)",T36)))</formula>
    </cfRule>
  </conditionalFormatting>
  <conditionalFormatting sqref="V36:Y42">
    <cfRule type="containsText" dxfId="4772" priority="3299" operator="containsText" text="b1">
      <formula>NOT(ISERROR(SEARCH("b1",V36)))</formula>
    </cfRule>
    <cfRule type="cellIs" dxfId="4771" priority="3300" operator="equal">
      <formula>0</formula>
    </cfRule>
    <cfRule type="containsText" dxfId="4770" priority="3301" stopIfTrue="1" operator="containsText" text="go">
      <formula>NOT(ISERROR(SEARCH("go",V36)))</formula>
    </cfRule>
    <cfRule type="cellIs" dxfId="4769" priority="3302" operator="equal">
      <formula>"ps_cover"</formula>
    </cfRule>
    <cfRule type="containsText" dxfId="4768" priority="3303" stopIfTrue="1" operator="containsText" text="9ab">
      <formula>NOT(ISERROR(SEARCH("9ab",V36)))</formula>
    </cfRule>
    <cfRule type="containsText" dxfId="4767" priority="3304" stopIfTrue="1" operator="containsText" text="ds">
      <formula>NOT(ISERROR(SEARCH("ds",V36)))</formula>
    </cfRule>
    <cfRule type="containsText" dxfId="4766" priority="3305" stopIfTrue="1" operator="containsText" text="subobs">
      <formula>NOT(ISERROR(SEARCH("subobs",V36)))</formula>
    </cfRule>
  </conditionalFormatting>
  <conditionalFormatting sqref="Z19:AF26">
    <cfRule type="cellIs" dxfId="4765" priority="4093" operator="equal">
      <formula>0</formula>
    </cfRule>
  </conditionalFormatting>
  <conditionalFormatting sqref="Z28:AF35">
    <cfRule type="cellIs" dxfId="4764" priority="3839" operator="equal">
      <formula>0</formula>
    </cfRule>
  </conditionalFormatting>
  <conditionalFormatting sqref="AA19:AA25">
    <cfRule type="containsText" dxfId="4763" priority="4075" operator="containsText" text="9ab">
      <formula>NOT(ISERROR(SEARCH("9ab",AA19)))</formula>
    </cfRule>
    <cfRule type="cellIs" dxfId="4762" priority="4076" stopIfTrue="1" operator="equal">
      <formula>"leave"</formula>
    </cfRule>
    <cfRule type="containsText" dxfId="4761" priority="4077" operator="containsText" text="ds">
      <formula>NOT(ISERROR(SEARCH("ds",AA19)))</formula>
    </cfRule>
    <cfRule type="containsText" dxfId="4760" priority="4078" operator="containsText" text="subobs">
      <formula>NOT(ISERROR(SEARCH("subobs",AA19)))</formula>
    </cfRule>
    <cfRule type="containsText" dxfId="4759" priority="4079" operator="containsText" text="Call">
      <formula>NOT(ISERROR(SEARCH("Call",AA19)))</formula>
    </cfRule>
    <cfRule type="containsText" dxfId="4758" priority="4087" operator="containsText" text="9ab">
      <formula>NOT(ISERROR(SEARCH("9ab",AA19)))</formula>
    </cfRule>
    <cfRule type="cellIs" dxfId="4757" priority="4088" stopIfTrue="1" operator="equal">
      <formula>"leave"</formula>
    </cfRule>
    <cfRule type="containsText" dxfId="4756" priority="4089" operator="containsText" text="ds">
      <formula>NOT(ISERROR(SEARCH("ds",AA19)))</formula>
    </cfRule>
    <cfRule type="containsText" dxfId="4755" priority="4090" operator="containsText" text="subobs">
      <formula>NOT(ISERROR(SEARCH("subobs",AA19)))</formula>
    </cfRule>
    <cfRule type="containsText" dxfId="4754" priority="4091" operator="containsText" text="Call">
      <formula>NOT(ISERROR(SEARCH("Call",AA19)))</formula>
    </cfRule>
  </conditionalFormatting>
  <conditionalFormatting sqref="AA19:AA26">
    <cfRule type="containsText" dxfId="4753" priority="4081" operator="containsText" text="9ab">
      <formula>NOT(ISERROR(SEARCH("9ab",AA19)))</formula>
    </cfRule>
    <cfRule type="cellIs" dxfId="4752" priority="4082" stopIfTrue="1" operator="equal">
      <formula>"leave"</formula>
    </cfRule>
    <cfRule type="containsText" dxfId="4751" priority="4083" operator="containsText" text="ds">
      <formula>NOT(ISERROR(SEARCH("ds",AA19)))</formula>
    </cfRule>
    <cfRule type="containsText" dxfId="4750" priority="4084" operator="containsText" text="subobs">
      <formula>NOT(ISERROR(SEARCH("subobs",AA19)))</formula>
    </cfRule>
    <cfRule type="containsText" dxfId="4749" priority="4085" stopIfTrue="1" operator="containsText" text="(Call)">
      <formula>NOT(ISERROR(SEARCH("(Call)",AA19)))</formula>
    </cfRule>
    <cfRule type="containsText" dxfId="4748" priority="4094" operator="containsText" text="9ab">
      <formula>NOT(ISERROR(SEARCH("9ab",AA19)))</formula>
    </cfRule>
    <cfRule type="cellIs" dxfId="4747" priority="4095" stopIfTrue="1" operator="equal">
      <formula>"leave"</formula>
    </cfRule>
    <cfRule type="containsText" dxfId="4746" priority="4096" operator="containsText" text="ds">
      <formula>NOT(ISERROR(SEARCH("ds",AA19)))</formula>
    </cfRule>
    <cfRule type="containsText" dxfId="4745" priority="4097" operator="containsText" text="subobs">
      <formula>NOT(ISERROR(SEARCH("subobs",AA19)))</formula>
    </cfRule>
    <cfRule type="containsText" dxfId="4744" priority="4098" operator="containsText" text="Call">
      <formula>NOT(ISERROR(SEARCH("Call",AA19)))</formula>
    </cfRule>
  </conditionalFormatting>
  <conditionalFormatting sqref="AA28:AA33">
    <cfRule type="containsText" dxfId="4743" priority="3821" operator="containsText" text="9ab">
      <formula>NOT(ISERROR(SEARCH("9ab",AA28)))</formula>
    </cfRule>
    <cfRule type="cellIs" dxfId="4742" priority="3822" stopIfTrue="1" operator="equal">
      <formula>"leave"</formula>
    </cfRule>
    <cfRule type="containsText" dxfId="4741" priority="3823" operator="containsText" text="ds">
      <formula>NOT(ISERROR(SEARCH("ds",AA28)))</formula>
    </cfRule>
    <cfRule type="containsText" dxfId="4740" priority="3824" operator="containsText" text="subobs">
      <formula>NOT(ISERROR(SEARCH("subobs",AA28)))</formula>
    </cfRule>
    <cfRule type="containsText" dxfId="4739" priority="3825" operator="containsText" text="Call">
      <formula>NOT(ISERROR(SEARCH("Call",AA28)))</formula>
    </cfRule>
    <cfRule type="containsText" dxfId="4738" priority="3833" operator="containsText" text="9ab">
      <formula>NOT(ISERROR(SEARCH("9ab",AA28)))</formula>
    </cfRule>
    <cfRule type="cellIs" dxfId="4737" priority="3834" stopIfTrue="1" operator="equal">
      <formula>"leave"</formula>
    </cfRule>
    <cfRule type="containsText" dxfId="4736" priority="3835" operator="containsText" text="ds">
      <formula>NOT(ISERROR(SEARCH("ds",AA28)))</formula>
    </cfRule>
    <cfRule type="containsText" dxfId="4735" priority="3836" operator="containsText" text="subobs">
      <formula>NOT(ISERROR(SEARCH("subobs",AA28)))</formula>
    </cfRule>
    <cfRule type="containsText" dxfId="4734" priority="3837" operator="containsText" text="Call">
      <formula>NOT(ISERROR(SEARCH("Call",AA28)))</formula>
    </cfRule>
  </conditionalFormatting>
  <conditionalFormatting sqref="AA28:AA35">
    <cfRule type="containsText" dxfId="4733" priority="3827" operator="containsText" text="9ab">
      <formula>NOT(ISERROR(SEARCH("9ab",AA28)))</formula>
    </cfRule>
    <cfRule type="cellIs" dxfId="4732" priority="3828" stopIfTrue="1" operator="equal">
      <formula>"leave"</formula>
    </cfRule>
    <cfRule type="containsText" dxfId="4731" priority="3829" operator="containsText" text="ds">
      <formula>NOT(ISERROR(SEARCH("ds",AA28)))</formula>
    </cfRule>
    <cfRule type="containsText" dxfId="4730" priority="3830" operator="containsText" text="subobs">
      <formula>NOT(ISERROR(SEARCH("subobs",AA28)))</formula>
    </cfRule>
    <cfRule type="containsText" dxfId="4729" priority="3831" stopIfTrue="1" operator="containsText" text="(Call)">
      <formula>NOT(ISERROR(SEARCH("(Call)",AA28)))</formula>
    </cfRule>
    <cfRule type="containsText" dxfId="4728" priority="3840" operator="containsText" text="9ab">
      <formula>NOT(ISERROR(SEARCH("9ab",AA28)))</formula>
    </cfRule>
    <cfRule type="cellIs" dxfId="4727" priority="3841" stopIfTrue="1" operator="equal">
      <formula>"leave"</formula>
    </cfRule>
    <cfRule type="containsText" dxfId="4726" priority="3842" operator="containsText" text="ds">
      <formula>NOT(ISERROR(SEARCH("ds",AA28)))</formula>
    </cfRule>
    <cfRule type="containsText" dxfId="4725" priority="3843" operator="containsText" text="subobs">
      <formula>NOT(ISERROR(SEARCH("subobs",AA28)))</formula>
    </cfRule>
    <cfRule type="containsText" dxfId="4724" priority="3844" operator="containsText" text="Call">
      <formula>NOT(ISERROR(SEARCH("Call",AA28)))</formula>
    </cfRule>
  </conditionalFormatting>
  <conditionalFormatting sqref="AA37:AA42">
    <cfRule type="containsText" dxfId="4723" priority="3249" operator="containsText" text="9ab">
      <formula>NOT(ISERROR(SEARCH("9ab",AA37)))</formula>
    </cfRule>
    <cfRule type="cellIs" dxfId="4722" priority="3250" stopIfTrue="1" operator="equal">
      <formula>"leave"</formula>
    </cfRule>
    <cfRule type="containsText" dxfId="4721" priority="3251" operator="containsText" text="ds">
      <formula>NOT(ISERROR(SEARCH("ds",AA37)))</formula>
    </cfRule>
    <cfRule type="containsText" dxfId="4720" priority="3252" operator="containsText" text="subobs">
      <formula>NOT(ISERROR(SEARCH("subobs",AA37)))</formula>
    </cfRule>
    <cfRule type="containsText" dxfId="4719" priority="3253" operator="containsText" text="Call">
      <formula>NOT(ISERROR(SEARCH("Call",AA37)))</formula>
    </cfRule>
    <cfRule type="containsText" dxfId="4718" priority="3255" operator="containsText" text="9ab">
      <formula>NOT(ISERROR(SEARCH("9ab",AA37)))</formula>
    </cfRule>
    <cfRule type="cellIs" dxfId="4717" priority="3256" stopIfTrue="1" operator="equal">
      <formula>"leave"</formula>
    </cfRule>
    <cfRule type="containsText" dxfId="4716" priority="3257" operator="containsText" text="ds">
      <formula>NOT(ISERROR(SEARCH("ds",AA37)))</formula>
    </cfRule>
    <cfRule type="containsText" dxfId="4715" priority="3258" operator="containsText" text="subobs">
      <formula>NOT(ISERROR(SEARCH("subobs",AA37)))</formula>
    </cfRule>
    <cfRule type="containsText" dxfId="4714" priority="3259" stopIfTrue="1" operator="containsText" text="(Call)">
      <formula>NOT(ISERROR(SEARCH("(Call)",AA37)))</formula>
    </cfRule>
    <cfRule type="containsText" dxfId="4713" priority="3261" operator="containsText" text="9ab">
      <formula>NOT(ISERROR(SEARCH("9ab",AA37)))</formula>
    </cfRule>
    <cfRule type="cellIs" dxfId="4712" priority="3262" stopIfTrue="1" operator="equal">
      <formula>"leave"</formula>
    </cfRule>
    <cfRule type="containsText" dxfId="4711" priority="3263" operator="containsText" text="ds">
      <formula>NOT(ISERROR(SEARCH("ds",AA37)))</formula>
    </cfRule>
    <cfRule type="containsText" dxfId="4710" priority="3264" operator="containsText" text="subobs">
      <formula>NOT(ISERROR(SEARCH("subobs",AA37)))</formula>
    </cfRule>
    <cfRule type="containsText" dxfId="4709" priority="3265" operator="containsText" text="Call">
      <formula>NOT(ISERROR(SEARCH("Call",AA37)))</formula>
    </cfRule>
    <cfRule type="containsText" dxfId="4708" priority="3267" operator="containsText" text="9ab">
      <formula>NOT(ISERROR(SEARCH("9ab",AA37)))</formula>
    </cfRule>
    <cfRule type="cellIs" dxfId="4707" priority="3268" stopIfTrue="1" operator="equal">
      <formula>"leave"</formula>
    </cfRule>
    <cfRule type="containsText" dxfId="4706" priority="3269" operator="containsText" text="ds">
      <formula>NOT(ISERROR(SEARCH("ds",AA37)))</formula>
    </cfRule>
    <cfRule type="containsText" dxfId="4705" priority="3270" operator="containsText" text="subobs">
      <formula>NOT(ISERROR(SEARCH("subobs",AA37)))</formula>
    </cfRule>
    <cfRule type="containsText" dxfId="4704" priority="3271" operator="containsText" text="Call">
      <formula>NOT(ISERROR(SEARCH("Call",AA37)))</formula>
    </cfRule>
    <cfRule type="containsText" dxfId="4703" priority="3273" operator="containsText" text="9ab">
      <formula>NOT(ISERROR(SEARCH("9ab",AA37)))</formula>
    </cfRule>
    <cfRule type="cellIs" dxfId="4702" priority="3274" stopIfTrue="1" operator="equal">
      <formula>"leave"</formula>
    </cfRule>
    <cfRule type="containsText" dxfId="4701" priority="3275" operator="containsText" text="ds">
      <formula>NOT(ISERROR(SEARCH("ds",AA37)))</formula>
    </cfRule>
    <cfRule type="containsText" dxfId="4700" priority="3276" operator="containsText" text="subobs">
      <formula>NOT(ISERROR(SEARCH("subobs",AA37)))</formula>
    </cfRule>
    <cfRule type="containsText" dxfId="4699" priority="3277" operator="containsText" text="Call">
      <formula>NOT(ISERROR(SEARCH("Call",AA37)))</formula>
    </cfRule>
    <cfRule type="containsText" dxfId="4698" priority="3281" operator="containsText" text="9ab">
      <formula>NOT(ISERROR(SEARCH("9ab",AA37)))</formula>
    </cfRule>
    <cfRule type="cellIs" dxfId="4697" priority="3282" stopIfTrue="1" operator="equal">
      <formula>"leave"</formula>
    </cfRule>
    <cfRule type="containsText" dxfId="4696" priority="3283" operator="containsText" text="ds">
      <formula>NOT(ISERROR(SEARCH("ds",AA37)))</formula>
    </cfRule>
    <cfRule type="containsText" dxfId="4695" priority="3284" operator="containsText" text="subobs">
      <formula>NOT(ISERROR(SEARCH("subobs",AA37)))</formula>
    </cfRule>
    <cfRule type="containsText" dxfId="4694" priority="3285" operator="containsText" text="Call">
      <formula>NOT(ISERROR(SEARCH("Call",AA37)))</formula>
    </cfRule>
    <cfRule type="containsText" dxfId="4693" priority="3288" operator="containsText" text="9ab">
      <formula>NOT(ISERROR(SEARCH("9ab",AA37)))</formula>
    </cfRule>
    <cfRule type="cellIs" dxfId="4692" priority="3289" stopIfTrue="1" operator="equal">
      <formula>"leave"</formula>
    </cfRule>
    <cfRule type="containsText" dxfId="4691" priority="3290" operator="containsText" text="ds">
      <formula>NOT(ISERROR(SEARCH("ds",AA37)))</formula>
    </cfRule>
    <cfRule type="containsText" dxfId="4690" priority="3291" operator="containsText" text="subobs">
      <formula>NOT(ISERROR(SEARCH("subobs",AA37)))</formula>
    </cfRule>
    <cfRule type="containsText" dxfId="4689" priority="3292" stopIfTrue="1" operator="containsText" text="(Call)">
      <formula>NOT(ISERROR(SEARCH("(Call)",AA37)))</formula>
    </cfRule>
  </conditionalFormatting>
  <conditionalFormatting sqref="AA36:AB42">
    <cfRule type="containsText" dxfId="4688" priority="3279" operator="containsText" text="b1">
      <formula>NOT(ISERROR(SEARCH("b1",AA36)))</formula>
    </cfRule>
    <cfRule type="cellIs" dxfId="4687" priority="3280" operator="equal">
      <formula>0</formula>
    </cfRule>
    <cfRule type="containsText" dxfId="4686" priority="3287" stopIfTrue="1" operator="containsText" text="go">
      <formula>NOT(ISERROR(SEARCH("go",AA36)))</formula>
    </cfRule>
    <cfRule type="cellIs" dxfId="4685" priority="3294" operator="equal">
      <formula>"ps_cover"</formula>
    </cfRule>
    <cfRule type="containsText" dxfId="4684" priority="3295" stopIfTrue="1" operator="containsText" text="9ab">
      <formula>NOT(ISERROR(SEARCH("9ab",AA36)))</formula>
    </cfRule>
    <cfRule type="containsText" dxfId="4683" priority="3296" stopIfTrue="1" operator="containsText" text="ds">
      <formula>NOT(ISERROR(SEARCH("ds",AA36)))</formula>
    </cfRule>
    <cfRule type="containsText" dxfId="4682" priority="3297" stopIfTrue="1" operator="containsText" text="subobs">
      <formula>NOT(ISERROR(SEARCH("subobs",AA36)))</formula>
    </cfRule>
  </conditionalFormatting>
  <conditionalFormatting sqref="AA36:AF42">
    <cfRule type="containsText" dxfId="4681" priority="3232" operator="containsText" text="(Call)">
      <formula>NOT(ISERROR(SEARCH("(Call)",AA36)))</formula>
    </cfRule>
  </conditionalFormatting>
  <conditionalFormatting sqref="AB19:AF25">
    <cfRule type="cellIs" dxfId="4680" priority="3720" operator="equal">
      <formula>0</formula>
    </cfRule>
  </conditionalFormatting>
  <conditionalFormatting sqref="AC36:AF42">
    <cfRule type="containsText" dxfId="4679" priority="3233" operator="containsText" text="b1">
      <formula>NOT(ISERROR(SEARCH("b1",AC36)))</formula>
    </cfRule>
    <cfRule type="cellIs" dxfId="4678" priority="3234" operator="equal">
      <formula>0</formula>
    </cfRule>
    <cfRule type="containsText" dxfId="4677" priority="3235" stopIfTrue="1" operator="containsText" text="go">
      <formula>NOT(ISERROR(SEARCH("go",AC36)))</formula>
    </cfRule>
    <cfRule type="cellIs" dxfId="4676" priority="3236" operator="equal">
      <formula>"ps_cover"</formula>
    </cfRule>
    <cfRule type="containsText" dxfId="4675" priority="3237" stopIfTrue="1" operator="containsText" text="9ab">
      <formula>NOT(ISERROR(SEARCH("9ab",AC36)))</formula>
    </cfRule>
    <cfRule type="containsText" dxfId="4674" priority="3238" stopIfTrue="1" operator="containsText" text="ds">
      <formula>NOT(ISERROR(SEARCH("ds",AC36)))</formula>
    </cfRule>
    <cfRule type="containsText" dxfId="4673" priority="3239" stopIfTrue="1" operator="containsText" text="subobs">
      <formula>NOT(ISERROR(SEARCH("subobs",AC36)))</formula>
    </cfRule>
  </conditionalFormatting>
  <conditionalFormatting sqref="AG19:AM26">
    <cfRule type="cellIs" dxfId="4672" priority="4068" operator="equal">
      <formula>0</formula>
    </cfRule>
  </conditionalFormatting>
  <conditionalFormatting sqref="AG28:AM35">
    <cfRule type="cellIs" dxfId="4671" priority="3814" operator="equal">
      <formula>0</formula>
    </cfRule>
  </conditionalFormatting>
  <conditionalFormatting sqref="AH19:AH25">
    <cfRule type="containsText" dxfId="4670" priority="4050" operator="containsText" text="9ab">
      <formula>NOT(ISERROR(SEARCH("9ab",AH19)))</formula>
    </cfRule>
    <cfRule type="cellIs" dxfId="4669" priority="4051" stopIfTrue="1" operator="equal">
      <formula>"leave"</formula>
    </cfRule>
    <cfRule type="containsText" dxfId="4668" priority="4052" operator="containsText" text="ds">
      <formula>NOT(ISERROR(SEARCH("ds",AH19)))</formula>
    </cfRule>
    <cfRule type="containsText" dxfId="4667" priority="4053" operator="containsText" text="subobs">
      <formula>NOT(ISERROR(SEARCH("subobs",AH19)))</formula>
    </cfRule>
    <cfRule type="containsText" dxfId="4666" priority="4054" operator="containsText" text="Call">
      <formula>NOT(ISERROR(SEARCH("Call",AH19)))</formula>
    </cfRule>
    <cfRule type="containsText" dxfId="4665" priority="4062" operator="containsText" text="9ab">
      <formula>NOT(ISERROR(SEARCH("9ab",AH19)))</formula>
    </cfRule>
    <cfRule type="cellIs" dxfId="4664" priority="4063" stopIfTrue="1" operator="equal">
      <formula>"leave"</formula>
    </cfRule>
    <cfRule type="containsText" dxfId="4663" priority="4064" operator="containsText" text="ds">
      <formula>NOT(ISERROR(SEARCH("ds",AH19)))</formula>
    </cfRule>
    <cfRule type="containsText" dxfId="4662" priority="4065" operator="containsText" text="subobs">
      <formula>NOT(ISERROR(SEARCH("subobs",AH19)))</formula>
    </cfRule>
    <cfRule type="containsText" dxfId="4661" priority="4066" operator="containsText" text="Call">
      <formula>NOT(ISERROR(SEARCH("Call",AH19)))</formula>
    </cfRule>
  </conditionalFormatting>
  <conditionalFormatting sqref="AH19:AH26">
    <cfRule type="containsText" dxfId="4660" priority="4056" operator="containsText" text="9ab">
      <formula>NOT(ISERROR(SEARCH("9ab",AH19)))</formula>
    </cfRule>
    <cfRule type="cellIs" dxfId="4659" priority="4057" stopIfTrue="1" operator="equal">
      <formula>"leave"</formula>
    </cfRule>
    <cfRule type="containsText" dxfId="4658" priority="4058" operator="containsText" text="ds">
      <formula>NOT(ISERROR(SEARCH("ds",AH19)))</formula>
    </cfRule>
    <cfRule type="containsText" dxfId="4657" priority="4059" operator="containsText" text="subobs">
      <formula>NOT(ISERROR(SEARCH("subobs",AH19)))</formula>
    </cfRule>
    <cfRule type="containsText" dxfId="4656" priority="4060" stopIfTrue="1" operator="containsText" text="(Call)">
      <formula>NOT(ISERROR(SEARCH("(Call)",AH19)))</formula>
    </cfRule>
    <cfRule type="containsText" dxfId="4655" priority="4069" operator="containsText" text="9ab">
      <formula>NOT(ISERROR(SEARCH("9ab",AH19)))</formula>
    </cfRule>
    <cfRule type="cellIs" dxfId="4654" priority="4070" stopIfTrue="1" operator="equal">
      <formula>"leave"</formula>
    </cfRule>
    <cfRule type="containsText" dxfId="4653" priority="4071" operator="containsText" text="ds">
      <formula>NOT(ISERROR(SEARCH("ds",AH19)))</formula>
    </cfRule>
    <cfRule type="containsText" dxfId="4652" priority="4072" operator="containsText" text="subobs">
      <formula>NOT(ISERROR(SEARCH("subobs",AH19)))</formula>
    </cfRule>
    <cfRule type="containsText" dxfId="4651" priority="4073" operator="containsText" text="Call">
      <formula>NOT(ISERROR(SEARCH("Call",AH19)))</formula>
    </cfRule>
  </conditionalFormatting>
  <conditionalFormatting sqref="AH28:AH33">
    <cfRule type="containsText" dxfId="4650" priority="3796" operator="containsText" text="9ab">
      <formula>NOT(ISERROR(SEARCH("9ab",AH28)))</formula>
    </cfRule>
    <cfRule type="cellIs" dxfId="4649" priority="3797" stopIfTrue="1" operator="equal">
      <formula>"leave"</formula>
    </cfRule>
    <cfRule type="containsText" dxfId="4648" priority="3798" operator="containsText" text="ds">
      <formula>NOT(ISERROR(SEARCH("ds",AH28)))</formula>
    </cfRule>
    <cfRule type="containsText" dxfId="4647" priority="3799" operator="containsText" text="subobs">
      <formula>NOT(ISERROR(SEARCH("subobs",AH28)))</formula>
    </cfRule>
    <cfRule type="containsText" dxfId="4646" priority="3800" operator="containsText" text="Call">
      <formula>NOT(ISERROR(SEARCH("Call",AH28)))</formula>
    </cfRule>
    <cfRule type="containsText" dxfId="4645" priority="3808" operator="containsText" text="9ab">
      <formula>NOT(ISERROR(SEARCH("9ab",AH28)))</formula>
    </cfRule>
    <cfRule type="cellIs" dxfId="4644" priority="3809" stopIfTrue="1" operator="equal">
      <formula>"leave"</formula>
    </cfRule>
    <cfRule type="containsText" dxfId="4643" priority="3810" operator="containsText" text="ds">
      <formula>NOT(ISERROR(SEARCH("ds",AH28)))</formula>
    </cfRule>
    <cfRule type="containsText" dxfId="4642" priority="3811" operator="containsText" text="subobs">
      <formula>NOT(ISERROR(SEARCH("subobs",AH28)))</formula>
    </cfRule>
    <cfRule type="containsText" dxfId="4641" priority="3812" operator="containsText" text="Call">
      <formula>NOT(ISERROR(SEARCH("Call",AH28)))</formula>
    </cfRule>
  </conditionalFormatting>
  <conditionalFormatting sqref="AH28:AH35">
    <cfRule type="containsText" dxfId="4640" priority="3802" operator="containsText" text="9ab">
      <formula>NOT(ISERROR(SEARCH("9ab",AH28)))</formula>
    </cfRule>
    <cfRule type="cellIs" dxfId="4639" priority="3803" stopIfTrue="1" operator="equal">
      <formula>"leave"</formula>
    </cfRule>
    <cfRule type="containsText" dxfId="4638" priority="3804" operator="containsText" text="ds">
      <formula>NOT(ISERROR(SEARCH("ds",AH28)))</formula>
    </cfRule>
    <cfRule type="containsText" dxfId="4637" priority="3805" operator="containsText" text="subobs">
      <formula>NOT(ISERROR(SEARCH("subobs",AH28)))</formula>
    </cfRule>
    <cfRule type="containsText" dxfId="4636" priority="3806" stopIfTrue="1" operator="containsText" text="(Call)">
      <formula>NOT(ISERROR(SEARCH("(Call)",AH28)))</formula>
    </cfRule>
    <cfRule type="containsText" dxfId="4635" priority="3815" operator="containsText" text="9ab">
      <formula>NOT(ISERROR(SEARCH("9ab",AH28)))</formula>
    </cfRule>
    <cfRule type="cellIs" dxfId="4634" priority="3816" stopIfTrue="1" operator="equal">
      <formula>"leave"</formula>
    </cfRule>
    <cfRule type="containsText" dxfId="4633" priority="3817" operator="containsText" text="ds">
      <formula>NOT(ISERROR(SEARCH("ds",AH28)))</formula>
    </cfRule>
    <cfRule type="containsText" dxfId="4632" priority="3818" operator="containsText" text="subobs">
      <formula>NOT(ISERROR(SEARCH("subobs",AH28)))</formula>
    </cfRule>
    <cfRule type="containsText" dxfId="4631" priority="3819" operator="containsText" text="Call">
      <formula>NOT(ISERROR(SEARCH("Call",AH28)))</formula>
    </cfRule>
  </conditionalFormatting>
  <conditionalFormatting sqref="AH37:AH42">
    <cfRule type="containsText" dxfId="4630" priority="3183" operator="containsText" text="9ab">
      <formula>NOT(ISERROR(SEARCH("9ab",AH37)))</formula>
    </cfRule>
    <cfRule type="cellIs" dxfId="4629" priority="3184" stopIfTrue="1" operator="equal">
      <formula>"leave"</formula>
    </cfRule>
    <cfRule type="containsText" dxfId="4628" priority="3185" operator="containsText" text="ds">
      <formula>NOT(ISERROR(SEARCH("ds",AH37)))</formula>
    </cfRule>
    <cfRule type="containsText" dxfId="4627" priority="3186" operator="containsText" text="subobs">
      <formula>NOT(ISERROR(SEARCH("subobs",AH37)))</formula>
    </cfRule>
    <cfRule type="containsText" dxfId="4626" priority="3187" operator="containsText" text="Call">
      <formula>NOT(ISERROR(SEARCH("Call",AH37)))</formula>
    </cfRule>
    <cfRule type="containsText" dxfId="4625" priority="3189" operator="containsText" text="9ab">
      <formula>NOT(ISERROR(SEARCH("9ab",AH37)))</formula>
    </cfRule>
    <cfRule type="cellIs" dxfId="4624" priority="3190" stopIfTrue="1" operator="equal">
      <formula>"leave"</formula>
    </cfRule>
    <cfRule type="containsText" dxfId="4623" priority="3191" operator="containsText" text="ds">
      <formula>NOT(ISERROR(SEARCH("ds",AH37)))</formula>
    </cfRule>
    <cfRule type="containsText" dxfId="4622" priority="3192" operator="containsText" text="subobs">
      <formula>NOT(ISERROR(SEARCH("subobs",AH37)))</formula>
    </cfRule>
    <cfRule type="containsText" dxfId="4621" priority="3193" stopIfTrue="1" operator="containsText" text="(Call)">
      <formula>NOT(ISERROR(SEARCH("(Call)",AH37)))</formula>
    </cfRule>
    <cfRule type="containsText" dxfId="4620" priority="3195" operator="containsText" text="9ab">
      <formula>NOT(ISERROR(SEARCH("9ab",AH37)))</formula>
    </cfRule>
    <cfRule type="cellIs" dxfId="4619" priority="3196" stopIfTrue="1" operator="equal">
      <formula>"leave"</formula>
    </cfRule>
    <cfRule type="containsText" dxfId="4618" priority="3197" operator="containsText" text="ds">
      <formula>NOT(ISERROR(SEARCH("ds",AH37)))</formula>
    </cfRule>
    <cfRule type="containsText" dxfId="4617" priority="3198" operator="containsText" text="subobs">
      <formula>NOT(ISERROR(SEARCH("subobs",AH37)))</formula>
    </cfRule>
    <cfRule type="containsText" dxfId="4616" priority="3199" operator="containsText" text="Call">
      <formula>NOT(ISERROR(SEARCH("Call",AH37)))</formula>
    </cfRule>
    <cfRule type="containsText" dxfId="4615" priority="3201" operator="containsText" text="9ab">
      <formula>NOT(ISERROR(SEARCH("9ab",AH37)))</formula>
    </cfRule>
    <cfRule type="cellIs" dxfId="4614" priority="3202" stopIfTrue="1" operator="equal">
      <formula>"leave"</formula>
    </cfRule>
    <cfRule type="containsText" dxfId="4613" priority="3203" operator="containsText" text="ds">
      <formula>NOT(ISERROR(SEARCH("ds",AH37)))</formula>
    </cfRule>
    <cfRule type="containsText" dxfId="4612" priority="3204" operator="containsText" text="subobs">
      <formula>NOT(ISERROR(SEARCH("subobs",AH37)))</formula>
    </cfRule>
    <cfRule type="containsText" dxfId="4611" priority="3205" operator="containsText" text="Call">
      <formula>NOT(ISERROR(SEARCH("Call",AH37)))</formula>
    </cfRule>
    <cfRule type="containsText" dxfId="4610" priority="3207" operator="containsText" text="9ab">
      <formula>NOT(ISERROR(SEARCH("9ab",AH37)))</formula>
    </cfRule>
    <cfRule type="cellIs" dxfId="4609" priority="3208" stopIfTrue="1" operator="equal">
      <formula>"leave"</formula>
    </cfRule>
    <cfRule type="containsText" dxfId="4608" priority="3209" operator="containsText" text="ds">
      <formula>NOT(ISERROR(SEARCH("ds",AH37)))</formula>
    </cfRule>
    <cfRule type="containsText" dxfId="4607" priority="3210" operator="containsText" text="subobs">
      <formula>NOT(ISERROR(SEARCH("subobs",AH37)))</formula>
    </cfRule>
    <cfRule type="containsText" dxfId="4606" priority="3211" operator="containsText" text="Call">
      <formula>NOT(ISERROR(SEARCH("Call",AH37)))</formula>
    </cfRule>
    <cfRule type="containsText" dxfId="4605" priority="3215" operator="containsText" text="9ab">
      <formula>NOT(ISERROR(SEARCH("9ab",AH37)))</formula>
    </cfRule>
    <cfRule type="cellIs" dxfId="4604" priority="3216" stopIfTrue="1" operator="equal">
      <formula>"leave"</formula>
    </cfRule>
    <cfRule type="containsText" dxfId="4603" priority="3217" operator="containsText" text="ds">
      <formula>NOT(ISERROR(SEARCH("ds",AH37)))</formula>
    </cfRule>
    <cfRule type="containsText" dxfId="4602" priority="3218" operator="containsText" text="subobs">
      <formula>NOT(ISERROR(SEARCH("subobs",AH37)))</formula>
    </cfRule>
    <cfRule type="containsText" dxfId="4601" priority="3219" operator="containsText" text="Call">
      <formula>NOT(ISERROR(SEARCH("Call",AH37)))</formula>
    </cfRule>
    <cfRule type="containsText" dxfId="4600" priority="3222" operator="containsText" text="9ab">
      <formula>NOT(ISERROR(SEARCH("9ab",AH37)))</formula>
    </cfRule>
    <cfRule type="cellIs" dxfId="4599" priority="3223" stopIfTrue="1" operator="equal">
      <formula>"leave"</formula>
    </cfRule>
    <cfRule type="containsText" dxfId="4598" priority="3224" operator="containsText" text="ds">
      <formula>NOT(ISERROR(SEARCH("ds",AH37)))</formula>
    </cfRule>
    <cfRule type="containsText" dxfId="4597" priority="3225" operator="containsText" text="subobs">
      <formula>NOT(ISERROR(SEARCH("subobs",AH37)))</formula>
    </cfRule>
    <cfRule type="containsText" dxfId="4596" priority="3226" stopIfTrue="1" operator="containsText" text="(Call)">
      <formula>NOT(ISERROR(SEARCH("(Call)",AH37)))</formula>
    </cfRule>
  </conditionalFormatting>
  <conditionalFormatting sqref="AH36:AI42">
    <cfRule type="containsText" dxfId="4595" priority="3213" operator="containsText" text="b1">
      <formula>NOT(ISERROR(SEARCH("b1",AH36)))</formula>
    </cfRule>
    <cfRule type="cellIs" dxfId="4594" priority="3214" operator="equal">
      <formula>0</formula>
    </cfRule>
    <cfRule type="containsText" dxfId="4593" priority="3221" stopIfTrue="1" operator="containsText" text="go">
      <formula>NOT(ISERROR(SEARCH("go",AH36)))</formula>
    </cfRule>
    <cfRule type="cellIs" dxfId="4592" priority="3228" operator="equal">
      <formula>"ps_cover"</formula>
    </cfRule>
    <cfRule type="containsText" dxfId="4591" priority="3229" stopIfTrue="1" operator="containsText" text="9ab">
      <formula>NOT(ISERROR(SEARCH("9ab",AH36)))</formula>
    </cfRule>
    <cfRule type="containsText" dxfId="4590" priority="3230" stopIfTrue="1" operator="containsText" text="ds">
      <formula>NOT(ISERROR(SEARCH("ds",AH36)))</formula>
    </cfRule>
    <cfRule type="containsText" dxfId="4589" priority="3231" stopIfTrue="1" operator="containsText" text="subobs">
      <formula>NOT(ISERROR(SEARCH("subobs",AH36)))</formula>
    </cfRule>
  </conditionalFormatting>
  <conditionalFormatting sqref="AH36:AM42">
    <cfRule type="containsText" dxfId="4588" priority="3166" operator="containsText" text="(Call)">
      <formula>NOT(ISERROR(SEARCH("(Call)",AH36)))</formula>
    </cfRule>
  </conditionalFormatting>
  <conditionalFormatting sqref="AI19:AM25">
    <cfRule type="cellIs" dxfId="4587" priority="3719" operator="equal">
      <formula>0</formula>
    </cfRule>
  </conditionalFormatting>
  <conditionalFormatting sqref="AJ36:AM42">
    <cfRule type="containsText" dxfId="4586" priority="3167" operator="containsText" text="b1">
      <formula>NOT(ISERROR(SEARCH("b1",AJ36)))</formula>
    </cfRule>
    <cfRule type="cellIs" dxfId="4585" priority="3168" operator="equal">
      <formula>0</formula>
    </cfRule>
    <cfRule type="containsText" dxfId="4584" priority="3169" stopIfTrue="1" operator="containsText" text="go">
      <formula>NOT(ISERROR(SEARCH("go",AJ36)))</formula>
    </cfRule>
    <cfRule type="cellIs" dxfId="4583" priority="3170" operator="equal">
      <formula>"ps_cover"</formula>
    </cfRule>
    <cfRule type="containsText" dxfId="4582" priority="3171" stopIfTrue="1" operator="containsText" text="9ab">
      <formula>NOT(ISERROR(SEARCH("9ab",AJ36)))</formula>
    </cfRule>
    <cfRule type="containsText" dxfId="4581" priority="3172" stopIfTrue="1" operator="containsText" text="ds">
      <formula>NOT(ISERROR(SEARCH("ds",AJ36)))</formula>
    </cfRule>
    <cfRule type="containsText" dxfId="4580" priority="3173" stopIfTrue="1" operator="containsText" text="subobs">
      <formula>NOT(ISERROR(SEARCH("subobs",AJ36)))</formula>
    </cfRule>
  </conditionalFormatting>
  <conditionalFormatting sqref="AN19:AT26">
    <cfRule type="cellIs" dxfId="4579" priority="4043" operator="equal">
      <formula>0</formula>
    </cfRule>
  </conditionalFormatting>
  <conditionalFormatting sqref="AN28:AT35">
    <cfRule type="cellIs" dxfId="4578" priority="3789" operator="equal">
      <formula>0</formula>
    </cfRule>
  </conditionalFormatting>
  <conditionalFormatting sqref="AO19:AO25">
    <cfRule type="containsText" dxfId="4577" priority="4025" operator="containsText" text="9ab">
      <formula>NOT(ISERROR(SEARCH("9ab",AO19)))</formula>
    </cfRule>
    <cfRule type="cellIs" dxfId="4576" priority="4026" stopIfTrue="1" operator="equal">
      <formula>"leave"</formula>
    </cfRule>
    <cfRule type="containsText" dxfId="4575" priority="4027" operator="containsText" text="ds">
      <formula>NOT(ISERROR(SEARCH("ds",AO19)))</formula>
    </cfRule>
    <cfRule type="containsText" dxfId="4574" priority="4028" operator="containsText" text="subobs">
      <formula>NOT(ISERROR(SEARCH("subobs",AO19)))</formula>
    </cfRule>
    <cfRule type="containsText" dxfId="4573" priority="4029" operator="containsText" text="Call">
      <formula>NOT(ISERROR(SEARCH("Call",AO19)))</formula>
    </cfRule>
    <cfRule type="containsText" dxfId="4572" priority="4037" operator="containsText" text="9ab">
      <formula>NOT(ISERROR(SEARCH("9ab",AO19)))</formula>
    </cfRule>
    <cfRule type="cellIs" dxfId="4571" priority="4038" stopIfTrue="1" operator="equal">
      <formula>"leave"</formula>
    </cfRule>
    <cfRule type="containsText" dxfId="4570" priority="4039" operator="containsText" text="ds">
      <formula>NOT(ISERROR(SEARCH("ds",AO19)))</formula>
    </cfRule>
    <cfRule type="containsText" dxfId="4569" priority="4040" operator="containsText" text="subobs">
      <formula>NOT(ISERROR(SEARCH("subobs",AO19)))</formula>
    </cfRule>
    <cfRule type="containsText" dxfId="4568" priority="4041" operator="containsText" text="Call">
      <formula>NOT(ISERROR(SEARCH("Call",AO19)))</formula>
    </cfRule>
  </conditionalFormatting>
  <conditionalFormatting sqref="AO19:AO26">
    <cfRule type="containsText" dxfId="4567" priority="4031" operator="containsText" text="9ab">
      <formula>NOT(ISERROR(SEARCH("9ab",AO19)))</formula>
    </cfRule>
    <cfRule type="cellIs" dxfId="4566" priority="4032" stopIfTrue="1" operator="equal">
      <formula>"leave"</formula>
    </cfRule>
    <cfRule type="containsText" dxfId="4565" priority="4033" operator="containsText" text="ds">
      <formula>NOT(ISERROR(SEARCH("ds",AO19)))</formula>
    </cfRule>
    <cfRule type="containsText" dxfId="4564" priority="4034" operator="containsText" text="subobs">
      <formula>NOT(ISERROR(SEARCH("subobs",AO19)))</formula>
    </cfRule>
    <cfRule type="containsText" dxfId="4563" priority="4035" stopIfTrue="1" operator="containsText" text="(Call)">
      <formula>NOT(ISERROR(SEARCH("(Call)",AO19)))</formula>
    </cfRule>
    <cfRule type="containsText" dxfId="4562" priority="4044" operator="containsText" text="9ab">
      <formula>NOT(ISERROR(SEARCH("9ab",AO19)))</formula>
    </cfRule>
    <cfRule type="cellIs" dxfId="4561" priority="4045" stopIfTrue="1" operator="equal">
      <formula>"leave"</formula>
    </cfRule>
    <cfRule type="containsText" dxfId="4560" priority="4046" operator="containsText" text="ds">
      <formula>NOT(ISERROR(SEARCH("ds",AO19)))</formula>
    </cfRule>
    <cfRule type="containsText" dxfId="4559" priority="4047" operator="containsText" text="subobs">
      <formula>NOT(ISERROR(SEARCH("subobs",AO19)))</formula>
    </cfRule>
    <cfRule type="containsText" dxfId="4558" priority="4048" operator="containsText" text="Call">
      <formula>NOT(ISERROR(SEARCH("Call",AO19)))</formula>
    </cfRule>
  </conditionalFormatting>
  <conditionalFormatting sqref="AO28:AO33">
    <cfRule type="containsText" dxfId="4557" priority="3771" operator="containsText" text="9ab">
      <formula>NOT(ISERROR(SEARCH("9ab",AO28)))</formula>
    </cfRule>
    <cfRule type="cellIs" dxfId="4556" priority="3772" stopIfTrue="1" operator="equal">
      <formula>"leave"</formula>
    </cfRule>
    <cfRule type="containsText" dxfId="4555" priority="3773" operator="containsText" text="ds">
      <formula>NOT(ISERROR(SEARCH("ds",AO28)))</formula>
    </cfRule>
    <cfRule type="containsText" dxfId="4554" priority="3774" operator="containsText" text="subobs">
      <formula>NOT(ISERROR(SEARCH("subobs",AO28)))</formula>
    </cfRule>
    <cfRule type="containsText" dxfId="4553" priority="3775" operator="containsText" text="Call">
      <formula>NOT(ISERROR(SEARCH("Call",AO28)))</formula>
    </cfRule>
    <cfRule type="containsText" dxfId="4552" priority="3783" operator="containsText" text="9ab">
      <formula>NOT(ISERROR(SEARCH("9ab",AO28)))</formula>
    </cfRule>
    <cfRule type="cellIs" dxfId="4551" priority="3784" stopIfTrue="1" operator="equal">
      <formula>"leave"</formula>
    </cfRule>
    <cfRule type="containsText" dxfId="4550" priority="3785" operator="containsText" text="ds">
      <formula>NOT(ISERROR(SEARCH("ds",AO28)))</formula>
    </cfRule>
    <cfRule type="containsText" dxfId="4549" priority="3786" operator="containsText" text="subobs">
      <formula>NOT(ISERROR(SEARCH("subobs",AO28)))</formula>
    </cfRule>
    <cfRule type="containsText" dxfId="4548" priority="3787" operator="containsText" text="Call">
      <formula>NOT(ISERROR(SEARCH("Call",AO28)))</formula>
    </cfRule>
  </conditionalFormatting>
  <conditionalFormatting sqref="AO28:AO35">
    <cfRule type="containsText" dxfId="4547" priority="3777" operator="containsText" text="9ab">
      <formula>NOT(ISERROR(SEARCH("9ab",AO28)))</formula>
    </cfRule>
    <cfRule type="cellIs" dxfId="4546" priority="3778" stopIfTrue="1" operator="equal">
      <formula>"leave"</formula>
    </cfRule>
    <cfRule type="containsText" dxfId="4545" priority="3779" operator="containsText" text="ds">
      <formula>NOT(ISERROR(SEARCH("ds",AO28)))</formula>
    </cfRule>
    <cfRule type="containsText" dxfId="4544" priority="3780" operator="containsText" text="subobs">
      <formula>NOT(ISERROR(SEARCH("subobs",AO28)))</formula>
    </cfRule>
    <cfRule type="containsText" dxfId="4543" priority="3781" stopIfTrue="1" operator="containsText" text="(Call)">
      <formula>NOT(ISERROR(SEARCH("(Call)",AO28)))</formula>
    </cfRule>
    <cfRule type="containsText" dxfId="4542" priority="3790" operator="containsText" text="9ab">
      <formula>NOT(ISERROR(SEARCH("9ab",AO28)))</formula>
    </cfRule>
    <cfRule type="cellIs" dxfId="4541" priority="3791" stopIfTrue="1" operator="equal">
      <formula>"leave"</formula>
    </cfRule>
    <cfRule type="containsText" dxfId="4540" priority="3792" operator="containsText" text="ds">
      <formula>NOT(ISERROR(SEARCH("ds",AO28)))</formula>
    </cfRule>
    <cfRule type="containsText" dxfId="4539" priority="3793" operator="containsText" text="subobs">
      <formula>NOT(ISERROR(SEARCH("subobs",AO28)))</formula>
    </cfRule>
    <cfRule type="containsText" dxfId="4538" priority="3794" operator="containsText" text="Call">
      <formula>NOT(ISERROR(SEARCH("Call",AO28)))</formula>
    </cfRule>
  </conditionalFormatting>
  <conditionalFormatting sqref="AO37:AO42">
    <cfRule type="containsText" dxfId="4537" priority="3117" operator="containsText" text="9ab">
      <formula>NOT(ISERROR(SEARCH("9ab",AO37)))</formula>
    </cfRule>
    <cfRule type="cellIs" dxfId="4536" priority="3118" stopIfTrue="1" operator="equal">
      <formula>"leave"</formula>
    </cfRule>
    <cfRule type="containsText" dxfId="4535" priority="3119" operator="containsText" text="ds">
      <formula>NOT(ISERROR(SEARCH("ds",AO37)))</formula>
    </cfRule>
    <cfRule type="containsText" dxfId="4534" priority="3120" operator="containsText" text="subobs">
      <formula>NOT(ISERROR(SEARCH("subobs",AO37)))</formula>
    </cfRule>
    <cfRule type="containsText" dxfId="4533" priority="3121" operator="containsText" text="Call">
      <formula>NOT(ISERROR(SEARCH("Call",AO37)))</formula>
    </cfRule>
    <cfRule type="containsText" dxfId="4532" priority="3123" operator="containsText" text="9ab">
      <formula>NOT(ISERROR(SEARCH("9ab",AO37)))</formula>
    </cfRule>
    <cfRule type="cellIs" dxfId="4531" priority="3124" stopIfTrue="1" operator="equal">
      <formula>"leave"</formula>
    </cfRule>
    <cfRule type="containsText" dxfId="4530" priority="3125" operator="containsText" text="ds">
      <formula>NOT(ISERROR(SEARCH("ds",AO37)))</formula>
    </cfRule>
    <cfRule type="containsText" dxfId="4529" priority="3126" operator="containsText" text="subobs">
      <formula>NOT(ISERROR(SEARCH("subobs",AO37)))</formula>
    </cfRule>
    <cfRule type="containsText" dxfId="4528" priority="3127" stopIfTrue="1" operator="containsText" text="(Call)">
      <formula>NOT(ISERROR(SEARCH("(Call)",AO37)))</formula>
    </cfRule>
    <cfRule type="containsText" dxfId="4527" priority="3129" operator="containsText" text="9ab">
      <formula>NOT(ISERROR(SEARCH("9ab",AO37)))</formula>
    </cfRule>
    <cfRule type="cellIs" dxfId="4526" priority="3130" stopIfTrue="1" operator="equal">
      <formula>"leave"</formula>
    </cfRule>
    <cfRule type="containsText" dxfId="4525" priority="3131" operator="containsText" text="ds">
      <formula>NOT(ISERROR(SEARCH("ds",AO37)))</formula>
    </cfRule>
    <cfRule type="containsText" dxfId="4524" priority="3132" operator="containsText" text="subobs">
      <formula>NOT(ISERROR(SEARCH("subobs",AO37)))</formula>
    </cfRule>
    <cfRule type="containsText" dxfId="4523" priority="3133" operator="containsText" text="Call">
      <formula>NOT(ISERROR(SEARCH("Call",AO37)))</formula>
    </cfRule>
    <cfRule type="containsText" dxfId="4522" priority="3135" operator="containsText" text="9ab">
      <formula>NOT(ISERROR(SEARCH("9ab",AO37)))</formula>
    </cfRule>
    <cfRule type="cellIs" dxfId="4521" priority="3136" stopIfTrue="1" operator="equal">
      <formula>"leave"</formula>
    </cfRule>
    <cfRule type="containsText" dxfId="4520" priority="3137" operator="containsText" text="ds">
      <formula>NOT(ISERROR(SEARCH("ds",AO37)))</formula>
    </cfRule>
    <cfRule type="containsText" dxfId="4519" priority="3138" operator="containsText" text="subobs">
      <formula>NOT(ISERROR(SEARCH("subobs",AO37)))</formula>
    </cfRule>
    <cfRule type="containsText" dxfId="4518" priority="3139" operator="containsText" text="Call">
      <formula>NOT(ISERROR(SEARCH("Call",AO37)))</formula>
    </cfRule>
    <cfRule type="containsText" dxfId="4517" priority="3141" operator="containsText" text="9ab">
      <formula>NOT(ISERROR(SEARCH("9ab",AO37)))</formula>
    </cfRule>
    <cfRule type="cellIs" dxfId="4516" priority="3142" stopIfTrue="1" operator="equal">
      <formula>"leave"</formula>
    </cfRule>
    <cfRule type="containsText" dxfId="4515" priority="3143" operator="containsText" text="ds">
      <formula>NOT(ISERROR(SEARCH("ds",AO37)))</formula>
    </cfRule>
    <cfRule type="containsText" dxfId="4514" priority="3144" operator="containsText" text="subobs">
      <formula>NOT(ISERROR(SEARCH("subobs",AO37)))</formula>
    </cfRule>
    <cfRule type="containsText" dxfId="4513" priority="3145" operator="containsText" text="Call">
      <formula>NOT(ISERROR(SEARCH("Call",AO37)))</formula>
    </cfRule>
    <cfRule type="containsText" dxfId="4512" priority="3149" operator="containsText" text="9ab">
      <formula>NOT(ISERROR(SEARCH("9ab",AO37)))</formula>
    </cfRule>
    <cfRule type="cellIs" dxfId="4511" priority="3150" stopIfTrue="1" operator="equal">
      <formula>"leave"</formula>
    </cfRule>
    <cfRule type="containsText" dxfId="4510" priority="3151" operator="containsText" text="ds">
      <formula>NOT(ISERROR(SEARCH("ds",AO37)))</formula>
    </cfRule>
    <cfRule type="containsText" dxfId="4509" priority="3152" operator="containsText" text="subobs">
      <formula>NOT(ISERROR(SEARCH("subobs",AO37)))</formula>
    </cfRule>
    <cfRule type="containsText" dxfId="4508" priority="3153" operator="containsText" text="Call">
      <formula>NOT(ISERROR(SEARCH("Call",AO37)))</formula>
    </cfRule>
    <cfRule type="containsText" dxfId="4507" priority="3156" operator="containsText" text="9ab">
      <formula>NOT(ISERROR(SEARCH("9ab",AO37)))</formula>
    </cfRule>
    <cfRule type="cellIs" dxfId="4506" priority="3157" stopIfTrue="1" operator="equal">
      <formula>"leave"</formula>
    </cfRule>
    <cfRule type="containsText" dxfId="4505" priority="3158" operator="containsText" text="ds">
      <formula>NOT(ISERROR(SEARCH("ds",AO37)))</formula>
    </cfRule>
    <cfRule type="containsText" dxfId="4504" priority="3159" operator="containsText" text="subobs">
      <formula>NOT(ISERROR(SEARCH("subobs",AO37)))</formula>
    </cfRule>
    <cfRule type="containsText" dxfId="4503" priority="3160" stopIfTrue="1" operator="containsText" text="(Call)">
      <formula>NOT(ISERROR(SEARCH("(Call)",AO37)))</formula>
    </cfRule>
  </conditionalFormatting>
  <conditionalFormatting sqref="AO36:AP42">
    <cfRule type="containsText" dxfId="4502" priority="3147" operator="containsText" text="b1">
      <formula>NOT(ISERROR(SEARCH("b1",AO36)))</formula>
    </cfRule>
    <cfRule type="cellIs" dxfId="4501" priority="3148" operator="equal">
      <formula>0</formula>
    </cfRule>
    <cfRule type="containsText" dxfId="4500" priority="3155" stopIfTrue="1" operator="containsText" text="go">
      <formula>NOT(ISERROR(SEARCH("go",AO36)))</formula>
    </cfRule>
    <cfRule type="cellIs" dxfId="4499" priority="3162" operator="equal">
      <formula>"ps_cover"</formula>
    </cfRule>
    <cfRule type="containsText" dxfId="4498" priority="3163" stopIfTrue="1" operator="containsText" text="9ab">
      <formula>NOT(ISERROR(SEARCH("9ab",AO36)))</formula>
    </cfRule>
    <cfRule type="containsText" dxfId="4497" priority="3164" stopIfTrue="1" operator="containsText" text="ds">
      <formula>NOT(ISERROR(SEARCH("ds",AO36)))</formula>
    </cfRule>
    <cfRule type="containsText" dxfId="4496" priority="3165" stopIfTrue="1" operator="containsText" text="subobs">
      <formula>NOT(ISERROR(SEARCH("subobs",AO36)))</formula>
    </cfRule>
  </conditionalFormatting>
  <conditionalFormatting sqref="AO36:AT42">
    <cfRule type="containsText" dxfId="4495" priority="3100" operator="containsText" text="(Call)">
      <formula>NOT(ISERROR(SEARCH("(Call)",AO36)))</formula>
    </cfRule>
  </conditionalFormatting>
  <conditionalFormatting sqref="AP19:AT25">
    <cfRule type="cellIs" dxfId="4494" priority="3718" operator="equal">
      <formula>0</formula>
    </cfRule>
  </conditionalFormatting>
  <conditionalFormatting sqref="AQ36:AT42">
    <cfRule type="containsText" dxfId="4493" priority="3101" operator="containsText" text="b1">
      <formula>NOT(ISERROR(SEARCH("b1",AQ36)))</formula>
    </cfRule>
    <cfRule type="cellIs" dxfId="4492" priority="3102" operator="equal">
      <formula>0</formula>
    </cfRule>
    <cfRule type="containsText" dxfId="4491" priority="3103" stopIfTrue="1" operator="containsText" text="go">
      <formula>NOT(ISERROR(SEARCH("go",AQ36)))</formula>
    </cfRule>
    <cfRule type="cellIs" dxfId="4490" priority="3104" operator="equal">
      <formula>"ps_cover"</formula>
    </cfRule>
    <cfRule type="containsText" dxfId="4489" priority="3105" stopIfTrue="1" operator="containsText" text="9ab">
      <formula>NOT(ISERROR(SEARCH("9ab",AQ36)))</formula>
    </cfRule>
    <cfRule type="containsText" dxfId="4488" priority="3106" stopIfTrue="1" operator="containsText" text="ds">
      <formula>NOT(ISERROR(SEARCH("ds",AQ36)))</formula>
    </cfRule>
    <cfRule type="containsText" dxfId="4487" priority="3107" stopIfTrue="1" operator="containsText" text="subobs">
      <formula>NOT(ISERROR(SEARCH("subobs",AQ36)))</formula>
    </cfRule>
  </conditionalFormatting>
  <conditionalFormatting sqref="AU19:BA26">
    <cfRule type="cellIs" dxfId="4486" priority="4018" operator="equal">
      <formula>0</formula>
    </cfRule>
  </conditionalFormatting>
  <conditionalFormatting sqref="AU28:BA35">
    <cfRule type="cellIs" dxfId="4485" priority="3764" operator="equal">
      <formula>0</formula>
    </cfRule>
  </conditionalFormatting>
  <conditionalFormatting sqref="AV19:AV25">
    <cfRule type="containsText" dxfId="4484" priority="4000" operator="containsText" text="9ab">
      <formula>NOT(ISERROR(SEARCH("9ab",AV19)))</formula>
    </cfRule>
    <cfRule type="cellIs" dxfId="4483" priority="4001" stopIfTrue="1" operator="equal">
      <formula>"leave"</formula>
    </cfRule>
    <cfRule type="containsText" dxfId="4482" priority="4002" operator="containsText" text="ds">
      <formula>NOT(ISERROR(SEARCH("ds",AV19)))</formula>
    </cfRule>
    <cfRule type="containsText" dxfId="4481" priority="4003" operator="containsText" text="subobs">
      <formula>NOT(ISERROR(SEARCH("subobs",AV19)))</formula>
    </cfRule>
    <cfRule type="containsText" dxfId="4480" priority="4004" operator="containsText" text="Call">
      <formula>NOT(ISERROR(SEARCH("Call",AV19)))</formula>
    </cfRule>
    <cfRule type="containsText" dxfId="4479" priority="4012" operator="containsText" text="9ab">
      <formula>NOT(ISERROR(SEARCH("9ab",AV19)))</formula>
    </cfRule>
    <cfRule type="cellIs" dxfId="4478" priority="4013" stopIfTrue="1" operator="equal">
      <formula>"leave"</formula>
    </cfRule>
    <cfRule type="containsText" dxfId="4477" priority="4014" operator="containsText" text="ds">
      <formula>NOT(ISERROR(SEARCH("ds",AV19)))</formula>
    </cfRule>
    <cfRule type="containsText" dxfId="4476" priority="4015" operator="containsText" text="subobs">
      <formula>NOT(ISERROR(SEARCH("subobs",AV19)))</formula>
    </cfRule>
    <cfRule type="containsText" dxfId="4475" priority="4016" operator="containsText" text="Call">
      <formula>NOT(ISERROR(SEARCH("Call",AV19)))</formula>
    </cfRule>
  </conditionalFormatting>
  <conditionalFormatting sqref="AV19:AV26">
    <cfRule type="containsText" dxfId="4474" priority="4006" operator="containsText" text="9ab">
      <formula>NOT(ISERROR(SEARCH("9ab",AV19)))</formula>
    </cfRule>
    <cfRule type="cellIs" dxfId="4473" priority="4007" stopIfTrue="1" operator="equal">
      <formula>"leave"</formula>
    </cfRule>
    <cfRule type="containsText" dxfId="4472" priority="4008" operator="containsText" text="ds">
      <formula>NOT(ISERROR(SEARCH("ds",AV19)))</formula>
    </cfRule>
    <cfRule type="containsText" dxfId="4471" priority="4009" operator="containsText" text="subobs">
      <formula>NOT(ISERROR(SEARCH("subobs",AV19)))</formula>
    </cfRule>
    <cfRule type="containsText" dxfId="4470" priority="4010" stopIfTrue="1" operator="containsText" text="(Call)">
      <formula>NOT(ISERROR(SEARCH("(Call)",AV19)))</formula>
    </cfRule>
    <cfRule type="containsText" dxfId="4469" priority="4019" operator="containsText" text="9ab">
      <formula>NOT(ISERROR(SEARCH("9ab",AV19)))</formula>
    </cfRule>
    <cfRule type="cellIs" dxfId="4468" priority="4020" stopIfTrue="1" operator="equal">
      <formula>"leave"</formula>
    </cfRule>
    <cfRule type="containsText" dxfId="4467" priority="4021" operator="containsText" text="ds">
      <formula>NOT(ISERROR(SEARCH("ds",AV19)))</formula>
    </cfRule>
    <cfRule type="containsText" dxfId="4466" priority="4022" operator="containsText" text="subobs">
      <formula>NOT(ISERROR(SEARCH("subobs",AV19)))</formula>
    </cfRule>
    <cfRule type="containsText" dxfId="4465" priority="4023" operator="containsText" text="Call">
      <formula>NOT(ISERROR(SEARCH("Call",AV19)))</formula>
    </cfRule>
  </conditionalFormatting>
  <conditionalFormatting sqref="AV28:AV33">
    <cfRule type="containsText" dxfId="4464" priority="3746" operator="containsText" text="9ab">
      <formula>NOT(ISERROR(SEARCH("9ab",AV28)))</formula>
    </cfRule>
    <cfRule type="cellIs" dxfId="4463" priority="3747" stopIfTrue="1" operator="equal">
      <formula>"leave"</formula>
    </cfRule>
    <cfRule type="containsText" dxfId="4462" priority="3748" operator="containsText" text="ds">
      <formula>NOT(ISERROR(SEARCH("ds",AV28)))</formula>
    </cfRule>
    <cfRule type="containsText" dxfId="4461" priority="3749" operator="containsText" text="subobs">
      <formula>NOT(ISERROR(SEARCH("subobs",AV28)))</formula>
    </cfRule>
    <cfRule type="containsText" dxfId="4460" priority="3750" operator="containsText" text="Call">
      <formula>NOT(ISERROR(SEARCH("Call",AV28)))</formula>
    </cfRule>
    <cfRule type="containsText" dxfId="4459" priority="3758" operator="containsText" text="9ab">
      <formula>NOT(ISERROR(SEARCH("9ab",AV28)))</formula>
    </cfRule>
    <cfRule type="cellIs" dxfId="4458" priority="3759" stopIfTrue="1" operator="equal">
      <formula>"leave"</formula>
    </cfRule>
    <cfRule type="containsText" dxfId="4457" priority="3760" operator="containsText" text="ds">
      <formula>NOT(ISERROR(SEARCH("ds",AV28)))</formula>
    </cfRule>
    <cfRule type="containsText" dxfId="4456" priority="3761" operator="containsText" text="subobs">
      <formula>NOT(ISERROR(SEARCH("subobs",AV28)))</formula>
    </cfRule>
    <cfRule type="containsText" dxfId="4455" priority="3762" operator="containsText" text="Call">
      <formula>NOT(ISERROR(SEARCH("Call",AV28)))</formula>
    </cfRule>
  </conditionalFormatting>
  <conditionalFormatting sqref="AV28:AV35">
    <cfRule type="containsText" dxfId="4454" priority="3752" operator="containsText" text="9ab">
      <formula>NOT(ISERROR(SEARCH("9ab",AV28)))</formula>
    </cfRule>
    <cfRule type="cellIs" dxfId="4453" priority="3753" stopIfTrue="1" operator="equal">
      <formula>"leave"</formula>
    </cfRule>
    <cfRule type="containsText" dxfId="4452" priority="3754" operator="containsText" text="ds">
      <formula>NOT(ISERROR(SEARCH("ds",AV28)))</formula>
    </cfRule>
    <cfRule type="containsText" dxfId="4451" priority="3755" operator="containsText" text="subobs">
      <formula>NOT(ISERROR(SEARCH("subobs",AV28)))</formula>
    </cfRule>
    <cfRule type="containsText" dxfId="4450" priority="3756" stopIfTrue="1" operator="containsText" text="(Call)">
      <formula>NOT(ISERROR(SEARCH("(Call)",AV28)))</formula>
    </cfRule>
    <cfRule type="containsText" dxfId="4449" priority="3765" operator="containsText" text="9ab">
      <formula>NOT(ISERROR(SEARCH("9ab",AV28)))</formula>
    </cfRule>
    <cfRule type="cellIs" dxfId="4448" priority="3766" stopIfTrue="1" operator="equal">
      <formula>"leave"</formula>
    </cfRule>
    <cfRule type="containsText" dxfId="4447" priority="3767" operator="containsText" text="ds">
      <formula>NOT(ISERROR(SEARCH("ds",AV28)))</formula>
    </cfRule>
    <cfRule type="containsText" dxfId="4446" priority="3768" operator="containsText" text="subobs">
      <formula>NOT(ISERROR(SEARCH("subobs",AV28)))</formula>
    </cfRule>
    <cfRule type="containsText" dxfId="4445" priority="3769" operator="containsText" text="Call">
      <formula>NOT(ISERROR(SEARCH("Call",AV28)))</formula>
    </cfRule>
  </conditionalFormatting>
  <conditionalFormatting sqref="AV37:AV42">
    <cfRule type="containsText" dxfId="4444" priority="3051" operator="containsText" text="9ab">
      <formula>NOT(ISERROR(SEARCH("9ab",AV37)))</formula>
    </cfRule>
    <cfRule type="cellIs" dxfId="4443" priority="3052" stopIfTrue="1" operator="equal">
      <formula>"leave"</formula>
    </cfRule>
    <cfRule type="containsText" dxfId="4442" priority="3053" operator="containsText" text="ds">
      <formula>NOT(ISERROR(SEARCH("ds",AV37)))</formula>
    </cfRule>
    <cfRule type="containsText" dxfId="4441" priority="3054" operator="containsText" text="subobs">
      <formula>NOT(ISERROR(SEARCH("subobs",AV37)))</formula>
    </cfRule>
    <cfRule type="containsText" dxfId="4440" priority="3055" operator="containsText" text="Call">
      <formula>NOT(ISERROR(SEARCH("Call",AV37)))</formula>
    </cfRule>
    <cfRule type="containsText" dxfId="4439" priority="3057" operator="containsText" text="9ab">
      <formula>NOT(ISERROR(SEARCH("9ab",AV37)))</formula>
    </cfRule>
    <cfRule type="cellIs" dxfId="4438" priority="3058" stopIfTrue="1" operator="equal">
      <formula>"leave"</formula>
    </cfRule>
    <cfRule type="containsText" dxfId="4437" priority="3059" operator="containsText" text="ds">
      <formula>NOT(ISERROR(SEARCH("ds",AV37)))</formula>
    </cfRule>
    <cfRule type="containsText" dxfId="4436" priority="3060" operator="containsText" text="subobs">
      <formula>NOT(ISERROR(SEARCH("subobs",AV37)))</formula>
    </cfRule>
    <cfRule type="containsText" dxfId="4435" priority="3061" stopIfTrue="1" operator="containsText" text="(Call)">
      <formula>NOT(ISERROR(SEARCH("(Call)",AV37)))</formula>
    </cfRule>
    <cfRule type="containsText" dxfId="4434" priority="3063" operator="containsText" text="9ab">
      <formula>NOT(ISERROR(SEARCH("9ab",AV37)))</formula>
    </cfRule>
    <cfRule type="cellIs" dxfId="4433" priority="3064" stopIfTrue="1" operator="equal">
      <formula>"leave"</formula>
    </cfRule>
    <cfRule type="containsText" dxfId="4432" priority="3065" operator="containsText" text="ds">
      <formula>NOT(ISERROR(SEARCH("ds",AV37)))</formula>
    </cfRule>
    <cfRule type="containsText" dxfId="4431" priority="3066" operator="containsText" text="subobs">
      <formula>NOT(ISERROR(SEARCH("subobs",AV37)))</formula>
    </cfRule>
    <cfRule type="containsText" dxfId="4430" priority="3067" operator="containsText" text="Call">
      <formula>NOT(ISERROR(SEARCH("Call",AV37)))</formula>
    </cfRule>
    <cfRule type="containsText" dxfId="4429" priority="3069" operator="containsText" text="9ab">
      <formula>NOT(ISERROR(SEARCH("9ab",AV37)))</formula>
    </cfRule>
    <cfRule type="cellIs" dxfId="4428" priority="3070" stopIfTrue="1" operator="equal">
      <formula>"leave"</formula>
    </cfRule>
    <cfRule type="containsText" dxfId="4427" priority="3071" operator="containsText" text="ds">
      <formula>NOT(ISERROR(SEARCH("ds",AV37)))</formula>
    </cfRule>
    <cfRule type="containsText" dxfId="4426" priority="3072" operator="containsText" text="subobs">
      <formula>NOT(ISERROR(SEARCH("subobs",AV37)))</formula>
    </cfRule>
    <cfRule type="containsText" dxfId="4425" priority="3073" operator="containsText" text="Call">
      <formula>NOT(ISERROR(SEARCH("Call",AV37)))</formula>
    </cfRule>
    <cfRule type="containsText" dxfId="4424" priority="3075" operator="containsText" text="9ab">
      <formula>NOT(ISERROR(SEARCH("9ab",AV37)))</formula>
    </cfRule>
    <cfRule type="cellIs" dxfId="4423" priority="3076" stopIfTrue="1" operator="equal">
      <formula>"leave"</formula>
    </cfRule>
    <cfRule type="containsText" dxfId="4422" priority="3077" operator="containsText" text="ds">
      <formula>NOT(ISERROR(SEARCH("ds",AV37)))</formula>
    </cfRule>
    <cfRule type="containsText" dxfId="4421" priority="3078" operator="containsText" text="subobs">
      <formula>NOT(ISERROR(SEARCH("subobs",AV37)))</formula>
    </cfRule>
    <cfRule type="containsText" dxfId="4420" priority="3079" operator="containsText" text="Call">
      <formula>NOT(ISERROR(SEARCH("Call",AV37)))</formula>
    </cfRule>
    <cfRule type="containsText" dxfId="4419" priority="3083" operator="containsText" text="9ab">
      <formula>NOT(ISERROR(SEARCH("9ab",AV37)))</formula>
    </cfRule>
    <cfRule type="cellIs" dxfId="4418" priority="3084" stopIfTrue="1" operator="equal">
      <formula>"leave"</formula>
    </cfRule>
    <cfRule type="containsText" dxfId="4417" priority="3085" operator="containsText" text="ds">
      <formula>NOT(ISERROR(SEARCH("ds",AV37)))</formula>
    </cfRule>
    <cfRule type="containsText" dxfId="4416" priority="3086" operator="containsText" text="subobs">
      <formula>NOT(ISERROR(SEARCH("subobs",AV37)))</formula>
    </cfRule>
    <cfRule type="containsText" dxfId="4415" priority="3087" operator="containsText" text="Call">
      <formula>NOT(ISERROR(SEARCH("Call",AV37)))</formula>
    </cfRule>
    <cfRule type="containsText" dxfId="4414" priority="3090" operator="containsText" text="9ab">
      <formula>NOT(ISERROR(SEARCH("9ab",AV37)))</formula>
    </cfRule>
    <cfRule type="cellIs" dxfId="4413" priority="3091" stopIfTrue="1" operator="equal">
      <formula>"leave"</formula>
    </cfRule>
    <cfRule type="containsText" dxfId="4412" priority="3092" operator="containsText" text="ds">
      <formula>NOT(ISERROR(SEARCH("ds",AV37)))</formula>
    </cfRule>
    <cfRule type="containsText" dxfId="4411" priority="3093" operator="containsText" text="subobs">
      <formula>NOT(ISERROR(SEARCH("subobs",AV37)))</formula>
    </cfRule>
    <cfRule type="containsText" dxfId="4410" priority="3094" stopIfTrue="1" operator="containsText" text="(Call)">
      <formula>NOT(ISERROR(SEARCH("(Call)",AV37)))</formula>
    </cfRule>
  </conditionalFormatting>
  <conditionalFormatting sqref="AV36:AW42">
    <cfRule type="containsText" dxfId="4409" priority="3081" operator="containsText" text="b1">
      <formula>NOT(ISERROR(SEARCH("b1",AV36)))</formula>
    </cfRule>
    <cfRule type="cellIs" dxfId="4408" priority="3082" operator="equal">
      <formula>0</formula>
    </cfRule>
    <cfRule type="containsText" dxfId="4407" priority="3089" stopIfTrue="1" operator="containsText" text="go">
      <formula>NOT(ISERROR(SEARCH("go",AV36)))</formula>
    </cfRule>
    <cfRule type="cellIs" dxfId="4406" priority="3096" operator="equal">
      <formula>"ps_cover"</formula>
    </cfRule>
    <cfRule type="containsText" dxfId="4405" priority="3097" stopIfTrue="1" operator="containsText" text="9ab">
      <formula>NOT(ISERROR(SEARCH("9ab",AV36)))</formula>
    </cfRule>
    <cfRule type="containsText" dxfId="4404" priority="3098" stopIfTrue="1" operator="containsText" text="ds">
      <formula>NOT(ISERROR(SEARCH("ds",AV36)))</formula>
    </cfRule>
    <cfRule type="containsText" dxfId="4403" priority="3099" stopIfTrue="1" operator="containsText" text="subobs">
      <formula>NOT(ISERROR(SEARCH("subobs",AV36)))</formula>
    </cfRule>
  </conditionalFormatting>
  <conditionalFormatting sqref="AV36:BA42">
    <cfRule type="containsText" dxfId="4402" priority="3034" operator="containsText" text="(Call)">
      <formula>NOT(ISERROR(SEARCH("(Call)",AV36)))</formula>
    </cfRule>
  </conditionalFormatting>
  <conditionalFormatting sqref="AW19:BA25">
    <cfRule type="cellIs" dxfId="4401" priority="3717" operator="equal">
      <formula>0</formula>
    </cfRule>
  </conditionalFormatting>
  <conditionalFormatting sqref="AX36:BA42">
    <cfRule type="containsText" dxfId="4400" priority="3035" operator="containsText" text="b1">
      <formula>NOT(ISERROR(SEARCH("b1",AX36)))</formula>
    </cfRule>
    <cfRule type="cellIs" dxfId="4399" priority="3036" operator="equal">
      <formula>0</formula>
    </cfRule>
    <cfRule type="containsText" dxfId="4398" priority="3037" stopIfTrue="1" operator="containsText" text="go">
      <formula>NOT(ISERROR(SEARCH("go",AX36)))</formula>
    </cfRule>
    <cfRule type="cellIs" dxfId="4397" priority="3038" operator="equal">
      <formula>"ps_cover"</formula>
    </cfRule>
    <cfRule type="containsText" dxfId="4396" priority="3039" stopIfTrue="1" operator="containsText" text="9ab">
      <formula>NOT(ISERROR(SEARCH("9ab",AX36)))</formula>
    </cfRule>
    <cfRule type="containsText" dxfId="4395" priority="3040" stopIfTrue="1" operator="containsText" text="ds">
      <formula>NOT(ISERROR(SEARCH("ds",AX36)))</formula>
    </cfRule>
    <cfRule type="containsText" dxfId="4394" priority="3041" stopIfTrue="1" operator="containsText" text="subobs">
      <formula>NOT(ISERROR(SEARCH("subobs",AX36)))</formula>
    </cfRule>
  </conditionalFormatting>
  <conditionalFormatting sqref="BB19:BB26">
    <cfRule type="cellIs" dxfId="4393" priority="3993" operator="equal">
      <formula>0</formula>
    </cfRule>
  </conditionalFormatting>
  <conditionalFormatting sqref="BB28:BB35">
    <cfRule type="cellIs" dxfId="4392" priority="3739" operator="equal">
      <formula>0</formula>
    </cfRule>
  </conditionalFormatting>
  <conditionalFormatting sqref="A37:A42">
    <cfRule type="containsText" dxfId="4292" priority="2919" operator="containsText" text="9ab">
      <formula>NOT(ISERROR(SEARCH("9ab",A37)))</formula>
    </cfRule>
    <cfRule type="cellIs" dxfId="4291" priority="2920" stopIfTrue="1" operator="equal">
      <formula>"leave"</formula>
    </cfRule>
    <cfRule type="containsText" dxfId="4290" priority="2921" operator="containsText" text="ds">
      <formula>NOT(ISERROR(SEARCH("ds",A37)))</formula>
    </cfRule>
    <cfRule type="containsText" dxfId="4289" priority="2922" operator="containsText" text="subobs">
      <formula>NOT(ISERROR(SEARCH("subobs",A37)))</formula>
    </cfRule>
    <cfRule type="containsText" dxfId="4288" priority="2923" operator="containsText" text="Call">
      <formula>NOT(ISERROR(SEARCH("Call",A37)))</formula>
    </cfRule>
    <cfRule type="containsText" dxfId="4287" priority="2925" operator="containsText" text="9ab">
      <formula>NOT(ISERROR(SEARCH("9ab",A37)))</formula>
    </cfRule>
    <cfRule type="cellIs" dxfId="4286" priority="2926" stopIfTrue="1" operator="equal">
      <formula>"leave"</formula>
    </cfRule>
    <cfRule type="containsText" dxfId="4285" priority="2927" operator="containsText" text="ds">
      <formula>NOT(ISERROR(SEARCH("ds",A37)))</formula>
    </cfRule>
    <cfRule type="containsText" dxfId="4284" priority="2928" operator="containsText" text="subobs">
      <formula>NOT(ISERROR(SEARCH("subobs",A37)))</formula>
    </cfRule>
    <cfRule type="containsText" dxfId="4283" priority="2929" stopIfTrue="1" operator="containsText" text="(Call)">
      <formula>NOT(ISERROR(SEARCH("(Call)",A37)))</formula>
    </cfRule>
    <cfRule type="containsText" dxfId="4282" priority="2931" operator="containsText" text="9ab">
      <formula>NOT(ISERROR(SEARCH("9ab",A37)))</formula>
    </cfRule>
    <cfRule type="cellIs" dxfId="4281" priority="2932" stopIfTrue="1" operator="equal">
      <formula>"leave"</formula>
    </cfRule>
    <cfRule type="containsText" dxfId="4280" priority="2933" operator="containsText" text="ds">
      <formula>NOT(ISERROR(SEARCH("ds",A37)))</formula>
    </cfRule>
    <cfRule type="containsText" dxfId="4279" priority="2934" operator="containsText" text="subobs">
      <formula>NOT(ISERROR(SEARCH("subobs",A37)))</formula>
    </cfRule>
    <cfRule type="containsText" dxfId="4278" priority="2935" operator="containsText" text="Call">
      <formula>NOT(ISERROR(SEARCH("Call",A37)))</formula>
    </cfRule>
    <cfRule type="containsText" dxfId="4277" priority="2937" operator="containsText" text="9ab">
      <formula>NOT(ISERROR(SEARCH("9ab",A37)))</formula>
    </cfRule>
    <cfRule type="cellIs" dxfId="4276" priority="2938" stopIfTrue="1" operator="equal">
      <formula>"leave"</formula>
    </cfRule>
    <cfRule type="containsText" dxfId="4275" priority="2939" operator="containsText" text="ds">
      <formula>NOT(ISERROR(SEARCH("ds",A37)))</formula>
    </cfRule>
    <cfRule type="containsText" dxfId="4274" priority="2940" operator="containsText" text="subobs">
      <formula>NOT(ISERROR(SEARCH("subobs",A37)))</formula>
    </cfRule>
    <cfRule type="containsText" dxfId="4273" priority="2941" operator="containsText" text="Call">
      <formula>NOT(ISERROR(SEARCH("Call",A37)))</formula>
    </cfRule>
    <cfRule type="containsText" dxfId="4272" priority="2943" operator="containsText" text="9ab">
      <formula>NOT(ISERROR(SEARCH("9ab",A37)))</formula>
    </cfRule>
    <cfRule type="cellIs" dxfId="4271" priority="2944" stopIfTrue="1" operator="equal">
      <formula>"leave"</formula>
    </cfRule>
    <cfRule type="containsText" dxfId="4270" priority="2945" operator="containsText" text="ds">
      <formula>NOT(ISERROR(SEARCH("ds",A37)))</formula>
    </cfRule>
    <cfRule type="containsText" dxfId="4269" priority="2946" operator="containsText" text="subobs">
      <formula>NOT(ISERROR(SEARCH("subobs",A37)))</formula>
    </cfRule>
    <cfRule type="containsText" dxfId="4268" priority="2947" operator="containsText" text="Call">
      <formula>NOT(ISERROR(SEARCH("Call",A37)))</formula>
    </cfRule>
    <cfRule type="containsText" dxfId="4267" priority="2951" operator="containsText" text="9ab">
      <formula>NOT(ISERROR(SEARCH("9ab",A37)))</formula>
    </cfRule>
    <cfRule type="cellIs" dxfId="4266" priority="2952" stopIfTrue="1" operator="equal">
      <formula>"leave"</formula>
    </cfRule>
    <cfRule type="containsText" dxfId="4265" priority="2953" operator="containsText" text="ds">
      <formula>NOT(ISERROR(SEARCH("ds",A37)))</formula>
    </cfRule>
    <cfRule type="containsText" dxfId="4264" priority="2954" operator="containsText" text="subobs">
      <formula>NOT(ISERROR(SEARCH("subobs",A37)))</formula>
    </cfRule>
    <cfRule type="containsText" dxfId="4263" priority="2955" operator="containsText" text="Call">
      <formula>NOT(ISERROR(SEARCH("Call",A37)))</formula>
    </cfRule>
    <cfRule type="containsText" dxfId="4262" priority="2958" operator="containsText" text="9ab">
      <formula>NOT(ISERROR(SEARCH("9ab",A37)))</formula>
    </cfRule>
    <cfRule type="cellIs" dxfId="4261" priority="2959" stopIfTrue="1" operator="equal">
      <formula>"leave"</formula>
    </cfRule>
    <cfRule type="containsText" dxfId="4260" priority="2960" operator="containsText" text="ds">
      <formula>NOT(ISERROR(SEARCH("ds",A37)))</formula>
    </cfRule>
    <cfRule type="containsText" dxfId="4259" priority="2961" operator="containsText" text="subobs">
      <formula>NOT(ISERROR(SEARCH("subobs",A37)))</formula>
    </cfRule>
    <cfRule type="containsText" dxfId="4258" priority="2962" stopIfTrue="1" operator="containsText" text="(Call)">
      <formula>NOT(ISERROR(SEARCH("(Call)",A37)))</formula>
    </cfRule>
  </conditionalFormatting>
  <conditionalFormatting sqref="A37:A42">
    <cfRule type="containsText" dxfId="4257" priority="2949" operator="containsText" text="b1">
      <formula>NOT(ISERROR(SEARCH("b1",A37)))</formula>
    </cfRule>
    <cfRule type="cellIs" dxfId="4256" priority="2950" operator="equal">
      <formula>0</formula>
    </cfRule>
    <cfRule type="containsText" dxfId="4255" priority="2957" stopIfTrue="1" operator="containsText" text="go">
      <formula>NOT(ISERROR(SEARCH("go",A37)))</formula>
    </cfRule>
    <cfRule type="cellIs" dxfId="4254" priority="2964" operator="equal">
      <formula>"ps_cover"</formula>
    </cfRule>
    <cfRule type="containsText" dxfId="4253" priority="2965" stopIfTrue="1" operator="containsText" text="9ab">
      <formula>NOT(ISERROR(SEARCH("9ab",A37)))</formula>
    </cfRule>
    <cfRule type="containsText" dxfId="4252" priority="2966" stopIfTrue="1" operator="containsText" text="ds">
      <formula>NOT(ISERROR(SEARCH("ds",A37)))</formula>
    </cfRule>
    <cfRule type="containsText" dxfId="4251" priority="2967" stopIfTrue="1" operator="containsText" text="subobs">
      <formula>NOT(ISERROR(SEARCH("subobs",A37)))</formula>
    </cfRule>
  </conditionalFormatting>
  <conditionalFormatting sqref="A37:A42">
    <cfRule type="containsText" dxfId="4250" priority="2918" operator="containsText" text="(Call)">
      <formula>NOT(ISERROR(SEARCH("(Call)",A37)))</formula>
    </cfRule>
  </conditionalFormatting>
  <conditionalFormatting sqref="A36">
    <cfRule type="containsText" dxfId="4249" priority="2910" operator="containsText" text="(Call)">
      <formula>NOT(ISERROR(SEARCH("(Call)",A36)))</formula>
    </cfRule>
    <cfRule type="cellIs" dxfId="4248" priority="2912" operator="equal">
      <formula>0</formula>
    </cfRule>
    <cfRule type="containsText" dxfId="4247" priority="2915" stopIfTrue="1" operator="containsText" text="9ab">
      <formula>NOT(ISERROR(SEARCH("9ab",A36)))</formula>
    </cfRule>
    <cfRule type="containsText" dxfId="4246" priority="2916" stopIfTrue="1" operator="containsText" text="ds">
      <formula>NOT(ISERROR(SEARCH("ds",A36)))</formula>
    </cfRule>
    <cfRule type="containsText" dxfId="4245" priority="2917" stopIfTrue="1" operator="containsText" text="subobs">
      <formula>NOT(ISERROR(SEARCH("subobs",A36)))</formula>
    </cfRule>
  </conditionalFormatting>
  <conditionalFormatting sqref="A36">
    <cfRule type="containsText" dxfId="4244" priority="2913" stopIfTrue="1" operator="containsText" text="go">
      <formula>NOT(ISERROR(SEARCH("go",A36)))</formula>
    </cfRule>
    <cfRule type="cellIs" dxfId="4243" priority="2914" operator="equal">
      <formula>"ps_cover"</formula>
    </cfRule>
  </conditionalFormatting>
  <conditionalFormatting sqref="A36">
    <cfRule type="containsText" dxfId="4242" priority="2911" operator="containsText" text="b1">
      <formula>NOT(ISERROR(SEARCH("b1",A36)))</formula>
    </cfRule>
  </conditionalFormatting>
  <conditionalFormatting sqref="G37:K42">
    <cfRule type="containsText" dxfId="4241" priority="2903" operator="containsText" text="b1">
      <formula>NOT(ISERROR(SEARCH("b1",G37)))</formula>
    </cfRule>
    <cfRule type="cellIs" dxfId="4240" priority="2904" operator="equal">
      <formula>0</formula>
    </cfRule>
    <cfRule type="containsText" dxfId="4239" priority="2905" stopIfTrue="1" operator="containsText" text="go">
      <formula>NOT(ISERROR(SEARCH("go",G37)))</formula>
    </cfRule>
    <cfRule type="cellIs" dxfId="4238" priority="2906" operator="equal">
      <formula>"ps_cover"</formula>
    </cfRule>
    <cfRule type="containsText" dxfId="4237" priority="2907" stopIfTrue="1" operator="containsText" text="9ab">
      <formula>NOT(ISERROR(SEARCH("9ab",G37)))</formula>
    </cfRule>
    <cfRule type="containsText" dxfId="4236" priority="2908" stopIfTrue="1" operator="containsText" text="ds">
      <formula>NOT(ISERROR(SEARCH("ds",G37)))</formula>
    </cfRule>
    <cfRule type="containsText" dxfId="4235" priority="2909" stopIfTrue="1" operator="containsText" text="subobs">
      <formula>NOT(ISERROR(SEARCH("subobs",G37)))</formula>
    </cfRule>
  </conditionalFormatting>
  <conditionalFormatting sqref="G37:K42">
    <cfRule type="containsText" dxfId="4234" priority="2895" operator="containsText" text="(Call)">
      <formula>NOT(ISERROR(SEARCH("(Call)",G37)))</formula>
    </cfRule>
  </conditionalFormatting>
  <conditionalFormatting sqref="H37:K42">
    <cfRule type="containsText" dxfId="4233" priority="2896" operator="containsText" text="b1">
      <formula>NOT(ISERROR(SEARCH("b1",H37)))</formula>
    </cfRule>
    <cfRule type="cellIs" dxfId="4232" priority="2897" operator="equal">
      <formula>0</formula>
    </cfRule>
    <cfRule type="containsText" dxfId="4231" priority="2898" stopIfTrue="1" operator="containsText" text="go">
      <formula>NOT(ISERROR(SEARCH("go",H37)))</formula>
    </cfRule>
    <cfRule type="cellIs" dxfId="4230" priority="2899" operator="equal">
      <formula>"ps_cover"</formula>
    </cfRule>
    <cfRule type="containsText" dxfId="4229" priority="2900" stopIfTrue="1" operator="containsText" text="9ab">
      <formula>NOT(ISERROR(SEARCH("9ab",H37)))</formula>
    </cfRule>
    <cfRule type="containsText" dxfId="4228" priority="2901" stopIfTrue="1" operator="containsText" text="ds">
      <formula>NOT(ISERROR(SEARCH("ds",H37)))</formula>
    </cfRule>
    <cfRule type="containsText" dxfId="4227" priority="2902" stopIfTrue="1" operator="containsText" text="subobs">
      <formula>NOT(ISERROR(SEARCH("subobs",H37)))</formula>
    </cfRule>
  </conditionalFormatting>
  <conditionalFormatting sqref="N37:R42">
    <cfRule type="containsText" dxfId="4226" priority="2888" operator="containsText" text="b1">
      <formula>NOT(ISERROR(SEARCH("b1",N37)))</formula>
    </cfRule>
    <cfRule type="cellIs" dxfId="4225" priority="2889" operator="equal">
      <formula>0</formula>
    </cfRule>
    <cfRule type="containsText" dxfId="4224" priority="2890" stopIfTrue="1" operator="containsText" text="go">
      <formula>NOT(ISERROR(SEARCH("go",N37)))</formula>
    </cfRule>
    <cfRule type="cellIs" dxfId="4223" priority="2891" operator="equal">
      <formula>"ps_cover"</formula>
    </cfRule>
    <cfRule type="containsText" dxfId="4222" priority="2892" stopIfTrue="1" operator="containsText" text="9ab">
      <formula>NOT(ISERROR(SEARCH("9ab",N37)))</formula>
    </cfRule>
    <cfRule type="containsText" dxfId="4221" priority="2893" stopIfTrue="1" operator="containsText" text="ds">
      <formula>NOT(ISERROR(SEARCH("ds",N37)))</formula>
    </cfRule>
    <cfRule type="containsText" dxfId="4220" priority="2894" stopIfTrue="1" operator="containsText" text="subobs">
      <formula>NOT(ISERROR(SEARCH("subobs",N37)))</formula>
    </cfRule>
  </conditionalFormatting>
  <conditionalFormatting sqref="N37:R42">
    <cfRule type="containsText" dxfId="4219" priority="2880" operator="containsText" text="(Call)">
      <formula>NOT(ISERROR(SEARCH("(Call)",N37)))</formula>
    </cfRule>
  </conditionalFormatting>
  <conditionalFormatting sqref="O37:R42">
    <cfRule type="containsText" dxfId="4218" priority="2881" operator="containsText" text="b1">
      <formula>NOT(ISERROR(SEARCH("b1",O37)))</formula>
    </cfRule>
    <cfRule type="cellIs" dxfId="4217" priority="2882" operator="equal">
      <formula>0</formula>
    </cfRule>
    <cfRule type="containsText" dxfId="4216" priority="2883" stopIfTrue="1" operator="containsText" text="go">
      <formula>NOT(ISERROR(SEARCH("go",O37)))</formula>
    </cfRule>
    <cfRule type="cellIs" dxfId="4215" priority="2884" operator="equal">
      <formula>"ps_cover"</formula>
    </cfRule>
    <cfRule type="containsText" dxfId="4214" priority="2885" stopIfTrue="1" operator="containsText" text="9ab">
      <formula>NOT(ISERROR(SEARCH("9ab",O37)))</formula>
    </cfRule>
    <cfRule type="containsText" dxfId="4213" priority="2886" stopIfTrue="1" operator="containsText" text="ds">
      <formula>NOT(ISERROR(SEARCH("ds",O37)))</formula>
    </cfRule>
    <cfRule type="containsText" dxfId="4212" priority="2887" stopIfTrue="1" operator="containsText" text="subobs">
      <formula>NOT(ISERROR(SEARCH("subobs",O37)))</formula>
    </cfRule>
  </conditionalFormatting>
  <conditionalFormatting sqref="U37:Y42">
    <cfRule type="containsText" dxfId="4211" priority="2873" operator="containsText" text="b1">
      <formula>NOT(ISERROR(SEARCH("b1",U37)))</formula>
    </cfRule>
    <cfRule type="cellIs" dxfId="4210" priority="2874" operator="equal">
      <formula>0</formula>
    </cfRule>
    <cfRule type="containsText" dxfId="4209" priority="2875" stopIfTrue="1" operator="containsText" text="go">
      <formula>NOT(ISERROR(SEARCH("go",U37)))</formula>
    </cfRule>
    <cfRule type="cellIs" dxfId="4208" priority="2876" operator="equal">
      <formula>"ps_cover"</formula>
    </cfRule>
    <cfRule type="containsText" dxfId="4207" priority="2877" stopIfTrue="1" operator="containsText" text="9ab">
      <formula>NOT(ISERROR(SEARCH("9ab",U37)))</formula>
    </cfRule>
    <cfRule type="containsText" dxfId="4206" priority="2878" stopIfTrue="1" operator="containsText" text="ds">
      <formula>NOT(ISERROR(SEARCH("ds",U37)))</formula>
    </cfRule>
    <cfRule type="containsText" dxfId="4205" priority="2879" stopIfTrue="1" operator="containsText" text="subobs">
      <formula>NOT(ISERROR(SEARCH("subobs",U37)))</formula>
    </cfRule>
  </conditionalFormatting>
  <conditionalFormatting sqref="U37:Y42">
    <cfRule type="containsText" dxfId="4204" priority="2865" operator="containsText" text="(Call)">
      <formula>NOT(ISERROR(SEARCH("(Call)",U37)))</formula>
    </cfRule>
  </conditionalFormatting>
  <conditionalFormatting sqref="V37:Y42">
    <cfRule type="containsText" dxfId="4203" priority="2866" operator="containsText" text="b1">
      <formula>NOT(ISERROR(SEARCH("b1",V37)))</formula>
    </cfRule>
    <cfRule type="cellIs" dxfId="4202" priority="2867" operator="equal">
      <formula>0</formula>
    </cfRule>
    <cfRule type="containsText" dxfId="4201" priority="2868" stopIfTrue="1" operator="containsText" text="go">
      <formula>NOT(ISERROR(SEARCH("go",V37)))</formula>
    </cfRule>
    <cfRule type="cellIs" dxfId="4200" priority="2869" operator="equal">
      <formula>"ps_cover"</formula>
    </cfRule>
    <cfRule type="containsText" dxfId="4199" priority="2870" stopIfTrue="1" operator="containsText" text="9ab">
      <formula>NOT(ISERROR(SEARCH("9ab",V37)))</formula>
    </cfRule>
    <cfRule type="containsText" dxfId="4198" priority="2871" stopIfTrue="1" operator="containsText" text="ds">
      <formula>NOT(ISERROR(SEARCH("ds",V37)))</formula>
    </cfRule>
    <cfRule type="containsText" dxfId="4197" priority="2872" stopIfTrue="1" operator="containsText" text="subobs">
      <formula>NOT(ISERROR(SEARCH("subobs",V37)))</formula>
    </cfRule>
  </conditionalFormatting>
  <conditionalFormatting sqref="AB37:AF42">
    <cfRule type="containsText" dxfId="4196" priority="2858" operator="containsText" text="b1">
      <formula>NOT(ISERROR(SEARCH("b1",AB37)))</formula>
    </cfRule>
    <cfRule type="cellIs" dxfId="4195" priority="2859" operator="equal">
      <formula>0</formula>
    </cfRule>
    <cfRule type="containsText" dxfId="4194" priority="2860" stopIfTrue="1" operator="containsText" text="go">
      <formula>NOT(ISERROR(SEARCH("go",AB37)))</formula>
    </cfRule>
    <cfRule type="cellIs" dxfId="4193" priority="2861" operator="equal">
      <formula>"ps_cover"</formula>
    </cfRule>
    <cfRule type="containsText" dxfId="4192" priority="2862" stopIfTrue="1" operator="containsText" text="9ab">
      <formula>NOT(ISERROR(SEARCH("9ab",AB37)))</formula>
    </cfRule>
    <cfRule type="containsText" dxfId="4191" priority="2863" stopIfTrue="1" operator="containsText" text="ds">
      <formula>NOT(ISERROR(SEARCH("ds",AB37)))</formula>
    </cfRule>
    <cfRule type="containsText" dxfId="4190" priority="2864" stopIfTrue="1" operator="containsText" text="subobs">
      <formula>NOT(ISERROR(SEARCH("subobs",AB37)))</formula>
    </cfRule>
  </conditionalFormatting>
  <conditionalFormatting sqref="AB37:AF42">
    <cfRule type="containsText" dxfId="4189" priority="2850" operator="containsText" text="(Call)">
      <formula>NOT(ISERROR(SEARCH("(Call)",AB37)))</formula>
    </cfRule>
  </conditionalFormatting>
  <conditionalFormatting sqref="AC37:AF42">
    <cfRule type="containsText" dxfId="4188" priority="2851" operator="containsText" text="b1">
      <formula>NOT(ISERROR(SEARCH("b1",AC37)))</formula>
    </cfRule>
    <cfRule type="cellIs" dxfId="4187" priority="2852" operator="equal">
      <formula>0</formula>
    </cfRule>
    <cfRule type="containsText" dxfId="4186" priority="2853" stopIfTrue="1" operator="containsText" text="go">
      <formula>NOT(ISERROR(SEARCH("go",AC37)))</formula>
    </cfRule>
    <cfRule type="cellIs" dxfId="4185" priority="2854" operator="equal">
      <formula>"ps_cover"</formula>
    </cfRule>
    <cfRule type="containsText" dxfId="4184" priority="2855" stopIfTrue="1" operator="containsText" text="9ab">
      <formula>NOT(ISERROR(SEARCH("9ab",AC37)))</formula>
    </cfRule>
    <cfRule type="containsText" dxfId="4183" priority="2856" stopIfTrue="1" operator="containsText" text="ds">
      <formula>NOT(ISERROR(SEARCH("ds",AC37)))</formula>
    </cfRule>
    <cfRule type="containsText" dxfId="4182" priority="2857" stopIfTrue="1" operator="containsText" text="subobs">
      <formula>NOT(ISERROR(SEARCH("subobs",AC37)))</formula>
    </cfRule>
  </conditionalFormatting>
  <conditionalFormatting sqref="AI37:AM42">
    <cfRule type="containsText" dxfId="4181" priority="2843" operator="containsText" text="b1">
      <formula>NOT(ISERROR(SEARCH("b1",AI37)))</formula>
    </cfRule>
    <cfRule type="cellIs" dxfId="4180" priority="2844" operator="equal">
      <formula>0</formula>
    </cfRule>
    <cfRule type="containsText" dxfId="4179" priority="2845" stopIfTrue="1" operator="containsText" text="go">
      <formula>NOT(ISERROR(SEARCH("go",AI37)))</formula>
    </cfRule>
    <cfRule type="cellIs" dxfId="4178" priority="2846" operator="equal">
      <formula>"ps_cover"</formula>
    </cfRule>
    <cfRule type="containsText" dxfId="4177" priority="2847" stopIfTrue="1" operator="containsText" text="9ab">
      <formula>NOT(ISERROR(SEARCH("9ab",AI37)))</formula>
    </cfRule>
    <cfRule type="containsText" dxfId="4176" priority="2848" stopIfTrue="1" operator="containsText" text="ds">
      <formula>NOT(ISERROR(SEARCH("ds",AI37)))</formula>
    </cfRule>
    <cfRule type="containsText" dxfId="4175" priority="2849" stopIfTrue="1" operator="containsText" text="subobs">
      <formula>NOT(ISERROR(SEARCH("subobs",AI37)))</formula>
    </cfRule>
  </conditionalFormatting>
  <conditionalFormatting sqref="AI37:AM42">
    <cfRule type="containsText" dxfId="4174" priority="2835" operator="containsText" text="(Call)">
      <formula>NOT(ISERROR(SEARCH("(Call)",AI37)))</formula>
    </cfRule>
  </conditionalFormatting>
  <conditionalFormatting sqref="AJ37:AM42">
    <cfRule type="containsText" dxfId="4173" priority="2836" operator="containsText" text="b1">
      <formula>NOT(ISERROR(SEARCH("b1",AJ37)))</formula>
    </cfRule>
    <cfRule type="cellIs" dxfId="4172" priority="2837" operator="equal">
      <formula>0</formula>
    </cfRule>
    <cfRule type="containsText" dxfId="4171" priority="2838" stopIfTrue="1" operator="containsText" text="go">
      <formula>NOT(ISERROR(SEARCH("go",AJ37)))</formula>
    </cfRule>
    <cfRule type="cellIs" dxfId="4170" priority="2839" operator="equal">
      <formula>"ps_cover"</formula>
    </cfRule>
    <cfRule type="containsText" dxfId="4169" priority="2840" stopIfTrue="1" operator="containsText" text="9ab">
      <formula>NOT(ISERROR(SEARCH("9ab",AJ37)))</formula>
    </cfRule>
    <cfRule type="containsText" dxfId="4168" priority="2841" stopIfTrue="1" operator="containsText" text="ds">
      <formula>NOT(ISERROR(SEARCH("ds",AJ37)))</formula>
    </cfRule>
    <cfRule type="containsText" dxfId="4167" priority="2842" stopIfTrue="1" operator="containsText" text="subobs">
      <formula>NOT(ISERROR(SEARCH("subobs",AJ37)))</formula>
    </cfRule>
  </conditionalFormatting>
  <conditionalFormatting sqref="AP37:AT42">
    <cfRule type="containsText" dxfId="4166" priority="2828" operator="containsText" text="b1">
      <formula>NOT(ISERROR(SEARCH("b1",AP37)))</formula>
    </cfRule>
    <cfRule type="cellIs" dxfId="4165" priority="2829" operator="equal">
      <formula>0</formula>
    </cfRule>
    <cfRule type="containsText" dxfId="4164" priority="2830" stopIfTrue="1" operator="containsText" text="go">
      <formula>NOT(ISERROR(SEARCH("go",AP37)))</formula>
    </cfRule>
    <cfRule type="cellIs" dxfId="4163" priority="2831" operator="equal">
      <formula>"ps_cover"</formula>
    </cfRule>
    <cfRule type="containsText" dxfId="4162" priority="2832" stopIfTrue="1" operator="containsText" text="9ab">
      <formula>NOT(ISERROR(SEARCH("9ab",AP37)))</formula>
    </cfRule>
    <cfRule type="containsText" dxfId="4161" priority="2833" stopIfTrue="1" operator="containsText" text="ds">
      <formula>NOT(ISERROR(SEARCH("ds",AP37)))</formula>
    </cfRule>
    <cfRule type="containsText" dxfId="4160" priority="2834" stopIfTrue="1" operator="containsText" text="subobs">
      <formula>NOT(ISERROR(SEARCH("subobs",AP37)))</formula>
    </cfRule>
  </conditionalFormatting>
  <conditionalFormatting sqref="AP37:AT42">
    <cfRule type="containsText" dxfId="4159" priority="2820" operator="containsText" text="(Call)">
      <formula>NOT(ISERROR(SEARCH("(Call)",AP37)))</formula>
    </cfRule>
  </conditionalFormatting>
  <conditionalFormatting sqref="AQ37:AT42">
    <cfRule type="containsText" dxfId="4158" priority="2821" operator="containsText" text="b1">
      <formula>NOT(ISERROR(SEARCH("b1",AQ37)))</formula>
    </cfRule>
    <cfRule type="cellIs" dxfId="4157" priority="2822" operator="equal">
      <formula>0</formula>
    </cfRule>
    <cfRule type="containsText" dxfId="4156" priority="2823" stopIfTrue="1" operator="containsText" text="go">
      <formula>NOT(ISERROR(SEARCH("go",AQ37)))</formula>
    </cfRule>
    <cfRule type="cellIs" dxfId="4155" priority="2824" operator="equal">
      <formula>"ps_cover"</formula>
    </cfRule>
    <cfRule type="containsText" dxfId="4154" priority="2825" stopIfTrue="1" operator="containsText" text="9ab">
      <formula>NOT(ISERROR(SEARCH("9ab",AQ37)))</formula>
    </cfRule>
    <cfRule type="containsText" dxfId="4153" priority="2826" stopIfTrue="1" operator="containsText" text="ds">
      <formula>NOT(ISERROR(SEARCH("ds",AQ37)))</formula>
    </cfRule>
    <cfRule type="containsText" dxfId="4152" priority="2827" stopIfTrue="1" operator="containsText" text="subobs">
      <formula>NOT(ISERROR(SEARCH("subobs",AQ37)))</formula>
    </cfRule>
  </conditionalFormatting>
  <conditionalFormatting sqref="AW37:BA42">
    <cfRule type="containsText" dxfId="4151" priority="2813" operator="containsText" text="b1">
      <formula>NOT(ISERROR(SEARCH("b1",AW37)))</formula>
    </cfRule>
    <cfRule type="cellIs" dxfId="4150" priority="2814" operator="equal">
      <formula>0</formula>
    </cfRule>
    <cfRule type="containsText" dxfId="4149" priority="2815" stopIfTrue="1" operator="containsText" text="go">
      <formula>NOT(ISERROR(SEARCH("go",AW37)))</formula>
    </cfRule>
    <cfRule type="cellIs" dxfId="4148" priority="2816" operator="equal">
      <formula>"ps_cover"</formula>
    </cfRule>
    <cfRule type="containsText" dxfId="4147" priority="2817" stopIfTrue="1" operator="containsText" text="9ab">
      <formula>NOT(ISERROR(SEARCH("9ab",AW37)))</formula>
    </cfRule>
    <cfRule type="containsText" dxfId="4146" priority="2818" stopIfTrue="1" operator="containsText" text="ds">
      <formula>NOT(ISERROR(SEARCH("ds",AW37)))</formula>
    </cfRule>
    <cfRule type="containsText" dxfId="4145" priority="2819" stopIfTrue="1" operator="containsText" text="subobs">
      <formula>NOT(ISERROR(SEARCH("subobs",AW37)))</formula>
    </cfRule>
  </conditionalFormatting>
  <conditionalFormatting sqref="AW37:BA42">
    <cfRule type="containsText" dxfId="4144" priority="2805" operator="containsText" text="(Call)">
      <formula>NOT(ISERROR(SEARCH("(Call)",AW37)))</formula>
    </cfRule>
  </conditionalFormatting>
  <conditionalFormatting sqref="AX37:BA42">
    <cfRule type="containsText" dxfId="4143" priority="2806" operator="containsText" text="b1">
      <formula>NOT(ISERROR(SEARCH("b1",AX37)))</formula>
    </cfRule>
    <cfRule type="cellIs" dxfId="4142" priority="2807" operator="equal">
      <formula>0</formula>
    </cfRule>
    <cfRule type="containsText" dxfId="4141" priority="2808" stopIfTrue="1" operator="containsText" text="go">
      <formula>NOT(ISERROR(SEARCH("go",AX37)))</formula>
    </cfRule>
    <cfRule type="cellIs" dxfId="4140" priority="2809" operator="equal">
      <formula>"ps_cover"</formula>
    </cfRule>
    <cfRule type="containsText" dxfId="4139" priority="2810" stopIfTrue="1" operator="containsText" text="9ab">
      <formula>NOT(ISERROR(SEARCH("9ab",AX37)))</formula>
    </cfRule>
    <cfRule type="containsText" dxfId="4138" priority="2811" stopIfTrue="1" operator="containsText" text="ds">
      <formula>NOT(ISERROR(SEARCH("ds",AX37)))</formula>
    </cfRule>
    <cfRule type="containsText" dxfId="4137" priority="2812" stopIfTrue="1" operator="containsText" text="subobs">
      <formula>NOT(ISERROR(SEARCH("subobs",AX37)))</formula>
    </cfRule>
  </conditionalFormatting>
  <conditionalFormatting sqref="F25">
    <cfRule type="containsText" dxfId="4111" priority="2718" operator="containsText" text="9ab">
      <formula>NOT(ISERROR(SEARCH("9ab",F25)))</formula>
    </cfRule>
    <cfRule type="cellIs" dxfId="4110" priority="2719" stopIfTrue="1" operator="equal">
      <formula>"leave"</formula>
    </cfRule>
    <cfRule type="containsText" dxfId="4109" priority="2720" operator="containsText" text="ds">
      <formula>NOT(ISERROR(SEARCH("ds",F25)))</formula>
    </cfRule>
    <cfRule type="containsText" dxfId="4108" priority="2721" operator="containsText" text="subobs">
      <formula>NOT(ISERROR(SEARCH("subobs",F25)))</formula>
    </cfRule>
    <cfRule type="containsText" dxfId="4107" priority="2722" operator="containsText" text="Call">
      <formula>NOT(ISERROR(SEARCH("Call",F25)))</formula>
    </cfRule>
    <cfRule type="containsText" dxfId="4106" priority="2724" operator="containsText" text="9ab">
      <formula>NOT(ISERROR(SEARCH("9ab",F25)))</formula>
    </cfRule>
    <cfRule type="cellIs" dxfId="4105" priority="2725" stopIfTrue="1" operator="equal">
      <formula>"leave"</formula>
    </cfRule>
    <cfRule type="containsText" dxfId="4104" priority="2726" operator="containsText" text="ds">
      <formula>NOT(ISERROR(SEARCH("ds",F25)))</formula>
    </cfRule>
    <cfRule type="containsText" dxfId="4103" priority="2727" operator="containsText" text="subobs">
      <formula>NOT(ISERROR(SEARCH("subobs",F25)))</formula>
    </cfRule>
    <cfRule type="containsText" dxfId="4102" priority="2728" stopIfTrue="1" operator="containsText" text="(Call)">
      <formula>NOT(ISERROR(SEARCH("(Call)",F25)))</formula>
    </cfRule>
    <cfRule type="containsText" dxfId="4101" priority="2730" operator="containsText" text="9ab">
      <formula>NOT(ISERROR(SEARCH("9ab",F25)))</formula>
    </cfRule>
    <cfRule type="cellIs" dxfId="4100" priority="2731" stopIfTrue="1" operator="equal">
      <formula>"leave"</formula>
    </cfRule>
    <cfRule type="containsText" dxfId="4099" priority="2732" operator="containsText" text="ds">
      <formula>NOT(ISERROR(SEARCH("ds",F25)))</formula>
    </cfRule>
    <cfRule type="containsText" dxfId="4098" priority="2733" operator="containsText" text="subobs">
      <formula>NOT(ISERROR(SEARCH("subobs",F25)))</formula>
    </cfRule>
    <cfRule type="containsText" dxfId="4097" priority="2734" operator="containsText" text="Call">
      <formula>NOT(ISERROR(SEARCH("Call",F25)))</formula>
    </cfRule>
    <cfRule type="cellIs" dxfId="4096" priority="2736" operator="equal">
      <formula>0</formula>
    </cfRule>
    <cfRule type="containsText" dxfId="4095" priority="2737" operator="containsText" text="9ab">
      <formula>NOT(ISERROR(SEARCH("9ab",F25)))</formula>
    </cfRule>
    <cfRule type="cellIs" dxfId="4094" priority="2738" stopIfTrue="1" operator="equal">
      <formula>"leave"</formula>
    </cfRule>
    <cfRule type="containsText" dxfId="4093" priority="2739" operator="containsText" text="ds">
      <formula>NOT(ISERROR(SEARCH("ds",F25)))</formula>
    </cfRule>
    <cfRule type="containsText" dxfId="4092" priority="2740" operator="containsText" text="subobs">
      <formula>NOT(ISERROR(SEARCH("subobs",F25)))</formula>
    </cfRule>
    <cfRule type="containsText" dxfId="4091" priority="2741" operator="containsText" text="Call">
      <formula>NOT(ISERROR(SEARCH("Call",F25)))</formula>
    </cfRule>
  </conditionalFormatting>
  <conditionalFormatting sqref="F25">
    <cfRule type="containsText" dxfId="4090" priority="2743" operator="containsText" text="9ab">
      <formula>NOT(ISERROR(SEARCH("9ab",F25)))</formula>
    </cfRule>
    <cfRule type="cellIs" dxfId="4089" priority="2744" stopIfTrue="1" operator="equal">
      <formula>"leave"</formula>
    </cfRule>
    <cfRule type="containsText" dxfId="4088" priority="2745" operator="containsText" text="ds">
      <formula>NOT(ISERROR(SEARCH("ds",F25)))</formula>
    </cfRule>
    <cfRule type="containsText" dxfId="4087" priority="2746" operator="containsText" text="subobs">
      <formula>NOT(ISERROR(SEARCH("subobs",F25)))</formula>
    </cfRule>
    <cfRule type="containsText" dxfId="4086" priority="2747" operator="containsText" text="Call">
      <formula>NOT(ISERROR(SEARCH("Call",F25)))</formula>
    </cfRule>
  </conditionalFormatting>
  <conditionalFormatting sqref="M25">
    <cfRule type="containsText" dxfId="4085" priority="2687" operator="containsText" text="9ab">
      <formula>NOT(ISERROR(SEARCH("9ab",M25)))</formula>
    </cfRule>
    <cfRule type="cellIs" dxfId="4084" priority="2688" stopIfTrue="1" operator="equal">
      <formula>"leave"</formula>
    </cfRule>
    <cfRule type="containsText" dxfId="4083" priority="2689" operator="containsText" text="ds">
      <formula>NOT(ISERROR(SEARCH("ds",M25)))</formula>
    </cfRule>
    <cfRule type="containsText" dxfId="4082" priority="2690" operator="containsText" text="subobs">
      <formula>NOT(ISERROR(SEARCH("subobs",M25)))</formula>
    </cfRule>
    <cfRule type="containsText" dxfId="4081" priority="2691" operator="containsText" text="Call">
      <formula>NOT(ISERROR(SEARCH("Call",M25)))</formula>
    </cfRule>
    <cfRule type="containsText" dxfId="4080" priority="2693" operator="containsText" text="9ab">
      <formula>NOT(ISERROR(SEARCH("9ab",M25)))</formula>
    </cfRule>
    <cfRule type="cellIs" dxfId="4079" priority="2694" stopIfTrue="1" operator="equal">
      <formula>"leave"</formula>
    </cfRule>
    <cfRule type="containsText" dxfId="4078" priority="2695" operator="containsText" text="ds">
      <formula>NOT(ISERROR(SEARCH("ds",M25)))</formula>
    </cfRule>
    <cfRule type="containsText" dxfId="4077" priority="2696" operator="containsText" text="subobs">
      <formula>NOT(ISERROR(SEARCH("subobs",M25)))</formula>
    </cfRule>
    <cfRule type="containsText" dxfId="4076" priority="2697" stopIfTrue="1" operator="containsText" text="(Call)">
      <formula>NOT(ISERROR(SEARCH("(Call)",M25)))</formula>
    </cfRule>
    <cfRule type="containsText" dxfId="4075" priority="2699" operator="containsText" text="9ab">
      <formula>NOT(ISERROR(SEARCH("9ab",M25)))</formula>
    </cfRule>
    <cfRule type="cellIs" dxfId="4074" priority="2700" stopIfTrue="1" operator="equal">
      <formula>"leave"</formula>
    </cfRule>
    <cfRule type="containsText" dxfId="4073" priority="2701" operator="containsText" text="ds">
      <formula>NOT(ISERROR(SEARCH("ds",M25)))</formula>
    </cfRule>
    <cfRule type="containsText" dxfId="4072" priority="2702" operator="containsText" text="subobs">
      <formula>NOT(ISERROR(SEARCH("subobs",M25)))</formula>
    </cfRule>
    <cfRule type="containsText" dxfId="4071" priority="2703" operator="containsText" text="Call">
      <formula>NOT(ISERROR(SEARCH("Call",M25)))</formula>
    </cfRule>
    <cfRule type="cellIs" dxfId="4070" priority="2705" operator="equal">
      <formula>0</formula>
    </cfRule>
    <cfRule type="containsText" dxfId="4069" priority="2706" operator="containsText" text="9ab">
      <formula>NOT(ISERROR(SEARCH("9ab",M25)))</formula>
    </cfRule>
    <cfRule type="cellIs" dxfId="4068" priority="2707" stopIfTrue="1" operator="equal">
      <formula>"leave"</formula>
    </cfRule>
    <cfRule type="containsText" dxfId="4067" priority="2708" operator="containsText" text="ds">
      <formula>NOT(ISERROR(SEARCH("ds",M25)))</formula>
    </cfRule>
    <cfRule type="containsText" dxfId="4066" priority="2709" operator="containsText" text="subobs">
      <formula>NOT(ISERROR(SEARCH("subobs",M25)))</formula>
    </cfRule>
    <cfRule type="containsText" dxfId="4065" priority="2710" operator="containsText" text="Call">
      <formula>NOT(ISERROR(SEARCH("Call",M25)))</formula>
    </cfRule>
  </conditionalFormatting>
  <conditionalFormatting sqref="M25">
    <cfRule type="containsText" dxfId="4064" priority="2712" operator="containsText" text="9ab">
      <formula>NOT(ISERROR(SEARCH("9ab",M25)))</formula>
    </cfRule>
    <cfRule type="cellIs" dxfId="4063" priority="2713" stopIfTrue="1" operator="equal">
      <formula>"leave"</formula>
    </cfRule>
    <cfRule type="containsText" dxfId="4062" priority="2714" operator="containsText" text="ds">
      <formula>NOT(ISERROR(SEARCH("ds",M25)))</formula>
    </cfRule>
    <cfRule type="containsText" dxfId="4061" priority="2715" operator="containsText" text="subobs">
      <formula>NOT(ISERROR(SEARCH("subobs",M25)))</formula>
    </cfRule>
    <cfRule type="containsText" dxfId="4060" priority="2716" operator="containsText" text="Call">
      <formula>NOT(ISERROR(SEARCH("Call",M25)))</formula>
    </cfRule>
  </conditionalFormatting>
  <conditionalFormatting sqref="T25">
    <cfRule type="containsText" dxfId="4059" priority="2656" operator="containsText" text="9ab">
      <formula>NOT(ISERROR(SEARCH("9ab",T25)))</formula>
    </cfRule>
    <cfRule type="cellIs" dxfId="4058" priority="2657" stopIfTrue="1" operator="equal">
      <formula>"leave"</formula>
    </cfRule>
    <cfRule type="containsText" dxfId="4057" priority="2658" operator="containsText" text="ds">
      <formula>NOT(ISERROR(SEARCH("ds",T25)))</formula>
    </cfRule>
    <cfRule type="containsText" dxfId="4056" priority="2659" operator="containsText" text="subobs">
      <formula>NOT(ISERROR(SEARCH("subobs",T25)))</formula>
    </cfRule>
    <cfRule type="containsText" dxfId="4055" priority="2660" operator="containsText" text="Call">
      <formula>NOT(ISERROR(SEARCH("Call",T25)))</formula>
    </cfRule>
    <cfRule type="containsText" dxfId="4054" priority="2662" operator="containsText" text="9ab">
      <formula>NOT(ISERROR(SEARCH("9ab",T25)))</formula>
    </cfRule>
    <cfRule type="cellIs" dxfId="4053" priority="2663" stopIfTrue="1" operator="equal">
      <formula>"leave"</formula>
    </cfRule>
    <cfRule type="containsText" dxfId="4052" priority="2664" operator="containsText" text="ds">
      <formula>NOT(ISERROR(SEARCH("ds",T25)))</formula>
    </cfRule>
    <cfRule type="containsText" dxfId="4051" priority="2665" operator="containsText" text="subobs">
      <formula>NOT(ISERROR(SEARCH("subobs",T25)))</formula>
    </cfRule>
    <cfRule type="containsText" dxfId="4050" priority="2666" stopIfTrue="1" operator="containsText" text="(Call)">
      <formula>NOT(ISERROR(SEARCH("(Call)",T25)))</formula>
    </cfRule>
    <cfRule type="containsText" dxfId="4049" priority="2668" operator="containsText" text="9ab">
      <formula>NOT(ISERROR(SEARCH("9ab",T25)))</formula>
    </cfRule>
    <cfRule type="cellIs" dxfId="4048" priority="2669" stopIfTrue="1" operator="equal">
      <formula>"leave"</formula>
    </cfRule>
    <cfRule type="containsText" dxfId="4047" priority="2670" operator="containsText" text="ds">
      <formula>NOT(ISERROR(SEARCH("ds",T25)))</formula>
    </cfRule>
    <cfRule type="containsText" dxfId="4046" priority="2671" operator="containsText" text="subobs">
      <formula>NOT(ISERROR(SEARCH("subobs",T25)))</formula>
    </cfRule>
    <cfRule type="containsText" dxfId="4045" priority="2672" operator="containsText" text="Call">
      <formula>NOT(ISERROR(SEARCH("Call",T25)))</formula>
    </cfRule>
    <cfRule type="cellIs" dxfId="4044" priority="2674" operator="equal">
      <formula>0</formula>
    </cfRule>
    <cfRule type="containsText" dxfId="4043" priority="2675" operator="containsText" text="9ab">
      <formula>NOT(ISERROR(SEARCH("9ab",T25)))</formula>
    </cfRule>
    <cfRule type="cellIs" dxfId="4042" priority="2676" stopIfTrue="1" operator="equal">
      <formula>"leave"</formula>
    </cfRule>
    <cfRule type="containsText" dxfId="4041" priority="2677" operator="containsText" text="ds">
      <formula>NOT(ISERROR(SEARCH("ds",T25)))</formula>
    </cfRule>
    <cfRule type="containsText" dxfId="4040" priority="2678" operator="containsText" text="subobs">
      <formula>NOT(ISERROR(SEARCH("subobs",T25)))</formula>
    </cfRule>
    <cfRule type="containsText" dxfId="4039" priority="2679" operator="containsText" text="Call">
      <formula>NOT(ISERROR(SEARCH("Call",T25)))</formula>
    </cfRule>
  </conditionalFormatting>
  <conditionalFormatting sqref="T25">
    <cfRule type="containsText" dxfId="4038" priority="2681" operator="containsText" text="9ab">
      <formula>NOT(ISERROR(SEARCH("9ab",T25)))</formula>
    </cfRule>
    <cfRule type="cellIs" dxfId="4037" priority="2682" stopIfTrue="1" operator="equal">
      <formula>"leave"</formula>
    </cfRule>
    <cfRule type="containsText" dxfId="4036" priority="2683" operator="containsText" text="ds">
      <formula>NOT(ISERROR(SEARCH("ds",T25)))</formula>
    </cfRule>
    <cfRule type="containsText" dxfId="4035" priority="2684" operator="containsText" text="subobs">
      <formula>NOT(ISERROR(SEARCH("subobs",T25)))</formula>
    </cfRule>
    <cfRule type="containsText" dxfId="4034" priority="2685" operator="containsText" text="Call">
      <formula>NOT(ISERROR(SEARCH("Call",T25)))</formula>
    </cfRule>
  </conditionalFormatting>
  <conditionalFormatting sqref="AA25">
    <cfRule type="containsText" dxfId="4033" priority="2625" operator="containsText" text="9ab">
      <formula>NOT(ISERROR(SEARCH("9ab",AA25)))</formula>
    </cfRule>
    <cfRule type="cellIs" dxfId="4032" priority="2626" stopIfTrue="1" operator="equal">
      <formula>"leave"</formula>
    </cfRule>
    <cfRule type="containsText" dxfId="4031" priority="2627" operator="containsText" text="ds">
      <formula>NOT(ISERROR(SEARCH("ds",AA25)))</formula>
    </cfRule>
    <cfRule type="containsText" dxfId="4030" priority="2628" operator="containsText" text="subobs">
      <formula>NOT(ISERROR(SEARCH("subobs",AA25)))</formula>
    </cfRule>
    <cfRule type="containsText" dxfId="4029" priority="2629" operator="containsText" text="Call">
      <formula>NOT(ISERROR(SEARCH("Call",AA25)))</formula>
    </cfRule>
    <cfRule type="containsText" dxfId="4028" priority="2631" operator="containsText" text="9ab">
      <formula>NOT(ISERROR(SEARCH("9ab",AA25)))</formula>
    </cfRule>
    <cfRule type="cellIs" dxfId="4027" priority="2632" stopIfTrue="1" operator="equal">
      <formula>"leave"</formula>
    </cfRule>
    <cfRule type="containsText" dxfId="4026" priority="2633" operator="containsText" text="ds">
      <formula>NOT(ISERROR(SEARCH("ds",AA25)))</formula>
    </cfRule>
    <cfRule type="containsText" dxfId="4025" priority="2634" operator="containsText" text="subobs">
      <formula>NOT(ISERROR(SEARCH("subobs",AA25)))</formula>
    </cfRule>
    <cfRule type="containsText" dxfId="4024" priority="2635" stopIfTrue="1" operator="containsText" text="(Call)">
      <formula>NOT(ISERROR(SEARCH("(Call)",AA25)))</formula>
    </cfRule>
    <cfRule type="containsText" dxfId="4023" priority="2637" operator="containsText" text="9ab">
      <formula>NOT(ISERROR(SEARCH("9ab",AA25)))</formula>
    </cfRule>
    <cfRule type="cellIs" dxfId="4022" priority="2638" stopIfTrue="1" operator="equal">
      <formula>"leave"</formula>
    </cfRule>
    <cfRule type="containsText" dxfId="4021" priority="2639" operator="containsText" text="ds">
      <formula>NOT(ISERROR(SEARCH("ds",AA25)))</formula>
    </cfRule>
    <cfRule type="containsText" dxfId="4020" priority="2640" operator="containsText" text="subobs">
      <formula>NOT(ISERROR(SEARCH("subobs",AA25)))</formula>
    </cfRule>
    <cfRule type="containsText" dxfId="4019" priority="2641" operator="containsText" text="Call">
      <formula>NOT(ISERROR(SEARCH("Call",AA25)))</formula>
    </cfRule>
    <cfRule type="cellIs" dxfId="4018" priority="2643" operator="equal">
      <formula>0</formula>
    </cfRule>
    <cfRule type="containsText" dxfId="4017" priority="2644" operator="containsText" text="9ab">
      <formula>NOT(ISERROR(SEARCH("9ab",AA25)))</formula>
    </cfRule>
    <cfRule type="cellIs" dxfId="4016" priority="2645" stopIfTrue="1" operator="equal">
      <formula>"leave"</formula>
    </cfRule>
    <cfRule type="containsText" dxfId="4015" priority="2646" operator="containsText" text="ds">
      <formula>NOT(ISERROR(SEARCH("ds",AA25)))</formula>
    </cfRule>
    <cfRule type="containsText" dxfId="4014" priority="2647" operator="containsText" text="subobs">
      <formula>NOT(ISERROR(SEARCH("subobs",AA25)))</formula>
    </cfRule>
    <cfRule type="containsText" dxfId="4013" priority="2648" operator="containsText" text="Call">
      <formula>NOT(ISERROR(SEARCH("Call",AA25)))</formula>
    </cfRule>
  </conditionalFormatting>
  <conditionalFormatting sqref="AA25">
    <cfRule type="containsText" dxfId="4012" priority="2650" operator="containsText" text="9ab">
      <formula>NOT(ISERROR(SEARCH("9ab",AA25)))</formula>
    </cfRule>
    <cfRule type="cellIs" dxfId="4011" priority="2651" stopIfTrue="1" operator="equal">
      <formula>"leave"</formula>
    </cfRule>
    <cfRule type="containsText" dxfId="4010" priority="2652" operator="containsText" text="ds">
      <formula>NOT(ISERROR(SEARCH("ds",AA25)))</formula>
    </cfRule>
    <cfRule type="containsText" dxfId="4009" priority="2653" operator="containsText" text="subobs">
      <formula>NOT(ISERROR(SEARCH("subobs",AA25)))</formula>
    </cfRule>
    <cfRule type="containsText" dxfId="4008" priority="2654" operator="containsText" text="Call">
      <formula>NOT(ISERROR(SEARCH("Call",AA25)))</formula>
    </cfRule>
  </conditionalFormatting>
  <conditionalFormatting sqref="AH25">
    <cfRule type="containsText" dxfId="4007" priority="2594" operator="containsText" text="9ab">
      <formula>NOT(ISERROR(SEARCH("9ab",AH25)))</formula>
    </cfRule>
    <cfRule type="cellIs" dxfId="4006" priority="2595" stopIfTrue="1" operator="equal">
      <formula>"leave"</formula>
    </cfRule>
    <cfRule type="containsText" dxfId="4005" priority="2596" operator="containsText" text="ds">
      <formula>NOT(ISERROR(SEARCH("ds",AH25)))</formula>
    </cfRule>
    <cfRule type="containsText" dxfId="4004" priority="2597" operator="containsText" text="subobs">
      <formula>NOT(ISERROR(SEARCH("subobs",AH25)))</formula>
    </cfRule>
    <cfRule type="containsText" dxfId="4003" priority="2598" operator="containsText" text="Call">
      <formula>NOT(ISERROR(SEARCH("Call",AH25)))</formula>
    </cfRule>
    <cfRule type="containsText" dxfId="4002" priority="2600" operator="containsText" text="9ab">
      <formula>NOT(ISERROR(SEARCH("9ab",AH25)))</formula>
    </cfRule>
    <cfRule type="cellIs" dxfId="4001" priority="2601" stopIfTrue="1" operator="equal">
      <formula>"leave"</formula>
    </cfRule>
    <cfRule type="containsText" dxfId="4000" priority="2602" operator="containsText" text="ds">
      <formula>NOT(ISERROR(SEARCH("ds",AH25)))</formula>
    </cfRule>
    <cfRule type="containsText" dxfId="3999" priority="2603" operator="containsText" text="subobs">
      <formula>NOT(ISERROR(SEARCH("subobs",AH25)))</formula>
    </cfRule>
    <cfRule type="containsText" dxfId="3998" priority="2604" stopIfTrue="1" operator="containsText" text="(Call)">
      <formula>NOT(ISERROR(SEARCH("(Call)",AH25)))</formula>
    </cfRule>
    <cfRule type="containsText" dxfId="3997" priority="2606" operator="containsText" text="9ab">
      <formula>NOT(ISERROR(SEARCH("9ab",AH25)))</formula>
    </cfRule>
    <cfRule type="cellIs" dxfId="3996" priority="2607" stopIfTrue="1" operator="equal">
      <formula>"leave"</formula>
    </cfRule>
    <cfRule type="containsText" dxfId="3995" priority="2608" operator="containsText" text="ds">
      <formula>NOT(ISERROR(SEARCH("ds",AH25)))</formula>
    </cfRule>
    <cfRule type="containsText" dxfId="3994" priority="2609" operator="containsText" text="subobs">
      <formula>NOT(ISERROR(SEARCH("subobs",AH25)))</formula>
    </cfRule>
    <cfRule type="containsText" dxfId="3993" priority="2610" operator="containsText" text="Call">
      <formula>NOT(ISERROR(SEARCH("Call",AH25)))</formula>
    </cfRule>
    <cfRule type="cellIs" dxfId="3992" priority="2612" operator="equal">
      <formula>0</formula>
    </cfRule>
    <cfRule type="containsText" dxfId="3991" priority="2613" operator="containsText" text="9ab">
      <formula>NOT(ISERROR(SEARCH("9ab",AH25)))</formula>
    </cfRule>
    <cfRule type="cellIs" dxfId="3990" priority="2614" stopIfTrue="1" operator="equal">
      <formula>"leave"</formula>
    </cfRule>
    <cfRule type="containsText" dxfId="3989" priority="2615" operator="containsText" text="ds">
      <formula>NOT(ISERROR(SEARCH("ds",AH25)))</formula>
    </cfRule>
    <cfRule type="containsText" dxfId="3988" priority="2616" operator="containsText" text="subobs">
      <formula>NOT(ISERROR(SEARCH("subobs",AH25)))</formula>
    </cfRule>
    <cfRule type="containsText" dxfId="3987" priority="2617" operator="containsText" text="Call">
      <formula>NOT(ISERROR(SEARCH("Call",AH25)))</formula>
    </cfRule>
  </conditionalFormatting>
  <conditionalFormatting sqref="AH25">
    <cfRule type="containsText" dxfId="3986" priority="2619" operator="containsText" text="9ab">
      <formula>NOT(ISERROR(SEARCH("9ab",AH25)))</formula>
    </cfRule>
    <cfRule type="cellIs" dxfId="3985" priority="2620" stopIfTrue="1" operator="equal">
      <formula>"leave"</formula>
    </cfRule>
    <cfRule type="containsText" dxfId="3984" priority="2621" operator="containsText" text="ds">
      <formula>NOT(ISERROR(SEARCH("ds",AH25)))</formula>
    </cfRule>
    <cfRule type="containsText" dxfId="3983" priority="2622" operator="containsText" text="subobs">
      <formula>NOT(ISERROR(SEARCH("subobs",AH25)))</formula>
    </cfRule>
    <cfRule type="containsText" dxfId="3982" priority="2623" operator="containsText" text="Call">
      <formula>NOT(ISERROR(SEARCH("Call",AH25)))</formula>
    </cfRule>
  </conditionalFormatting>
  <conditionalFormatting sqref="AO25">
    <cfRule type="containsText" dxfId="3981" priority="2563" operator="containsText" text="9ab">
      <formula>NOT(ISERROR(SEARCH("9ab",AO25)))</formula>
    </cfRule>
    <cfRule type="cellIs" dxfId="3980" priority="2564" stopIfTrue="1" operator="equal">
      <formula>"leave"</formula>
    </cfRule>
    <cfRule type="containsText" dxfId="3979" priority="2565" operator="containsText" text="ds">
      <formula>NOT(ISERROR(SEARCH("ds",AO25)))</formula>
    </cfRule>
    <cfRule type="containsText" dxfId="3978" priority="2566" operator="containsText" text="subobs">
      <formula>NOT(ISERROR(SEARCH("subobs",AO25)))</formula>
    </cfRule>
    <cfRule type="containsText" dxfId="3977" priority="2567" operator="containsText" text="Call">
      <formula>NOT(ISERROR(SEARCH("Call",AO25)))</formula>
    </cfRule>
    <cfRule type="containsText" dxfId="3976" priority="2569" operator="containsText" text="9ab">
      <formula>NOT(ISERROR(SEARCH("9ab",AO25)))</formula>
    </cfRule>
    <cfRule type="cellIs" dxfId="3975" priority="2570" stopIfTrue="1" operator="equal">
      <formula>"leave"</formula>
    </cfRule>
    <cfRule type="containsText" dxfId="3974" priority="2571" operator="containsText" text="ds">
      <formula>NOT(ISERROR(SEARCH("ds",AO25)))</formula>
    </cfRule>
    <cfRule type="containsText" dxfId="3973" priority="2572" operator="containsText" text="subobs">
      <formula>NOT(ISERROR(SEARCH("subobs",AO25)))</formula>
    </cfRule>
    <cfRule type="containsText" dxfId="3972" priority="2573" stopIfTrue="1" operator="containsText" text="(Call)">
      <formula>NOT(ISERROR(SEARCH("(Call)",AO25)))</formula>
    </cfRule>
    <cfRule type="containsText" dxfId="3971" priority="2575" operator="containsText" text="9ab">
      <formula>NOT(ISERROR(SEARCH("9ab",AO25)))</formula>
    </cfRule>
    <cfRule type="cellIs" dxfId="3970" priority="2576" stopIfTrue="1" operator="equal">
      <formula>"leave"</formula>
    </cfRule>
    <cfRule type="containsText" dxfId="3969" priority="2577" operator="containsText" text="ds">
      <formula>NOT(ISERROR(SEARCH("ds",AO25)))</formula>
    </cfRule>
    <cfRule type="containsText" dxfId="3968" priority="2578" operator="containsText" text="subobs">
      <formula>NOT(ISERROR(SEARCH("subobs",AO25)))</formula>
    </cfRule>
    <cfRule type="containsText" dxfId="3967" priority="2579" operator="containsText" text="Call">
      <formula>NOT(ISERROR(SEARCH("Call",AO25)))</formula>
    </cfRule>
    <cfRule type="cellIs" dxfId="3966" priority="2581" operator="equal">
      <formula>0</formula>
    </cfRule>
    <cfRule type="containsText" dxfId="3965" priority="2582" operator="containsText" text="9ab">
      <formula>NOT(ISERROR(SEARCH("9ab",AO25)))</formula>
    </cfRule>
    <cfRule type="cellIs" dxfId="3964" priority="2583" stopIfTrue="1" operator="equal">
      <formula>"leave"</formula>
    </cfRule>
    <cfRule type="containsText" dxfId="3963" priority="2584" operator="containsText" text="ds">
      <formula>NOT(ISERROR(SEARCH("ds",AO25)))</formula>
    </cfRule>
    <cfRule type="containsText" dxfId="3962" priority="2585" operator="containsText" text="subobs">
      <formula>NOT(ISERROR(SEARCH("subobs",AO25)))</formula>
    </cfRule>
    <cfRule type="containsText" dxfId="3961" priority="2586" operator="containsText" text="Call">
      <formula>NOT(ISERROR(SEARCH("Call",AO25)))</formula>
    </cfRule>
  </conditionalFormatting>
  <conditionalFormatting sqref="AO25">
    <cfRule type="containsText" dxfId="3960" priority="2588" operator="containsText" text="9ab">
      <formula>NOT(ISERROR(SEARCH("9ab",AO25)))</formula>
    </cfRule>
    <cfRule type="cellIs" dxfId="3959" priority="2589" stopIfTrue="1" operator="equal">
      <formula>"leave"</formula>
    </cfRule>
    <cfRule type="containsText" dxfId="3958" priority="2590" operator="containsText" text="ds">
      <formula>NOT(ISERROR(SEARCH("ds",AO25)))</formula>
    </cfRule>
    <cfRule type="containsText" dxfId="3957" priority="2591" operator="containsText" text="subobs">
      <formula>NOT(ISERROR(SEARCH("subobs",AO25)))</formula>
    </cfRule>
    <cfRule type="containsText" dxfId="3956" priority="2592" operator="containsText" text="Call">
      <formula>NOT(ISERROR(SEARCH("Call",AO25)))</formula>
    </cfRule>
  </conditionalFormatting>
  <conditionalFormatting sqref="AV25">
    <cfRule type="containsText" dxfId="3955" priority="2532" operator="containsText" text="9ab">
      <formula>NOT(ISERROR(SEARCH("9ab",AV25)))</formula>
    </cfRule>
    <cfRule type="cellIs" dxfId="3954" priority="2533" stopIfTrue="1" operator="equal">
      <formula>"leave"</formula>
    </cfRule>
    <cfRule type="containsText" dxfId="3953" priority="2534" operator="containsText" text="ds">
      <formula>NOT(ISERROR(SEARCH("ds",AV25)))</formula>
    </cfRule>
    <cfRule type="containsText" dxfId="3952" priority="2535" operator="containsText" text="subobs">
      <formula>NOT(ISERROR(SEARCH("subobs",AV25)))</formula>
    </cfRule>
    <cfRule type="containsText" dxfId="3951" priority="2536" operator="containsText" text="Call">
      <formula>NOT(ISERROR(SEARCH("Call",AV25)))</formula>
    </cfRule>
    <cfRule type="containsText" dxfId="3950" priority="2538" operator="containsText" text="9ab">
      <formula>NOT(ISERROR(SEARCH("9ab",AV25)))</formula>
    </cfRule>
    <cfRule type="cellIs" dxfId="3949" priority="2539" stopIfTrue="1" operator="equal">
      <formula>"leave"</formula>
    </cfRule>
    <cfRule type="containsText" dxfId="3948" priority="2540" operator="containsText" text="ds">
      <formula>NOT(ISERROR(SEARCH("ds",AV25)))</formula>
    </cfRule>
    <cfRule type="containsText" dxfId="3947" priority="2541" operator="containsText" text="subobs">
      <formula>NOT(ISERROR(SEARCH("subobs",AV25)))</formula>
    </cfRule>
    <cfRule type="containsText" dxfId="3946" priority="2542" stopIfTrue="1" operator="containsText" text="(Call)">
      <formula>NOT(ISERROR(SEARCH("(Call)",AV25)))</formula>
    </cfRule>
    <cfRule type="containsText" dxfId="3945" priority="2544" operator="containsText" text="9ab">
      <formula>NOT(ISERROR(SEARCH("9ab",AV25)))</formula>
    </cfRule>
    <cfRule type="cellIs" dxfId="3944" priority="2545" stopIfTrue="1" operator="equal">
      <formula>"leave"</formula>
    </cfRule>
    <cfRule type="containsText" dxfId="3943" priority="2546" operator="containsText" text="ds">
      <formula>NOT(ISERROR(SEARCH("ds",AV25)))</formula>
    </cfRule>
    <cfRule type="containsText" dxfId="3942" priority="2547" operator="containsText" text="subobs">
      <formula>NOT(ISERROR(SEARCH("subobs",AV25)))</formula>
    </cfRule>
    <cfRule type="containsText" dxfId="3941" priority="2548" operator="containsText" text="Call">
      <formula>NOT(ISERROR(SEARCH("Call",AV25)))</formula>
    </cfRule>
    <cfRule type="cellIs" dxfId="3940" priority="2550" operator="equal">
      <formula>0</formula>
    </cfRule>
    <cfRule type="containsText" dxfId="3939" priority="2551" operator="containsText" text="9ab">
      <formula>NOT(ISERROR(SEARCH("9ab",AV25)))</formula>
    </cfRule>
    <cfRule type="cellIs" dxfId="3938" priority="2552" stopIfTrue="1" operator="equal">
      <formula>"leave"</formula>
    </cfRule>
    <cfRule type="containsText" dxfId="3937" priority="2553" operator="containsText" text="ds">
      <formula>NOT(ISERROR(SEARCH("ds",AV25)))</formula>
    </cfRule>
    <cfRule type="containsText" dxfId="3936" priority="2554" operator="containsText" text="subobs">
      <formula>NOT(ISERROR(SEARCH("subobs",AV25)))</formula>
    </cfRule>
    <cfRule type="containsText" dxfId="3935" priority="2555" operator="containsText" text="Call">
      <formula>NOT(ISERROR(SEARCH("Call",AV25)))</formula>
    </cfRule>
  </conditionalFormatting>
  <conditionalFormatting sqref="AV25">
    <cfRule type="containsText" dxfId="3934" priority="2557" operator="containsText" text="9ab">
      <formula>NOT(ISERROR(SEARCH("9ab",AV25)))</formula>
    </cfRule>
    <cfRule type="cellIs" dxfId="3933" priority="2558" stopIfTrue="1" operator="equal">
      <formula>"leave"</formula>
    </cfRule>
    <cfRule type="containsText" dxfId="3932" priority="2559" operator="containsText" text="ds">
      <formula>NOT(ISERROR(SEARCH("ds",AV25)))</formula>
    </cfRule>
    <cfRule type="containsText" dxfId="3931" priority="2560" operator="containsText" text="subobs">
      <formula>NOT(ISERROR(SEARCH("subobs",AV25)))</formula>
    </cfRule>
    <cfRule type="containsText" dxfId="3930" priority="2561" operator="containsText" text="Call">
      <formula>NOT(ISERROR(SEARCH("Call",AV25)))</formula>
    </cfRule>
  </conditionalFormatting>
  <conditionalFormatting sqref="F25">
    <cfRule type="containsText" dxfId="3903" priority="2470" operator="containsText" text="9ab">
      <formula>NOT(ISERROR(SEARCH("9ab",F25)))</formula>
    </cfRule>
    <cfRule type="cellIs" dxfId="3902" priority="2471" stopIfTrue="1" operator="equal">
      <formula>"leave"</formula>
    </cfRule>
    <cfRule type="containsText" dxfId="3901" priority="2472" operator="containsText" text="ds">
      <formula>NOT(ISERROR(SEARCH("ds",F25)))</formula>
    </cfRule>
    <cfRule type="containsText" dxfId="3900" priority="2473" operator="containsText" text="subobs">
      <formula>NOT(ISERROR(SEARCH("subobs",F25)))</formula>
    </cfRule>
    <cfRule type="containsText" dxfId="3899" priority="2474" operator="containsText" text="Call">
      <formula>NOT(ISERROR(SEARCH("Call",F25)))</formula>
    </cfRule>
    <cfRule type="containsText" dxfId="3898" priority="2476" operator="containsText" text="9ab">
      <formula>NOT(ISERROR(SEARCH("9ab",F25)))</formula>
    </cfRule>
    <cfRule type="cellIs" dxfId="3897" priority="2477" stopIfTrue="1" operator="equal">
      <formula>"leave"</formula>
    </cfRule>
    <cfRule type="containsText" dxfId="3896" priority="2478" operator="containsText" text="ds">
      <formula>NOT(ISERROR(SEARCH("ds",F25)))</formula>
    </cfRule>
    <cfRule type="containsText" dxfId="3895" priority="2479" operator="containsText" text="subobs">
      <formula>NOT(ISERROR(SEARCH("subobs",F25)))</formula>
    </cfRule>
    <cfRule type="containsText" dxfId="3894" priority="2480" stopIfTrue="1" operator="containsText" text="(Call)">
      <formula>NOT(ISERROR(SEARCH("(Call)",F25)))</formula>
    </cfRule>
    <cfRule type="containsText" dxfId="3893" priority="2482" operator="containsText" text="9ab">
      <formula>NOT(ISERROR(SEARCH("9ab",F25)))</formula>
    </cfRule>
    <cfRule type="cellIs" dxfId="3892" priority="2483" stopIfTrue="1" operator="equal">
      <formula>"leave"</formula>
    </cfRule>
    <cfRule type="containsText" dxfId="3891" priority="2484" operator="containsText" text="ds">
      <formula>NOT(ISERROR(SEARCH("ds",F25)))</formula>
    </cfRule>
    <cfRule type="containsText" dxfId="3890" priority="2485" operator="containsText" text="subobs">
      <formula>NOT(ISERROR(SEARCH("subobs",F25)))</formula>
    </cfRule>
    <cfRule type="containsText" dxfId="3889" priority="2486" operator="containsText" text="Call">
      <formula>NOT(ISERROR(SEARCH("Call",F25)))</formula>
    </cfRule>
    <cfRule type="cellIs" dxfId="3888" priority="2488" operator="equal">
      <formula>0</formula>
    </cfRule>
    <cfRule type="containsText" dxfId="3887" priority="2489" operator="containsText" text="9ab">
      <formula>NOT(ISERROR(SEARCH("9ab",F25)))</formula>
    </cfRule>
    <cfRule type="cellIs" dxfId="3886" priority="2490" stopIfTrue="1" operator="equal">
      <formula>"leave"</formula>
    </cfRule>
    <cfRule type="containsText" dxfId="3885" priority="2491" operator="containsText" text="ds">
      <formula>NOT(ISERROR(SEARCH("ds",F25)))</formula>
    </cfRule>
    <cfRule type="containsText" dxfId="3884" priority="2492" operator="containsText" text="subobs">
      <formula>NOT(ISERROR(SEARCH("subobs",F25)))</formula>
    </cfRule>
    <cfRule type="containsText" dxfId="3883" priority="2493" operator="containsText" text="Call">
      <formula>NOT(ISERROR(SEARCH("Call",F25)))</formula>
    </cfRule>
  </conditionalFormatting>
  <conditionalFormatting sqref="F25">
    <cfRule type="containsText" dxfId="3882" priority="2495" operator="containsText" text="9ab">
      <formula>NOT(ISERROR(SEARCH("9ab",F25)))</formula>
    </cfRule>
    <cfRule type="cellIs" dxfId="3881" priority="2496" stopIfTrue="1" operator="equal">
      <formula>"leave"</formula>
    </cfRule>
    <cfRule type="containsText" dxfId="3880" priority="2497" operator="containsText" text="ds">
      <formula>NOT(ISERROR(SEARCH("ds",F25)))</formula>
    </cfRule>
    <cfRule type="containsText" dxfId="3879" priority="2498" operator="containsText" text="subobs">
      <formula>NOT(ISERROR(SEARCH("subobs",F25)))</formula>
    </cfRule>
    <cfRule type="containsText" dxfId="3878" priority="2499" operator="containsText" text="Call">
      <formula>NOT(ISERROR(SEARCH("Call",F25)))</formula>
    </cfRule>
  </conditionalFormatting>
  <conditionalFormatting sqref="M25">
    <cfRule type="containsText" dxfId="3877" priority="2439" operator="containsText" text="9ab">
      <formula>NOT(ISERROR(SEARCH("9ab",M25)))</formula>
    </cfRule>
    <cfRule type="cellIs" dxfId="3876" priority="2440" stopIfTrue="1" operator="equal">
      <formula>"leave"</formula>
    </cfRule>
    <cfRule type="containsText" dxfId="3875" priority="2441" operator="containsText" text="ds">
      <formula>NOT(ISERROR(SEARCH("ds",M25)))</formula>
    </cfRule>
    <cfRule type="containsText" dxfId="3874" priority="2442" operator="containsText" text="subobs">
      <formula>NOT(ISERROR(SEARCH("subobs",M25)))</formula>
    </cfRule>
    <cfRule type="containsText" dxfId="3873" priority="2443" operator="containsText" text="Call">
      <formula>NOT(ISERROR(SEARCH("Call",M25)))</formula>
    </cfRule>
    <cfRule type="containsText" dxfId="3872" priority="2445" operator="containsText" text="9ab">
      <formula>NOT(ISERROR(SEARCH("9ab",M25)))</formula>
    </cfRule>
    <cfRule type="cellIs" dxfId="3871" priority="2446" stopIfTrue="1" operator="equal">
      <formula>"leave"</formula>
    </cfRule>
    <cfRule type="containsText" dxfId="3870" priority="2447" operator="containsText" text="ds">
      <formula>NOT(ISERROR(SEARCH("ds",M25)))</formula>
    </cfRule>
    <cfRule type="containsText" dxfId="3869" priority="2448" operator="containsText" text="subobs">
      <formula>NOT(ISERROR(SEARCH("subobs",M25)))</formula>
    </cfRule>
    <cfRule type="containsText" dxfId="3868" priority="2449" stopIfTrue="1" operator="containsText" text="(Call)">
      <formula>NOT(ISERROR(SEARCH("(Call)",M25)))</formula>
    </cfRule>
    <cfRule type="containsText" dxfId="3867" priority="2451" operator="containsText" text="9ab">
      <formula>NOT(ISERROR(SEARCH("9ab",M25)))</formula>
    </cfRule>
    <cfRule type="cellIs" dxfId="3866" priority="2452" stopIfTrue="1" operator="equal">
      <formula>"leave"</formula>
    </cfRule>
    <cfRule type="containsText" dxfId="3865" priority="2453" operator="containsText" text="ds">
      <formula>NOT(ISERROR(SEARCH("ds",M25)))</formula>
    </cfRule>
    <cfRule type="containsText" dxfId="3864" priority="2454" operator="containsText" text="subobs">
      <formula>NOT(ISERROR(SEARCH("subobs",M25)))</formula>
    </cfRule>
    <cfRule type="containsText" dxfId="3863" priority="2455" operator="containsText" text="Call">
      <formula>NOT(ISERROR(SEARCH("Call",M25)))</formula>
    </cfRule>
    <cfRule type="cellIs" dxfId="3862" priority="2457" operator="equal">
      <formula>0</formula>
    </cfRule>
    <cfRule type="containsText" dxfId="3861" priority="2458" operator="containsText" text="9ab">
      <formula>NOT(ISERROR(SEARCH("9ab",M25)))</formula>
    </cfRule>
    <cfRule type="cellIs" dxfId="3860" priority="2459" stopIfTrue="1" operator="equal">
      <formula>"leave"</formula>
    </cfRule>
    <cfRule type="containsText" dxfId="3859" priority="2460" operator="containsText" text="ds">
      <formula>NOT(ISERROR(SEARCH("ds",M25)))</formula>
    </cfRule>
    <cfRule type="containsText" dxfId="3858" priority="2461" operator="containsText" text="subobs">
      <formula>NOT(ISERROR(SEARCH("subobs",M25)))</formula>
    </cfRule>
    <cfRule type="containsText" dxfId="3857" priority="2462" operator="containsText" text="Call">
      <formula>NOT(ISERROR(SEARCH("Call",M25)))</formula>
    </cfRule>
  </conditionalFormatting>
  <conditionalFormatting sqref="M25">
    <cfRule type="containsText" dxfId="3856" priority="2464" operator="containsText" text="9ab">
      <formula>NOT(ISERROR(SEARCH("9ab",M25)))</formula>
    </cfRule>
    <cfRule type="cellIs" dxfId="3855" priority="2465" stopIfTrue="1" operator="equal">
      <formula>"leave"</formula>
    </cfRule>
    <cfRule type="containsText" dxfId="3854" priority="2466" operator="containsText" text="ds">
      <formula>NOT(ISERROR(SEARCH("ds",M25)))</formula>
    </cfRule>
    <cfRule type="containsText" dxfId="3853" priority="2467" operator="containsText" text="subobs">
      <formula>NOT(ISERROR(SEARCH("subobs",M25)))</formula>
    </cfRule>
    <cfRule type="containsText" dxfId="3852" priority="2468" operator="containsText" text="Call">
      <formula>NOT(ISERROR(SEARCH("Call",M25)))</formula>
    </cfRule>
  </conditionalFormatting>
  <conditionalFormatting sqref="T25">
    <cfRule type="containsText" dxfId="3851" priority="2408" operator="containsText" text="9ab">
      <formula>NOT(ISERROR(SEARCH("9ab",T25)))</formula>
    </cfRule>
    <cfRule type="cellIs" dxfId="3850" priority="2409" stopIfTrue="1" operator="equal">
      <formula>"leave"</formula>
    </cfRule>
    <cfRule type="containsText" dxfId="3849" priority="2410" operator="containsText" text="ds">
      <formula>NOT(ISERROR(SEARCH("ds",T25)))</formula>
    </cfRule>
    <cfRule type="containsText" dxfId="3848" priority="2411" operator="containsText" text="subobs">
      <formula>NOT(ISERROR(SEARCH("subobs",T25)))</formula>
    </cfRule>
    <cfRule type="containsText" dxfId="3847" priority="2412" operator="containsText" text="Call">
      <formula>NOT(ISERROR(SEARCH("Call",T25)))</formula>
    </cfRule>
    <cfRule type="containsText" dxfId="3846" priority="2414" operator="containsText" text="9ab">
      <formula>NOT(ISERROR(SEARCH("9ab",T25)))</formula>
    </cfRule>
    <cfRule type="cellIs" dxfId="3845" priority="2415" stopIfTrue="1" operator="equal">
      <formula>"leave"</formula>
    </cfRule>
    <cfRule type="containsText" dxfId="3844" priority="2416" operator="containsText" text="ds">
      <formula>NOT(ISERROR(SEARCH("ds",T25)))</formula>
    </cfRule>
    <cfRule type="containsText" dxfId="3843" priority="2417" operator="containsText" text="subobs">
      <formula>NOT(ISERROR(SEARCH("subobs",T25)))</formula>
    </cfRule>
    <cfRule type="containsText" dxfId="3842" priority="2418" stopIfTrue="1" operator="containsText" text="(Call)">
      <formula>NOT(ISERROR(SEARCH("(Call)",T25)))</formula>
    </cfRule>
    <cfRule type="containsText" dxfId="3841" priority="2420" operator="containsText" text="9ab">
      <formula>NOT(ISERROR(SEARCH("9ab",T25)))</formula>
    </cfRule>
    <cfRule type="cellIs" dxfId="3840" priority="2421" stopIfTrue="1" operator="equal">
      <formula>"leave"</formula>
    </cfRule>
    <cfRule type="containsText" dxfId="3839" priority="2422" operator="containsText" text="ds">
      <formula>NOT(ISERROR(SEARCH("ds",T25)))</formula>
    </cfRule>
    <cfRule type="containsText" dxfId="3838" priority="2423" operator="containsText" text="subobs">
      <formula>NOT(ISERROR(SEARCH("subobs",T25)))</formula>
    </cfRule>
    <cfRule type="containsText" dxfId="3837" priority="2424" operator="containsText" text="Call">
      <formula>NOT(ISERROR(SEARCH("Call",T25)))</formula>
    </cfRule>
    <cfRule type="cellIs" dxfId="3836" priority="2426" operator="equal">
      <formula>0</formula>
    </cfRule>
    <cfRule type="containsText" dxfId="3835" priority="2427" operator="containsText" text="9ab">
      <formula>NOT(ISERROR(SEARCH("9ab",T25)))</formula>
    </cfRule>
    <cfRule type="cellIs" dxfId="3834" priority="2428" stopIfTrue="1" operator="equal">
      <formula>"leave"</formula>
    </cfRule>
    <cfRule type="containsText" dxfId="3833" priority="2429" operator="containsText" text="ds">
      <formula>NOT(ISERROR(SEARCH("ds",T25)))</formula>
    </cfRule>
    <cfRule type="containsText" dxfId="3832" priority="2430" operator="containsText" text="subobs">
      <formula>NOT(ISERROR(SEARCH("subobs",T25)))</formula>
    </cfRule>
    <cfRule type="containsText" dxfId="3831" priority="2431" operator="containsText" text="Call">
      <formula>NOT(ISERROR(SEARCH("Call",T25)))</formula>
    </cfRule>
  </conditionalFormatting>
  <conditionalFormatting sqref="T25">
    <cfRule type="containsText" dxfId="3830" priority="2433" operator="containsText" text="9ab">
      <formula>NOT(ISERROR(SEARCH("9ab",T25)))</formula>
    </cfRule>
    <cfRule type="cellIs" dxfId="3829" priority="2434" stopIfTrue="1" operator="equal">
      <formula>"leave"</formula>
    </cfRule>
    <cfRule type="containsText" dxfId="3828" priority="2435" operator="containsText" text="ds">
      <formula>NOT(ISERROR(SEARCH("ds",T25)))</formula>
    </cfRule>
    <cfRule type="containsText" dxfId="3827" priority="2436" operator="containsText" text="subobs">
      <formula>NOT(ISERROR(SEARCH("subobs",T25)))</formula>
    </cfRule>
    <cfRule type="containsText" dxfId="3826" priority="2437" operator="containsText" text="Call">
      <formula>NOT(ISERROR(SEARCH("Call",T25)))</formula>
    </cfRule>
  </conditionalFormatting>
  <conditionalFormatting sqref="AA25">
    <cfRule type="containsText" dxfId="3825" priority="2377" operator="containsText" text="9ab">
      <formula>NOT(ISERROR(SEARCH("9ab",AA25)))</formula>
    </cfRule>
    <cfRule type="cellIs" dxfId="3824" priority="2378" stopIfTrue="1" operator="equal">
      <formula>"leave"</formula>
    </cfRule>
    <cfRule type="containsText" dxfId="3823" priority="2379" operator="containsText" text="ds">
      <formula>NOT(ISERROR(SEARCH("ds",AA25)))</formula>
    </cfRule>
    <cfRule type="containsText" dxfId="3822" priority="2380" operator="containsText" text="subobs">
      <formula>NOT(ISERROR(SEARCH("subobs",AA25)))</formula>
    </cfRule>
    <cfRule type="containsText" dxfId="3821" priority="2381" operator="containsText" text="Call">
      <formula>NOT(ISERROR(SEARCH("Call",AA25)))</formula>
    </cfRule>
    <cfRule type="containsText" dxfId="3820" priority="2383" operator="containsText" text="9ab">
      <formula>NOT(ISERROR(SEARCH("9ab",AA25)))</formula>
    </cfRule>
    <cfRule type="cellIs" dxfId="3819" priority="2384" stopIfTrue="1" operator="equal">
      <formula>"leave"</formula>
    </cfRule>
    <cfRule type="containsText" dxfId="3818" priority="2385" operator="containsText" text="ds">
      <formula>NOT(ISERROR(SEARCH("ds",AA25)))</formula>
    </cfRule>
    <cfRule type="containsText" dxfId="3817" priority="2386" operator="containsText" text="subobs">
      <formula>NOT(ISERROR(SEARCH("subobs",AA25)))</formula>
    </cfRule>
    <cfRule type="containsText" dxfId="3816" priority="2387" stopIfTrue="1" operator="containsText" text="(Call)">
      <formula>NOT(ISERROR(SEARCH("(Call)",AA25)))</formula>
    </cfRule>
    <cfRule type="containsText" dxfId="3815" priority="2389" operator="containsText" text="9ab">
      <formula>NOT(ISERROR(SEARCH("9ab",AA25)))</formula>
    </cfRule>
    <cfRule type="cellIs" dxfId="3814" priority="2390" stopIfTrue="1" operator="equal">
      <formula>"leave"</formula>
    </cfRule>
    <cfRule type="containsText" dxfId="3813" priority="2391" operator="containsText" text="ds">
      <formula>NOT(ISERROR(SEARCH("ds",AA25)))</formula>
    </cfRule>
    <cfRule type="containsText" dxfId="3812" priority="2392" operator="containsText" text="subobs">
      <formula>NOT(ISERROR(SEARCH("subobs",AA25)))</formula>
    </cfRule>
    <cfRule type="containsText" dxfId="3811" priority="2393" operator="containsText" text="Call">
      <formula>NOT(ISERROR(SEARCH("Call",AA25)))</formula>
    </cfRule>
    <cfRule type="cellIs" dxfId="3810" priority="2395" operator="equal">
      <formula>0</formula>
    </cfRule>
    <cfRule type="containsText" dxfId="3809" priority="2396" operator="containsText" text="9ab">
      <formula>NOT(ISERROR(SEARCH("9ab",AA25)))</formula>
    </cfRule>
    <cfRule type="cellIs" dxfId="3808" priority="2397" stopIfTrue="1" operator="equal">
      <formula>"leave"</formula>
    </cfRule>
    <cfRule type="containsText" dxfId="3807" priority="2398" operator="containsText" text="ds">
      <formula>NOT(ISERROR(SEARCH("ds",AA25)))</formula>
    </cfRule>
    <cfRule type="containsText" dxfId="3806" priority="2399" operator="containsText" text="subobs">
      <formula>NOT(ISERROR(SEARCH("subobs",AA25)))</formula>
    </cfRule>
    <cfRule type="containsText" dxfId="3805" priority="2400" operator="containsText" text="Call">
      <formula>NOT(ISERROR(SEARCH("Call",AA25)))</formula>
    </cfRule>
  </conditionalFormatting>
  <conditionalFormatting sqref="AA25">
    <cfRule type="containsText" dxfId="3804" priority="2402" operator="containsText" text="9ab">
      <formula>NOT(ISERROR(SEARCH("9ab",AA25)))</formula>
    </cfRule>
    <cfRule type="cellIs" dxfId="3803" priority="2403" stopIfTrue="1" operator="equal">
      <formula>"leave"</formula>
    </cfRule>
    <cfRule type="containsText" dxfId="3802" priority="2404" operator="containsText" text="ds">
      <formula>NOT(ISERROR(SEARCH("ds",AA25)))</formula>
    </cfRule>
    <cfRule type="containsText" dxfId="3801" priority="2405" operator="containsText" text="subobs">
      <formula>NOT(ISERROR(SEARCH("subobs",AA25)))</formula>
    </cfRule>
    <cfRule type="containsText" dxfId="3800" priority="2406" operator="containsText" text="Call">
      <formula>NOT(ISERROR(SEARCH("Call",AA25)))</formula>
    </cfRule>
  </conditionalFormatting>
  <conditionalFormatting sqref="AH25">
    <cfRule type="containsText" dxfId="3799" priority="2346" operator="containsText" text="9ab">
      <formula>NOT(ISERROR(SEARCH("9ab",AH25)))</formula>
    </cfRule>
    <cfRule type="cellIs" dxfId="3798" priority="2347" stopIfTrue="1" operator="equal">
      <formula>"leave"</formula>
    </cfRule>
    <cfRule type="containsText" dxfId="3797" priority="2348" operator="containsText" text="ds">
      <formula>NOT(ISERROR(SEARCH("ds",AH25)))</formula>
    </cfRule>
    <cfRule type="containsText" dxfId="3796" priority="2349" operator="containsText" text="subobs">
      <formula>NOT(ISERROR(SEARCH("subobs",AH25)))</formula>
    </cfRule>
    <cfRule type="containsText" dxfId="3795" priority="2350" operator="containsText" text="Call">
      <formula>NOT(ISERROR(SEARCH("Call",AH25)))</formula>
    </cfRule>
    <cfRule type="containsText" dxfId="3794" priority="2352" operator="containsText" text="9ab">
      <formula>NOT(ISERROR(SEARCH("9ab",AH25)))</formula>
    </cfRule>
    <cfRule type="cellIs" dxfId="3793" priority="2353" stopIfTrue="1" operator="equal">
      <formula>"leave"</formula>
    </cfRule>
    <cfRule type="containsText" dxfId="3792" priority="2354" operator="containsText" text="ds">
      <formula>NOT(ISERROR(SEARCH("ds",AH25)))</formula>
    </cfRule>
    <cfRule type="containsText" dxfId="3791" priority="2355" operator="containsText" text="subobs">
      <formula>NOT(ISERROR(SEARCH("subobs",AH25)))</formula>
    </cfRule>
    <cfRule type="containsText" dxfId="3790" priority="2356" stopIfTrue="1" operator="containsText" text="(Call)">
      <formula>NOT(ISERROR(SEARCH("(Call)",AH25)))</formula>
    </cfRule>
    <cfRule type="containsText" dxfId="3789" priority="2358" operator="containsText" text="9ab">
      <formula>NOT(ISERROR(SEARCH("9ab",AH25)))</formula>
    </cfRule>
    <cfRule type="cellIs" dxfId="3788" priority="2359" stopIfTrue="1" operator="equal">
      <formula>"leave"</formula>
    </cfRule>
    <cfRule type="containsText" dxfId="3787" priority="2360" operator="containsText" text="ds">
      <formula>NOT(ISERROR(SEARCH("ds",AH25)))</formula>
    </cfRule>
    <cfRule type="containsText" dxfId="3786" priority="2361" operator="containsText" text="subobs">
      <formula>NOT(ISERROR(SEARCH("subobs",AH25)))</formula>
    </cfRule>
    <cfRule type="containsText" dxfId="3785" priority="2362" operator="containsText" text="Call">
      <formula>NOT(ISERROR(SEARCH("Call",AH25)))</formula>
    </cfRule>
    <cfRule type="cellIs" dxfId="3784" priority="2364" operator="equal">
      <formula>0</formula>
    </cfRule>
    <cfRule type="containsText" dxfId="3783" priority="2365" operator="containsText" text="9ab">
      <formula>NOT(ISERROR(SEARCH("9ab",AH25)))</formula>
    </cfRule>
    <cfRule type="cellIs" dxfId="3782" priority="2366" stopIfTrue="1" operator="equal">
      <formula>"leave"</formula>
    </cfRule>
    <cfRule type="containsText" dxfId="3781" priority="2367" operator="containsText" text="ds">
      <formula>NOT(ISERROR(SEARCH("ds",AH25)))</formula>
    </cfRule>
    <cfRule type="containsText" dxfId="3780" priority="2368" operator="containsText" text="subobs">
      <formula>NOT(ISERROR(SEARCH("subobs",AH25)))</formula>
    </cfRule>
    <cfRule type="containsText" dxfId="3779" priority="2369" operator="containsText" text="Call">
      <formula>NOT(ISERROR(SEARCH("Call",AH25)))</formula>
    </cfRule>
  </conditionalFormatting>
  <conditionalFormatting sqref="AH25">
    <cfRule type="containsText" dxfId="3778" priority="2371" operator="containsText" text="9ab">
      <formula>NOT(ISERROR(SEARCH("9ab",AH25)))</formula>
    </cfRule>
    <cfRule type="cellIs" dxfId="3777" priority="2372" stopIfTrue="1" operator="equal">
      <formula>"leave"</formula>
    </cfRule>
    <cfRule type="containsText" dxfId="3776" priority="2373" operator="containsText" text="ds">
      <formula>NOT(ISERROR(SEARCH("ds",AH25)))</formula>
    </cfRule>
    <cfRule type="containsText" dxfId="3775" priority="2374" operator="containsText" text="subobs">
      <formula>NOT(ISERROR(SEARCH("subobs",AH25)))</formula>
    </cfRule>
    <cfRule type="containsText" dxfId="3774" priority="2375" operator="containsText" text="Call">
      <formula>NOT(ISERROR(SEARCH("Call",AH25)))</formula>
    </cfRule>
  </conditionalFormatting>
  <conditionalFormatting sqref="AO25">
    <cfRule type="containsText" dxfId="3773" priority="2315" operator="containsText" text="9ab">
      <formula>NOT(ISERROR(SEARCH("9ab",AO25)))</formula>
    </cfRule>
    <cfRule type="cellIs" dxfId="3772" priority="2316" stopIfTrue="1" operator="equal">
      <formula>"leave"</formula>
    </cfRule>
    <cfRule type="containsText" dxfId="3771" priority="2317" operator="containsText" text="ds">
      <formula>NOT(ISERROR(SEARCH("ds",AO25)))</formula>
    </cfRule>
    <cfRule type="containsText" dxfId="3770" priority="2318" operator="containsText" text="subobs">
      <formula>NOT(ISERROR(SEARCH("subobs",AO25)))</formula>
    </cfRule>
    <cfRule type="containsText" dxfId="3769" priority="2319" operator="containsText" text="Call">
      <formula>NOT(ISERROR(SEARCH("Call",AO25)))</formula>
    </cfRule>
    <cfRule type="containsText" dxfId="3768" priority="2321" operator="containsText" text="9ab">
      <formula>NOT(ISERROR(SEARCH("9ab",AO25)))</formula>
    </cfRule>
    <cfRule type="cellIs" dxfId="3767" priority="2322" stopIfTrue="1" operator="equal">
      <formula>"leave"</formula>
    </cfRule>
    <cfRule type="containsText" dxfId="3766" priority="2323" operator="containsText" text="ds">
      <formula>NOT(ISERROR(SEARCH("ds",AO25)))</formula>
    </cfRule>
    <cfRule type="containsText" dxfId="3765" priority="2324" operator="containsText" text="subobs">
      <formula>NOT(ISERROR(SEARCH("subobs",AO25)))</formula>
    </cfRule>
    <cfRule type="containsText" dxfId="3764" priority="2325" stopIfTrue="1" operator="containsText" text="(Call)">
      <formula>NOT(ISERROR(SEARCH("(Call)",AO25)))</formula>
    </cfRule>
    <cfRule type="containsText" dxfId="3763" priority="2327" operator="containsText" text="9ab">
      <formula>NOT(ISERROR(SEARCH("9ab",AO25)))</formula>
    </cfRule>
    <cfRule type="cellIs" dxfId="3762" priority="2328" stopIfTrue="1" operator="equal">
      <formula>"leave"</formula>
    </cfRule>
    <cfRule type="containsText" dxfId="3761" priority="2329" operator="containsText" text="ds">
      <formula>NOT(ISERROR(SEARCH("ds",AO25)))</formula>
    </cfRule>
    <cfRule type="containsText" dxfId="3760" priority="2330" operator="containsText" text="subobs">
      <formula>NOT(ISERROR(SEARCH("subobs",AO25)))</formula>
    </cfRule>
    <cfRule type="containsText" dxfId="3759" priority="2331" operator="containsText" text="Call">
      <formula>NOT(ISERROR(SEARCH("Call",AO25)))</formula>
    </cfRule>
    <cfRule type="cellIs" dxfId="3758" priority="2333" operator="equal">
      <formula>0</formula>
    </cfRule>
    <cfRule type="containsText" dxfId="3757" priority="2334" operator="containsText" text="9ab">
      <formula>NOT(ISERROR(SEARCH("9ab",AO25)))</formula>
    </cfRule>
    <cfRule type="cellIs" dxfId="3756" priority="2335" stopIfTrue="1" operator="equal">
      <formula>"leave"</formula>
    </cfRule>
    <cfRule type="containsText" dxfId="3755" priority="2336" operator="containsText" text="ds">
      <formula>NOT(ISERROR(SEARCH("ds",AO25)))</formula>
    </cfRule>
    <cfRule type="containsText" dxfId="3754" priority="2337" operator="containsText" text="subobs">
      <formula>NOT(ISERROR(SEARCH("subobs",AO25)))</formula>
    </cfRule>
    <cfRule type="containsText" dxfId="3753" priority="2338" operator="containsText" text="Call">
      <formula>NOT(ISERROR(SEARCH("Call",AO25)))</formula>
    </cfRule>
  </conditionalFormatting>
  <conditionalFormatting sqref="AO25">
    <cfRule type="containsText" dxfId="3752" priority="2340" operator="containsText" text="9ab">
      <formula>NOT(ISERROR(SEARCH("9ab",AO25)))</formula>
    </cfRule>
    <cfRule type="cellIs" dxfId="3751" priority="2341" stopIfTrue="1" operator="equal">
      <formula>"leave"</formula>
    </cfRule>
    <cfRule type="containsText" dxfId="3750" priority="2342" operator="containsText" text="ds">
      <formula>NOT(ISERROR(SEARCH("ds",AO25)))</formula>
    </cfRule>
    <cfRule type="containsText" dxfId="3749" priority="2343" operator="containsText" text="subobs">
      <formula>NOT(ISERROR(SEARCH("subobs",AO25)))</formula>
    </cfRule>
    <cfRule type="containsText" dxfId="3748" priority="2344" operator="containsText" text="Call">
      <formula>NOT(ISERROR(SEARCH("Call",AO25)))</formula>
    </cfRule>
  </conditionalFormatting>
  <conditionalFormatting sqref="AV25">
    <cfRule type="containsText" dxfId="3747" priority="2284" operator="containsText" text="9ab">
      <formula>NOT(ISERROR(SEARCH("9ab",AV25)))</formula>
    </cfRule>
    <cfRule type="cellIs" dxfId="3746" priority="2285" stopIfTrue="1" operator="equal">
      <formula>"leave"</formula>
    </cfRule>
    <cfRule type="containsText" dxfId="3745" priority="2286" operator="containsText" text="ds">
      <formula>NOT(ISERROR(SEARCH("ds",AV25)))</formula>
    </cfRule>
    <cfRule type="containsText" dxfId="3744" priority="2287" operator="containsText" text="subobs">
      <formula>NOT(ISERROR(SEARCH("subobs",AV25)))</formula>
    </cfRule>
    <cfRule type="containsText" dxfId="3743" priority="2288" operator="containsText" text="Call">
      <formula>NOT(ISERROR(SEARCH("Call",AV25)))</formula>
    </cfRule>
    <cfRule type="containsText" dxfId="3742" priority="2290" operator="containsText" text="9ab">
      <formula>NOT(ISERROR(SEARCH("9ab",AV25)))</formula>
    </cfRule>
    <cfRule type="cellIs" dxfId="3741" priority="2291" stopIfTrue="1" operator="equal">
      <formula>"leave"</formula>
    </cfRule>
    <cfRule type="containsText" dxfId="3740" priority="2292" operator="containsText" text="ds">
      <formula>NOT(ISERROR(SEARCH("ds",AV25)))</formula>
    </cfRule>
    <cfRule type="containsText" dxfId="3739" priority="2293" operator="containsText" text="subobs">
      <formula>NOT(ISERROR(SEARCH("subobs",AV25)))</formula>
    </cfRule>
    <cfRule type="containsText" dxfId="3738" priority="2294" stopIfTrue="1" operator="containsText" text="(Call)">
      <formula>NOT(ISERROR(SEARCH("(Call)",AV25)))</formula>
    </cfRule>
    <cfRule type="containsText" dxfId="3737" priority="2296" operator="containsText" text="9ab">
      <formula>NOT(ISERROR(SEARCH("9ab",AV25)))</formula>
    </cfRule>
    <cfRule type="cellIs" dxfId="3736" priority="2297" stopIfTrue="1" operator="equal">
      <formula>"leave"</formula>
    </cfRule>
    <cfRule type="containsText" dxfId="3735" priority="2298" operator="containsText" text="ds">
      <formula>NOT(ISERROR(SEARCH("ds",AV25)))</formula>
    </cfRule>
    <cfRule type="containsText" dxfId="3734" priority="2299" operator="containsText" text="subobs">
      <formula>NOT(ISERROR(SEARCH("subobs",AV25)))</formula>
    </cfRule>
    <cfRule type="containsText" dxfId="3733" priority="2300" operator="containsText" text="Call">
      <formula>NOT(ISERROR(SEARCH("Call",AV25)))</formula>
    </cfRule>
    <cfRule type="cellIs" dxfId="3732" priority="2302" operator="equal">
      <formula>0</formula>
    </cfRule>
    <cfRule type="containsText" dxfId="3731" priority="2303" operator="containsText" text="9ab">
      <formula>NOT(ISERROR(SEARCH("9ab",AV25)))</formula>
    </cfRule>
    <cfRule type="cellIs" dxfId="3730" priority="2304" stopIfTrue="1" operator="equal">
      <formula>"leave"</formula>
    </cfRule>
    <cfRule type="containsText" dxfId="3729" priority="2305" operator="containsText" text="ds">
      <formula>NOT(ISERROR(SEARCH("ds",AV25)))</formula>
    </cfRule>
    <cfRule type="containsText" dxfId="3728" priority="2306" operator="containsText" text="subobs">
      <formula>NOT(ISERROR(SEARCH("subobs",AV25)))</formula>
    </cfRule>
    <cfRule type="containsText" dxfId="3727" priority="2307" operator="containsText" text="Call">
      <formula>NOT(ISERROR(SEARCH("Call",AV25)))</formula>
    </cfRule>
  </conditionalFormatting>
  <conditionalFormatting sqref="AV25">
    <cfRule type="containsText" dxfId="3726" priority="2309" operator="containsText" text="9ab">
      <formula>NOT(ISERROR(SEARCH("9ab",AV25)))</formula>
    </cfRule>
    <cfRule type="cellIs" dxfId="3725" priority="2310" stopIfTrue="1" operator="equal">
      <formula>"leave"</formula>
    </cfRule>
    <cfRule type="containsText" dxfId="3724" priority="2311" operator="containsText" text="ds">
      <formula>NOT(ISERROR(SEARCH("ds",AV25)))</formula>
    </cfRule>
    <cfRule type="containsText" dxfId="3723" priority="2312" operator="containsText" text="subobs">
      <formula>NOT(ISERROR(SEARCH("subobs",AV25)))</formula>
    </cfRule>
    <cfRule type="containsText" dxfId="3722" priority="2313" operator="containsText" text="Call">
      <formula>NOT(ISERROR(SEARCH("Call",AV25)))</formula>
    </cfRule>
  </conditionalFormatting>
  <conditionalFormatting sqref="A26">
    <cfRule type="containsText" dxfId="3719" priority="2273" operator="containsText" text="(Call)">
      <formula>NOT(ISERROR(SEARCH("(Call)",A26)))</formula>
    </cfRule>
    <cfRule type="cellIs" dxfId="3718" priority="2275" operator="equal">
      <formula>0</formula>
    </cfRule>
    <cfRule type="containsText" dxfId="3717" priority="2278" stopIfTrue="1" operator="containsText" text="9ab">
      <formula>NOT(ISERROR(SEARCH("9ab",A26)))</formula>
    </cfRule>
    <cfRule type="containsText" dxfId="3716" priority="2280" stopIfTrue="1" operator="containsText" text="ds">
      <formula>NOT(ISERROR(SEARCH("ds",A26)))</formula>
    </cfRule>
    <cfRule type="containsText" dxfId="3715" priority="2281" stopIfTrue="1" operator="containsText" text="subobs">
      <formula>NOT(ISERROR(SEARCH("subobs",A26)))</formula>
    </cfRule>
  </conditionalFormatting>
  <conditionalFormatting sqref="A26">
    <cfRule type="cellIs" dxfId="3714" priority="2279" stopIfTrue="1" operator="equal">
      <formula>"leave"</formula>
    </cfRule>
  </conditionalFormatting>
  <conditionalFormatting sqref="A26">
    <cfRule type="containsText" dxfId="3713" priority="2276" stopIfTrue="1" operator="containsText" text="go">
      <formula>NOT(ISERROR(SEARCH("go",A26)))</formula>
    </cfRule>
    <cfRule type="cellIs" dxfId="3712" priority="2277" operator="equal">
      <formula>"ps_cover"</formula>
    </cfRule>
  </conditionalFormatting>
  <conditionalFormatting sqref="A26">
    <cfRule type="containsText" dxfId="3711" priority="2274" operator="containsText" text="b1">
      <formula>NOT(ISERROR(SEARCH("b1",A26)))</formula>
    </cfRule>
  </conditionalFormatting>
  <conditionalFormatting sqref="BC28:BO35">
    <cfRule type="cellIs" dxfId="2344" priority="2098" operator="equal">
      <formula>0</formula>
    </cfRule>
  </conditionalFormatting>
  <conditionalFormatting sqref="BC19:BC25">
    <cfRule type="containsText" dxfId="2343" priority="2236" operator="containsText" text="9ab">
      <formula>NOT(ISERROR(SEARCH("9ab",BC19)))</formula>
    </cfRule>
    <cfRule type="cellIs" dxfId="2342" priority="2237" stopIfTrue="1" operator="equal">
      <formula>"leave"</formula>
    </cfRule>
    <cfRule type="containsText" dxfId="2341" priority="2238" operator="containsText" text="ds">
      <formula>NOT(ISERROR(SEARCH("ds",BC19)))</formula>
    </cfRule>
    <cfRule type="containsText" dxfId="2340" priority="2239" operator="containsText" text="subobs">
      <formula>NOT(ISERROR(SEARCH("subobs",BC19)))</formula>
    </cfRule>
    <cfRule type="containsText" dxfId="2339" priority="2240" operator="containsText" text="Call">
      <formula>NOT(ISERROR(SEARCH("Call",BC19)))</formula>
    </cfRule>
    <cfRule type="containsText" dxfId="2338" priority="2248" operator="containsText" text="9ab">
      <formula>NOT(ISERROR(SEARCH("9ab",BC19)))</formula>
    </cfRule>
    <cfRule type="cellIs" dxfId="2337" priority="2249" stopIfTrue="1" operator="equal">
      <formula>"leave"</formula>
    </cfRule>
    <cfRule type="containsText" dxfId="2336" priority="2250" operator="containsText" text="ds">
      <formula>NOT(ISERROR(SEARCH("ds",BC19)))</formula>
    </cfRule>
    <cfRule type="containsText" dxfId="2335" priority="2251" operator="containsText" text="subobs">
      <formula>NOT(ISERROR(SEARCH("subobs",BC19)))</formula>
    </cfRule>
    <cfRule type="containsText" dxfId="2334" priority="2252" operator="containsText" text="Call">
      <formula>NOT(ISERROR(SEARCH("Call",BC19)))</formula>
    </cfRule>
  </conditionalFormatting>
  <conditionalFormatting sqref="BC19:BC26">
    <cfRule type="containsText" dxfId="2333" priority="2242" operator="containsText" text="9ab">
      <formula>NOT(ISERROR(SEARCH("9ab",BC19)))</formula>
    </cfRule>
    <cfRule type="cellIs" dxfId="2332" priority="2243" stopIfTrue="1" operator="equal">
      <formula>"leave"</formula>
    </cfRule>
    <cfRule type="containsText" dxfId="2331" priority="2244" operator="containsText" text="ds">
      <formula>NOT(ISERROR(SEARCH("ds",BC19)))</formula>
    </cfRule>
    <cfRule type="containsText" dxfId="2330" priority="2245" operator="containsText" text="subobs">
      <formula>NOT(ISERROR(SEARCH("subobs",BC19)))</formula>
    </cfRule>
    <cfRule type="containsText" dxfId="2329" priority="2246" stopIfTrue="1" operator="containsText" text="(Call)">
      <formula>NOT(ISERROR(SEARCH("(Call)",BC19)))</formula>
    </cfRule>
    <cfRule type="containsText" dxfId="2328" priority="2254" operator="containsText" text="9ab">
      <formula>NOT(ISERROR(SEARCH("9ab",BC19)))</formula>
    </cfRule>
    <cfRule type="cellIs" dxfId="2327" priority="2255" stopIfTrue="1" operator="equal">
      <formula>"leave"</formula>
    </cfRule>
    <cfRule type="containsText" dxfId="2326" priority="2256" operator="containsText" text="ds">
      <formula>NOT(ISERROR(SEARCH("ds",BC19)))</formula>
    </cfRule>
    <cfRule type="containsText" dxfId="2325" priority="2257" operator="containsText" text="subobs">
      <formula>NOT(ISERROR(SEARCH("subobs",BC19)))</formula>
    </cfRule>
    <cfRule type="containsText" dxfId="2324" priority="2258" operator="containsText" text="Call">
      <formula>NOT(ISERROR(SEARCH("Call",BC19)))</formula>
    </cfRule>
    <cfRule type="containsText" dxfId="2323" priority="2266" operator="containsText" text="9ab">
      <formula>NOT(ISERROR(SEARCH("9ab",BC19)))</formula>
    </cfRule>
    <cfRule type="cellIs" dxfId="2322" priority="2267" stopIfTrue="1" operator="equal">
      <formula>"leave"</formula>
    </cfRule>
    <cfRule type="containsText" dxfId="2321" priority="2268" operator="containsText" text="ds">
      <formula>NOT(ISERROR(SEARCH("ds",BC19)))</formula>
    </cfRule>
    <cfRule type="containsText" dxfId="2320" priority="2269" operator="containsText" text="subobs">
      <formula>NOT(ISERROR(SEARCH("subobs",BC19)))</formula>
    </cfRule>
    <cfRule type="containsText" dxfId="2319" priority="2270" operator="containsText" text="Call">
      <formula>NOT(ISERROR(SEARCH("Call",BC19)))</formula>
    </cfRule>
  </conditionalFormatting>
  <conditionalFormatting sqref="BC28:BC33">
    <cfRule type="containsText" dxfId="2318" priority="2074" operator="containsText" text="9ab">
      <formula>NOT(ISERROR(SEARCH("9ab",BC28)))</formula>
    </cfRule>
    <cfRule type="cellIs" dxfId="2317" priority="2075" stopIfTrue="1" operator="equal">
      <formula>"leave"</formula>
    </cfRule>
    <cfRule type="containsText" dxfId="2316" priority="2076" operator="containsText" text="ds">
      <formula>NOT(ISERROR(SEARCH("ds",BC28)))</formula>
    </cfRule>
    <cfRule type="containsText" dxfId="2315" priority="2077" operator="containsText" text="subobs">
      <formula>NOT(ISERROR(SEARCH("subobs",BC28)))</formula>
    </cfRule>
    <cfRule type="containsText" dxfId="2314" priority="2078" operator="containsText" text="Call">
      <formula>NOT(ISERROR(SEARCH("Call",BC28)))</formula>
    </cfRule>
    <cfRule type="containsText" dxfId="2313" priority="2086" operator="containsText" text="9ab">
      <formula>NOT(ISERROR(SEARCH("9ab",BC28)))</formula>
    </cfRule>
    <cfRule type="cellIs" dxfId="2312" priority="2087" stopIfTrue="1" operator="equal">
      <formula>"leave"</formula>
    </cfRule>
    <cfRule type="containsText" dxfId="2311" priority="2088" operator="containsText" text="ds">
      <formula>NOT(ISERROR(SEARCH("ds",BC28)))</formula>
    </cfRule>
    <cfRule type="containsText" dxfId="2310" priority="2089" operator="containsText" text="subobs">
      <formula>NOT(ISERROR(SEARCH("subobs",BC28)))</formula>
    </cfRule>
    <cfRule type="containsText" dxfId="2309" priority="2090" operator="containsText" text="Call">
      <formula>NOT(ISERROR(SEARCH("Call",BC28)))</formula>
    </cfRule>
  </conditionalFormatting>
  <conditionalFormatting sqref="BC28:BC35">
    <cfRule type="containsText" dxfId="2308" priority="2080" operator="containsText" text="9ab">
      <formula>NOT(ISERROR(SEARCH("9ab",BC28)))</formula>
    </cfRule>
    <cfRule type="cellIs" dxfId="2307" priority="2081" stopIfTrue="1" operator="equal">
      <formula>"leave"</formula>
    </cfRule>
    <cfRule type="containsText" dxfId="2306" priority="2082" operator="containsText" text="ds">
      <formula>NOT(ISERROR(SEARCH("ds",BC28)))</formula>
    </cfRule>
    <cfRule type="containsText" dxfId="2305" priority="2083" operator="containsText" text="subobs">
      <formula>NOT(ISERROR(SEARCH("subobs",BC28)))</formula>
    </cfRule>
    <cfRule type="containsText" dxfId="2304" priority="2084" stopIfTrue="1" operator="containsText" text="(Call)">
      <formula>NOT(ISERROR(SEARCH("(Call)",BC28)))</formula>
    </cfRule>
    <cfRule type="containsText" dxfId="2303" priority="2092" operator="containsText" text="9ab">
      <formula>NOT(ISERROR(SEARCH("9ab",BC28)))</formula>
    </cfRule>
    <cfRule type="cellIs" dxfId="2302" priority="2093" stopIfTrue="1" operator="equal">
      <formula>"leave"</formula>
    </cfRule>
    <cfRule type="containsText" dxfId="2301" priority="2094" operator="containsText" text="ds">
      <formula>NOT(ISERROR(SEARCH("ds",BC28)))</formula>
    </cfRule>
    <cfRule type="containsText" dxfId="2300" priority="2095" operator="containsText" text="subobs">
      <formula>NOT(ISERROR(SEARCH("subobs",BC28)))</formula>
    </cfRule>
    <cfRule type="containsText" dxfId="2299" priority="2096" operator="containsText" text="Call">
      <formula>NOT(ISERROR(SEARCH("Call",BC28)))</formula>
    </cfRule>
    <cfRule type="containsText" dxfId="2298" priority="2105" operator="containsText" text="9ab">
      <formula>NOT(ISERROR(SEARCH("9ab",BC28)))</formula>
    </cfRule>
    <cfRule type="cellIs" dxfId="2297" priority="2106" stopIfTrue="1" operator="equal">
      <formula>"leave"</formula>
    </cfRule>
    <cfRule type="containsText" dxfId="2296" priority="2107" operator="containsText" text="ds">
      <formula>NOT(ISERROR(SEARCH("ds",BC28)))</formula>
    </cfRule>
    <cfRule type="containsText" dxfId="2295" priority="2108" operator="containsText" text="subobs">
      <formula>NOT(ISERROR(SEARCH("subobs",BC28)))</formula>
    </cfRule>
    <cfRule type="containsText" dxfId="2294" priority="2109" operator="containsText" text="Call">
      <formula>NOT(ISERROR(SEARCH("Call",BC28)))</formula>
    </cfRule>
  </conditionalFormatting>
  <conditionalFormatting sqref="BC37:BC42">
    <cfRule type="containsText" dxfId="2293" priority="1896" operator="containsText" text="9ab">
      <formula>NOT(ISERROR(SEARCH("9ab",BC37)))</formula>
    </cfRule>
    <cfRule type="cellIs" dxfId="2292" priority="1897" stopIfTrue="1" operator="equal">
      <formula>"leave"</formula>
    </cfRule>
    <cfRule type="containsText" dxfId="2291" priority="1898" operator="containsText" text="ds">
      <formula>NOT(ISERROR(SEARCH("ds",BC37)))</formula>
    </cfRule>
    <cfRule type="containsText" dxfId="2290" priority="1899" operator="containsText" text="subobs">
      <formula>NOT(ISERROR(SEARCH("subobs",BC37)))</formula>
    </cfRule>
    <cfRule type="containsText" dxfId="2289" priority="1900" operator="containsText" text="Call">
      <formula>NOT(ISERROR(SEARCH("Call",BC37)))</formula>
    </cfRule>
    <cfRule type="containsText" dxfId="2288" priority="1902" operator="containsText" text="9ab">
      <formula>NOT(ISERROR(SEARCH("9ab",BC37)))</formula>
    </cfRule>
    <cfRule type="cellIs" dxfId="2287" priority="1903" stopIfTrue="1" operator="equal">
      <formula>"leave"</formula>
    </cfRule>
    <cfRule type="containsText" dxfId="2286" priority="1904" operator="containsText" text="ds">
      <formula>NOT(ISERROR(SEARCH("ds",BC37)))</formula>
    </cfRule>
    <cfRule type="containsText" dxfId="2285" priority="1905" operator="containsText" text="subobs">
      <formula>NOT(ISERROR(SEARCH("subobs",BC37)))</formula>
    </cfRule>
    <cfRule type="containsText" dxfId="2284" priority="1906" stopIfTrue="1" operator="containsText" text="(Call)">
      <formula>NOT(ISERROR(SEARCH("(Call)",BC37)))</formula>
    </cfRule>
    <cfRule type="containsText" dxfId="2283" priority="1908" operator="containsText" text="9ab">
      <formula>NOT(ISERROR(SEARCH("9ab",BC37)))</formula>
    </cfRule>
    <cfRule type="cellIs" dxfId="2282" priority="1909" stopIfTrue="1" operator="equal">
      <formula>"leave"</formula>
    </cfRule>
    <cfRule type="containsText" dxfId="2281" priority="1910" operator="containsText" text="ds">
      <formula>NOT(ISERROR(SEARCH("ds",BC37)))</formula>
    </cfRule>
    <cfRule type="containsText" dxfId="2280" priority="1911" operator="containsText" text="subobs">
      <formula>NOT(ISERROR(SEARCH("subobs",BC37)))</formula>
    </cfRule>
    <cfRule type="containsText" dxfId="2279" priority="1912" operator="containsText" text="Call">
      <formula>NOT(ISERROR(SEARCH("Call",BC37)))</formula>
    </cfRule>
    <cfRule type="containsText" dxfId="2278" priority="1914" operator="containsText" text="9ab">
      <formula>NOT(ISERROR(SEARCH("9ab",BC37)))</formula>
    </cfRule>
    <cfRule type="cellIs" dxfId="2277" priority="1915" stopIfTrue="1" operator="equal">
      <formula>"leave"</formula>
    </cfRule>
    <cfRule type="containsText" dxfId="2276" priority="1916" operator="containsText" text="ds">
      <formula>NOT(ISERROR(SEARCH("ds",BC37)))</formula>
    </cfRule>
    <cfRule type="containsText" dxfId="2275" priority="1917" operator="containsText" text="subobs">
      <formula>NOT(ISERROR(SEARCH("subobs",BC37)))</formula>
    </cfRule>
    <cfRule type="containsText" dxfId="2274" priority="1918" operator="containsText" text="Call">
      <formula>NOT(ISERROR(SEARCH("Call",BC37)))</formula>
    </cfRule>
    <cfRule type="containsText" dxfId="2273" priority="1920" operator="containsText" text="9ab">
      <formula>NOT(ISERROR(SEARCH("9ab",BC37)))</formula>
    </cfRule>
    <cfRule type="cellIs" dxfId="2272" priority="1921" stopIfTrue="1" operator="equal">
      <formula>"leave"</formula>
    </cfRule>
    <cfRule type="containsText" dxfId="2271" priority="1922" operator="containsText" text="ds">
      <formula>NOT(ISERROR(SEARCH("ds",BC37)))</formula>
    </cfRule>
    <cfRule type="containsText" dxfId="2270" priority="1923" operator="containsText" text="subobs">
      <formula>NOT(ISERROR(SEARCH("subobs",BC37)))</formula>
    </cfRule>
    <cfRule type="containsText" dxfId="2269" priority="1924" operator="containsText" text="Call">
      <formula>NOT(ISERROR(SEARCH("Call",BC37)))</formula>
    </cfRule>
    <cfRule type="containsText" dxfId="2268" priority="1928" operator="containsText" text="9ab">
      <formula>NOT(ISERROR(SEARCH("9ab",BC37)))</formula>
    </cfRule>
    <cfRule type="cellIs" dxfId="2267" priority="1929" stopIfTrue="1" operator="equal">
      <formula>"leave"</formula>
    </cfRule>
    <cfRule type="containsText" dxfId="2266" priority="1930" operator="containsText" text="ds">
      <formula>NOT(ISERROR(SEARCH("ds",BC37)))</formula>
    </cfRule>
    <cfRule type="containsText" dxfId="2265" priority="1931" operator="containsText" text="subobs">
      <formula>NOT(ISERROR(SEARCH("subobs",BC37)))</formula>
    </cfRule>
    <cfRule type="containsText" dxfId="2264" priority="1932" operator="containsText" text="Call">
      <formula>NOT(ISERROR(SEARCH("Call",BC37)))</formula>
    </cfRule>
    <cfRule type="containsText" dxfId="2263" priority="1935" operator="containsText" text="9ab">
      <formula>NOT(ISERROR(SEARCH("9ab",BC37)))</formula>
    </cfRule>
    <cfRule type="cellIs" dxfId="2262" priority="1936" stopIfTrue="1" operator="equal">
      <formula>"leave"</formula>
    </cfRule>
    <cfRule type="containsText" dxfId="2261" priority="1937" operator="containsText" text="ds">
      <formula>NOT(ISERROR(SEARCH("ds",BC37)))</formula>
    </cfRule>
    <cfRule type="containsText" dxfId="2260" priority="1938" operator="containsText" text="subobs">
      <formula>NOT(ISERROR(SEARCH("subobs",BC37)))</formula>
    </cfRule>
    <cfRule type="containsText" dxfId="2259" priority="1939" stopIfTrue="1" operator="containsText" text="(Call)">
      <formula>NOT(ISERROR(SEARCH("(Call)",BC37)))</formula>
    </cfRule>
  </conditionalFormatting>
  <conditionalFormatting sqref="BC36:BD42">
    <cfRule type="containsText" dxfId="2258" priority="1926" operator="containsText" text="b1">
      <formula>NOT(ISERROR(SEARCH("b1",BC36)))</formula>
    </cfRule>
    <cfRule type="cellIs" dxfId="2257" priority="1927" operator="equal">
      <formula>0</formula>
    </cfRule>
    <cfRule type="containsText" dxfId="2256" priority="1934" stopIfTrue="1" operator="containsText" text="go">
      <formula>NOT(ISERROR(SEARCH("go",BC36)))</formula>
    </cfRule>
    <cfRule type="cellIs" dxfId="2255" priority="1941" operator="equal">
      <formula>"ps_cover"</formula>
    </cfRule>
    <cfRule type="containsText" dxfId="2254" priority="1942" stopIfTrue="1" operator="containsText" text="9ab">
      <formula>NOT(ISERROR(SEARCH("9ab",BC36)))</formula>
    </cfRule>
    <cfRule type="containsText" dxfId="2253" priority="1943" stopIfTrue="1" operator="containsText" text="ds">
      <formula>NOT(ISERROR(SEARCH("ds",BC36)))</formula>
    </cfRule>
    <cfRule type="containsText" dxfId="2252" priority="1944" stopIfTrue="1" operator="containsText" text="subobs">
      <formula>NOT(ISERROR(SEARCH("subobs",BC36)))</formula>
    </cfRule>
  </conditionalFormatting>
  <conditionalFormatting sqref="BC36:BH42">
    <cfRule type="containsText" dxfId="2251" priority="1888" operator="containsText" text="(Call)">
      <formula>NOT(ISERROR(SEARCH("(Call)",BC36)))</formula>
    </cfRule>
  </conditionalFormatting>
  <conditionalFormatting sqref="BE36:BH42">
    <cfRule type="containsText" dxfId="2250" priority="1889" operator="containsText" text="b1">
      <formula>NOT(ISERROR(SEARCH("b1",BE36)))</formula>
    </cfRule>
    <cfRule type="cellIs" dxfId="2249" priority="1890" operator="equal">
      <formula>0</formula>
    </cfRule>
    <cfRule type="containsText" dxfId="2248" priority="1891" stopIfTrue="1" operator="containsText" text="go">
      <formula>NOT(ISERROR(SEARCH("go",BE36)))</formula>
    </cfRule>
    <cfRule type="cellIs" dxfId="2247" priority="1892" operator="equal">
      <formula>"ps_cover"</formula>
    </cfRule>
    <cfRule type="containsText" dxfId="2246" priority="1893" stopIfTrue="1" operator="containsText" text="9ab">
      <formula>NOT(ISERROR(SEARCH("9ab",BE36)))</formula>
    </cfRule>
    <cfRule type="containsText" dxfId="2245" priority="1894" stopIfTrue="1" operator="containsText" text="ds">
      <formula>NOT(ISERROR(SEARCH("ds",BE36)))</formula>
    </cfRule>
    <cfRule type="containsText" dxfId="2244" priority="1895" stopIfTrue="1" operator="containsText" text="subobs">
      <formula>NOT(ISERROR(SEARCH("subobs",BE36)))</formula>
    </cfRule>
  </conditionalFormatting>
  <conditionalFormatting sqref="BJ19:BJ25">
    <cfRule type="containsText" dxfId="2243" priority="2212" operator="containsText" text="9ab">
      <formula>NOT(ISERROR(SEARCH("9ab",BJ19)))</formula>
    </cfRule>
    <cfRule type="cellIs" dxfId="2242" priority="2213" stopIfTrue="1" operator="equal">
      <formula>"leave"</formula>
    </cfRule>
    <cfRule type="containsText" dxfId="2241" priority="2214" operator="containsText" text="ds">
      <formula>NOT(ISERROR(SEARCH("ds",BJ19)))</formula>
    </cfRule>
    <cfRule type="containsText" dxfId="2240" priority="2215" operator="containsText" text="subobs">
      <formula>NOT(ISERROR(SEARCH("subobs",BJ19)))</formula>
    </cfRule>
    <cfRule type="containsText" dxfId="2239" priority="2216" operator="containsText" text="Call">
      <formula>NOT(ISERROR(SEARCH("Call",BJ19)))</formula>
    </cfRule>
    <cfRule type="containsText" dxfId="2238" priority="2224" operator="containsText" text="9ab">
      <formula>NOT(ISERROR(SEARCH("9ab",BJ19)))</formula>
    </cfRule>
    <cfRule type="cellIs" dxfId="2237" priority="2225" stopIfTrue="1" operator="equal">
      <formula>"leave"</formula>
    </cfRule>
    <cfRule type="containsText" dxfId="2236" priority="2226" operator="containsText" text="ds">
      <formula>NOT(ISERROR(SEARCH("ds",BJ19)))</formula>
    </cfRule>
    <cfRule type="containsText" dxfId="2235" priority="2227" operator="containsText" text="subobs">
      <formula>NOT(ISERROR(SEARCH("subobs",BJ19)))</formula>
    </cfRule>
    <cfRule type="containsText" dxfId="2234" priority="2228" operator="containsText" text="Call">
      <formula>NOT(ISERROR(SEARCH("Call",BJ19)))</formula>
    </cfRule>
  </conditionalFormatting>
  <conditionalFormatting sqref="BJ19:BJ26">
    <cfRule type="containsText" dxfId="2233" priority="2218" operator="containsText" text="9ab">
      <formula>NOT(ISERROR(SEARCH("9ab",BJ19)))</formula>
    </cfRule>
    <cfRule type="cellIs" dxfId="2232" priority="2219" stopIfTrue="1" operator="equal">
      <formula>"leave"</formula>
    </cfRule>
    <cfRule type="containsText" dxfId="2231" priority="2220" operator="containsText" text="ds">
      <formula>NOT(ISERROR(SEARCH("ds",BJ19)))</formula>
    </cfRule>
    <cfRule type="containsText" dxfId="2230" priority="2221" operator="containsText" text="subobs">
      <formula>NOT(ISERROR(SEARCH("subobs",BJ19)))</formula>
    </cfRule>
    <cfRule type="containsText" dxfId="2229" priority="2222" stopIfTrue="1" operator="containsText" text="(Call)">
      <formula>NOT(ISERROR(SEARCH("(Call)",BJ19)))</formula>
    </cfRule>
    <cfRule type="containsText" dxfId="2228" priority="2230" operator="containsText" text="9ab">
      <formula>NOT(ISERROR(SEARCH("9ab",BJ19)))</formula>
    </cfRule>
    <cfRule type="cellIs" dxfId="2227" priority="2231" stopIfTrue="1" operator="equal">
      <formula>"leave"</formula>
    </cfRule>
    <cfRule type="containsText" dxfId="2226" priority="2232" operator="containsText" text="ds">
      <formula>NOT(ISERROR(SEARCH("ds",BJ19)))</formula>
    </cfRule>
    <cfRule type="containsText" dxfId="2225" priority="2233" operator="containsText" text="subobs">
      <formula>NOT(ISERROR(SEARCH("subobs",BJ19)))</formula>
    </cfRule>
    <cfRule type="containsText" dxfId="2224" priority="2234" operator="containsText" text="Call">
      <formula>NOT(ISERROR(SEARCH("Call",BJ19)))</formula>
    </cfRule>
    <cfRule type="containsText" dxfId="2223" priority="2260" operator="containsText" text="9ab">
      <formula>NOT(ISERROR(SEARCH("9ab",BJ19)))</formula>
    </cfRule>
    <cfRule type="cellIs" dxfId="2222" priority="2261" stopIfTrue="1" operator="equal">
      <formula>"leave"</formula>
    </cfRule>
    <cfRule type="containsText" dxfId="2221" priority="2262" operator="containsText" text="ds">
      <formula>NOT(ISERROR(SEARCH("ds",BJ19)))</formula>
    </cfRule>
    <cfRule type="containsText" dxfId="2220" priority="2263" operator="containsText" text="subobs">
      <formula>NOT(ISERROR(SEARCH("subobs",BJ19)))</formula>
    </cfRule>
    <cfRule type="containsText" dxfId="2219" priority="2264" operator="containsText" text="Call">
      <formula>NOT(ISERROR(SEARCH("Call",BJ19)))</formula>
    </cfRule>
  </conditionalFormatting>
  <conditionalFormatting sqref="BJ28:BJ33">
    <cfRule type="containsText" dxfId="2218" priority="2050" operator="containsText" text="9ab">
      <formula>NOT(ISERROR(SEARCH("9ab",BJ28)))</formula>
    </cfRule>
    <cfRule type="cellIs" dxfId="2217" priority="2051" stopIfTrue="1" operator="equal">
      <formula>"leave"</formula>
    </cfRule>
    <cfRule type="containsText" dxfId="2216" priority="2052" operator="containsText" text="ds">
      <formula>NOT(ISERROR(SEARCH("ds",BJ28)))</formula>
    </cfRule>
    <cfRule type="containsText" dxfId="2215" priority="2053" operator="containsText" text="subobs">
      <formula>NOT(ISERROR(SEARCH("subobs",BJ28)))</formula>
    </cfRule>
    <cfRule type="containsText" dxfId="2214" priority="2054" operator="containsText" text="Call">
      <formula>NOT(ISERROR(SEARCH("Call",BJ28)))</formula>
    </cfRule>
    <cfRule type="containsText" dxfId="2213" priority="2062" operator="containsText" text="9ab">
      <formula>NOT(ISERROR(SEARCH("9ab",BJ28)))</formula>
    </cfRule>
    <cfRule type="cellIs" dxfId="2212" priority="2063" stopIfTrue="1" operator="equal">
      <formula>"leave"</formula>
    </cfRule>
    <cfRule type="containsText" dxfId="2211" priority="2064" operator="containsText" text="ds">
      <formula>NOT(ISERROR(SEARCH("ds",BJ28)))</formula>
    </cfRule>
    <cfRule type="containsText" dxfId="2210" priority="2065" operator="containsText" text="subobs">
      <formula>NOT(ISERROR(SEARCH("subobs",BJ28)))</formula>
    </cfRule>
    <cfRule type="containsText" dxfId="2209" priority="2066" operator="containsText" text="Call">
      <formula>NOT(ISERROR(SEARCH("Call",BJ28)))</formula>
    </cfRule>
  </conditionalFormatting>
  <conditionalFormatting sqref="BJ28:BJ35">
    <cfRule type="containsText" dxfId="2208" priority="2056" operator="containsText" text="9ab">
      <formula>NOT(ISERROR(SEARCH("9ab",BJ28)))</formula>
    </cfRule>
    <cfRule type="cellIs" dxfId="2207" priority="2057" stopIfTrue="1" operator="equal">
      <formula>"leave"</formula>
    </cfRule>
    <cfRule type="containsText" dxfId="2206" priority="2058" operator="containsText" text="ds">
      <formula>NOT(ISERROR(SEARCH("ds",BJ28)))</formula>
    </cfRule>
    <cfRule type="containsText" dxfId="2205" priority="2059" operator="containsText" text="subobs">
      <formula>NOT(ISERROR(SEARCH("subobs",BJ28)))</formula>
    </cfRule>
    <cfRule type="containsText" dxfId="2204" priority="2060" stopIfTrue="1" operator="containsText" text="(Call)">
      <formula>NOT(ISERROR(SEARCH("(Call)",BJ28)))</formula>
    </cfRule>
    <cfRule type="containsText" dxfId="2203" priority="2068" operator="containsText" text="9ab">
      <formula>NOT(ISERROR(SEARCH("9ab",BJ28)))</formula>
    </cfRule>
    <cfRule type="cellIs" dxfId="2202" priority="2069" stopIfTrue="1" operator="equal">
      <formula>"leave"</formula>
    </cfRule>
    <cfRule type="containsText" dxfId="2201" priority="2070" operator="containsText" text="ds">
      <formula>NOT(ISERROR(SEARCH("ds",BJ28)))</formula>
    </cfRule>
    <cfRule type="containsText" dxfId="2200" priority="2071" operator="containsText" text="subobs">
      <formula>NOT(ISERROR(SEARCH("subobs",BJ28)))</formula>
    </cfRule>
    <cfRule type="containsText" dxfId="2199" priority="2072" operator="containsText" text="Call">
      <formula>NOT(ISERROR(SEARCH("Call",BJ28)))</formula>
    </cfRule>
    <cfRule type="containsText" dxfId="2198" priority="2099" operator="containsText" text="9ab">
      <formula>NOT(ISERROR(SEARCH("9ab",BJ28)))</formula>
    </cfRule>
    <cfRule type="cellIs" dxfId="2197" priority="2100" stopIfTrue="1" operator="equal">
      <formula>"leave"</formula>
    </cfRule>
    <cfRule type="containsText" dxfId="2196" priority="2101" operator="containsText" text="ds">
      <formula>NOT(ISERROR(SEARCH("ds",BJ28)))</formula>
    </cfRule>
    <cfRule type="containsText" dxfId="2195" priority="2102" operator="containsText" text="subobs">
      <formula>NOT(ISERROR(SEARCH("subobs",BJ28)))</formula>
    </cfRule>
    <cfRule type="containsText" dxfId="2194" priority="2103" operator="containsText" text="Call">
      <formula>NOT(ISERROR(SEARCH("Call",BJ28)))</formula>
    </cfRule>
  </conditionalFormatting>
  <conditionalFormatting sqref="BJ37:BJ42">
    <cfRule type="containsText" dxfId="2193" priority="1839" operator="containsText" text="9ab">
      <formula>NOT(ISERROR(SEARCH("9ab",BJ37)))</formula>
    </cfRule>
    <cfRule type="cellIs" dxfId="2192" priority="1840" stopIfTrue="1" operator="equal">
      <formula>"leave"</formula>
    </cfRule>
    <cfRule type="containsText" dxfId="2191" priority="1841" operator="containsText" text="ds">
      <formula>NOT(ISERROR(SEARCH("ds",BJ37)))</formula>
    </cfRule>
    <cfRule type="containsText" dxfId="2190" priority="1842" operator="containsText" text="subobs">
      <formula>NOT(ISERROR(SEARCH("subobs",BJ37)))</formula>
    </cfRule>
    <cfRule type="containsText" dxfId="2189" priority="1843" operator="containsText" text="Call">
      <formula>NOT(ISERROR(SEARCH("Call",BJ37)))</formula>
    </cfRule>
    <cfRule type="containsText" dxfId="2188" priority="1845" operator="containsText" text="9ab">
      <formula>NOT(ISERROR(SEARCH("9ab",BJ37)))</formula>
    </cfRule>
    <cfRule type="cellIs" dxfId="2187" priority="1846" stopIfTrue="1" operator="equal">
      <formula>"leave"</formula>
    </cfRule>
    <cfRule type="containsText" dxfId="2186" priority="1847" operator="containsText" text="ds">
      <formula>NOT(ISERROR(SEARCH("ds",BJ37)))</formula>
    </cfRule>
    <cfRule type="containsText" dxfId="2185" priority="1848" operator="containsText" text="subobs">
      <formula>NOT(ISERROR(SEARCH("subobs",BJ37)))</formula>
    </cfRule>
    <cfRule type="containsText" dxfId="2184" priority="1849" stopIfTrue="1" operator="containsText" text="(Call)">
      <formula>NOT(ISERROR(SEARCH("(Call)",BJ37)))</formula>
    </cfRule>
    <cfRule type="containsText" dxfId="2183" priority="1851" operator="containsText" text="9ab">
      <formula>NOT(ISERROR(SEARCH("9ab",BJ37)))</formula>
    </cfRule>
    <cfRule type="cellIs" dxfId="2182" priority="1852" stopIfTrue="1" operator="equal">
      <formula>"leave"</formula>
    </cfRule>
    <cfRule type="containsText" dxfId="2181" priority="1853" operator="containsText" text="ds">
      <formula>NOT(ISERROR(SEARCH("ds",BJ37)))</formula>
    </cfRule>
    <cfRule type="containsText" dxfId="2180" priority="1854" operator="containsText" text="subobs">
      <formula>NOT(ISERROR(SEARCH("subobs",BJ37)))</formula>
    </cfRule>
    <cfRule type="containsText" dxfId="2179" priority="1855" operator="containsText" text="Call">
      <formula>NOT(ISERROR(SEARCH("Call",BJ37)))</formula>
    </cfRule>
    <cfRule type="containsText" dxfId="2178" priority="1857" operator="containsText" text="9ab">
      <formula>NOT(ISERROR(SEARCH("9ab",BJ37)))</formula>
    </cfRule>
    <cfRule type="cellIs" dxfId="2177" priority="1858" stopIfTrue="1" operator="equal">
      <formula>"leave"</formula>
    </cfRule>
    <cfRule type="containsText" dxfId="2176" priority="1859" operator="containsText" text="ds">
      <formula>NOT(ISERROR(SEARCH("ds",BJ37)))</formula>
    </cfRule>
    <cfRule type="containsText" dxfId="2175" priority="1860" operator="containsText" text="subobs">
      <formula>NOT(ISERROR(SEARCH("subobs",BJ37)))</formula>
    </cfRule>
    <cfRule type="containsText" dxfId="2174" priority="1861" operator="containsText" text="Call">
      <formula>NOT(ISERROR(SEARCH("Call",BJ37)))</formula>
    </cfRule>
    <cfRule type="containsText" dxfId="2173" priority="1863" operator="containsText" text="9ab">
      <formula>NOT(ISERROR(SEARCH("9ab",BJ37)))</formula>
    </cfRule>
    <cfRule type="cellIs" dxfId="2172" priority="1864" stopIfTrue="1" operator="equal">
      <formula>"leave"</formula>
    </cfRule>
    <cfRule type="containsText" dxfId="2171" priority="1865" operator="containsText" text="ds">
      <formula>NOT(ISERROR(SEARCH("ds",BJ37)))</formula>
    </cfRule>
    <cfRule type="containsText" dxfId="2170" priority="1866" operator="containsText" text="subobs">
      <formula>NOT(ISERROR(SEARCH("subobs",BJ37)))</formula>
    </cfRule>
    <cfRule type="containsText" dxfId="2169" priority="1867" operator="containsText" text="Call">
      <formula>NOT(ISERROR(SEARCH("Call",BJ37)))</formula>
    </cfRule>
    <cfRule type="containsText" dxfId="2168" priority="1871" operator="containsText" text="9ab">
      <formula>NOT(ISERROR(SEARCH("9ab",BJ37)))</formula>
    </cfRule>
    <cfRule type="cellIs" dxfId="2167" priority="1872" stopIfTrue="1" operator="equal">
      <formula>"leave"</formula>
    </cfRule>
    <cfRule type="containsText" dxfId="2166" priority="1873" operator="containsText" text="ds">
      <formula>NOT(ISERROR(SEARCH("ds",BJ37)))</formula>
    </cfRule>
    <cfRule type="containsText" dxfId="2165" priority="1874" operator="containsText" text="subobs">
      <formula>NOT(ISERROR(SEARCH("subobs",BJ37)))</formula>
    </cfRule>
    <cfRule type="containsText" dxfId="2164" priority="1875" operator="containsText" text="Call">
      <formula>NOT(ISERROR(SEARCH("Call",BJ37)))</formula>
    </cfRule>
    <cfRule type="containsText" dxfId="2163" priority="1878" operator="containsText" text="9ab">
      <formula>NOT(ISERROR(SEARCH("9ab",BJ37)))</formula>
    </cfRule>
    <cfRule type="cellIs" dxfId="2162" priority="1879" stopIfTrue="1" operator="equal">
      <formula>"leave"</formula>
    </cfRule>
    <cfRule type="containsText" dxfId="2161" priority="1880" operator="containsText" text="ds">
      <formula>NOT(ISERROR(SEARCH("ds",BJ37)))</formula>
    </cfRule>
    <cfRule type="containsText" dxfId="2160" priority="1881" operator="containsText" text="subobs">
      <formula>NOT(ISERROR(SEARCH("subobs",BJ37)))</formula>
    </cfRule>
    <cfRule type="containsText" dxfId="2159" priority="1882" stopIfTrue="1" operator="containsText" text="(Call)">
      <formula>NOT(ISERROR(SEARCH("(Call)",BJ37)))</formula>
    </cfRule>
  </conditionalFormatting>
  <conditionalFormatting sqref="BJ36:BK42">
    <cfRule type="containsText" dxfId="2158" priority="1869" operator="containsText" text="b1">
      <formula>NOT(ISERROR(SEARCH("b1",BJ36)))</formula>
    </cfRule>
    <cfRule type="cellIs" dxfId="2157" priority="1870" operator="equal">
      <formula>0</formula>
    </cfRule>
    <cfRule type="containsText" dxfId="2156" priority="1877" stopIfTrue="1" operator="containsText" text="go">
      <formula>NOT(ISERROR(SEARCH("go",BJ36)))</formula>
    </cfRule>
    <cfRule type="cellIs" dxfId="2155" priority="1884" operator="equal">
      <formula>"ps_cover"</formula>
    </cfRule>
    <cfRule type="containsText" dxfId="2154" priority="1885" stopIfTrue="1" operator="containsText" text="9ab">
      <formula>NOT(ISERROR(SEARCH("9ab",BJ36)))</formula>
    </cfRule>
    <cfRule type="containsText" dxfId="2153" priority="1886" stopIfTrue="1" operator="containsText" text="ds">
      <formula>NOT(ISERROR(SEARCH("ds",BJ36)))</formula>
    </cfRule>
    <cfRule type="containsText" dxfId="2152" priority="1887" stopIfTrue="1" operator="containsText" text="subobs">
      <formula>NOT(ISERROR(SEARCH("subobs",BJ36)))</formula>
    </cfRule>
  </conditionalFormatting>
  <conditionalFormatting sqref="BJ36:BO42">
    <cfRule type="containsText" dxfId="2151" priority="1831" operator="containsText" text="(Call)">
      <formula>NOT(ISERROR(SEARCH("(Call)",BJ36)))</formula>
    </cfRule>
  </conditionalFormatting>
  <conditionalFormatting sqref="BL36:BO42">
    <cfRule type="containsText" dxfId="2150" priority="1832" operator="containsText" text="b1">
      <formula>NOT(ISERROR(SEARCH("b1",BL36)))</formula>
    </cfRule>
    <cfRule type="cellIs" dxfId="2149" priority="1833" operator="equal">
      <formula>0</formula>
    </cfRule>
    <cfRule type="containsText" dxfId="2148" priority="1834" stopIfTrue="1" operator="containsText" text="go">
      <formula>NOT(ISERROR(SEARCH("go",BL36)))</formula>
    </cfRule>
    <cfRule type="cellIs" dxfId="2147" priority="1835" operator="equal">
      <formula>"ps_cover"</formula>
    </cfRule>
    <cfRule type="containsText" dxfId="2146" priority="1836" stopIfTrue="1" operator="containsText" text="9ab">
      <formula>NOT(ISERROR(SEARCH("9ab",BL36)))</formula>
    </cfRule>
    <cfRule type="containsText" dxfId="2145" priority="1837" stopIfTrue="1" operator="containsText" text="ds">
      <formula>NOT(ISERROR(SEARCH("ds",BL36)))</formula>
    </cfRule>
    <cfRule type="containsText" dxfId="2144" priority="1838" stopIfTrue="1" operator="containsText" text="subobs">
      <formula>NOT(ISERROR(SEARCH("subobs",BL36)))</formula>
    </cfRule>
  </conditionalFormatting>
  <conditionalFormatting sqref="BP19:BV26">
    <cfRule type="cellIs" dxfId="2143" priority="2205" operator="equal">
      <formula>0</formula>
    </cfRule>
  </conditionalFormatting>
  <conditionalFormatting sqref="BP28:BV35">
    <cfRule type="cellIs" dxfId="2142" priority="2043" operator="equal">
      <formula>0</formula>
    </cfRule>
  </conditionalFormatting>
  <conditionalFormatting sqref="BQ19:BQ25">
    <cfRule type="containsText" dxfId="2141" priority="2187" operator="containsText" text="9ab">
      <formula>NOT(ISERROR(SEARCH("9ab",BQ19)))</formula>
    </cfRule>
    <cfRule type="cellIs" dxfId="2140" priority="2188" stopIfTrue="1" operator="equal">
      <formula>"leave"</formula>
    </cfRule>
    <cfRule type="containsText" dxfId="2139" priority="2189" operator="containsText" text="ds">
      <formula>NOT(ISERROR(SEARCH("ds",BQ19)))</formula>
    </cfRule>
    <cfRule type="containsText" dxfId="2138" priority="2190" operator="containsText" text="subobs">
      <formula>NOT(ISERROR(SEARCH("subobs",BQ19)))</formula>
    </cfRule>
    <cfRule type="containsText" dxfId="2137" priority="2191" operator="containsText" text="Call">
      <formula>NOT(ISERROR(SEARCH("Call",BQ19)))</formula>
    </cfRule>
    <cfRule type="containsText" dxfId="2136" priority="2199" operator="containsText" text="9ab">
      <formula>NOT(ISERROR(SEARCH("9ab",BQ19)))</formula>
    </cfRule>
    <cfRule type="cellIs" dxfId="2135" priority="2200" stopIfTrue="1" operator="equal">
      <formula>"leave"</formula>
    </cfRule>
    <cfRule type="containsText" dxfId="2134" priority="2201" operator="containsText" text="ds">
      <formula>NOT(ISERROR(SEARCH("ds",BQ19)))</formula>
    </cfRule>
    <cfRule type="containsText" dxfId="2133" priority="2202" operator="containsText" text="subobs">
      <formula>NOT(ISERROR(SEARCH("subobs",BQ19)))</formula>
    </cfRule>
    <cfRule type="containsText" dxfId="2132" priority="2203" operator="containsText" text="Call">
      <formula>NOT(ISERROR(SEARCH("Call",BQ19)))</formula>
    </cfRule>
  </conditionalFormatting>
  <conditionalFormatting sqref="BQ19:BQ26">
    <cfRule type="containsText" dxfId="2131" priority="2193" operator="containsText" text="9ab">
      <formula>NOT(ISERROR(SEARCH("9ab",BQ19)))</formula>
    </cfRule>
    <cfRule type="cellIs" dxfId="2130" priority="2194" stopIfTrue="1" operator="equal">
      <formula>"leave"</formula>
    </cfRule>
    <cfRule type="containsText" dxfId="2129" priority="2195" operator="containsText" text="ds">
      <formula>NOT(ISERROR(SEARCH("ds",BQ19)))</formula>
    </cfRule>
    <cfRule type="containsText" dxfId="2128" priority="2196" operator="containsText" text="subobs">
      <formula>NOT(ISERROR(SEARCH("subobs",BQ19)))</formula>
    </cfRule>
    <cfRule type="containsText" dxfId="2127" priority="2197" stopIfTrue="1" operator="containsText" text="(Call)">
      <formula>NOT(ISERROR(SEARCH("(Call)",BQ19)))</formula>
    </cfRule>
    <cfRule type="containsText" dxfId="2126" priority="2206" operator="containsText" text="9ab">
      <formula>NOT(ISERROR(SEARCH("9ab",BQ19)))</formula>
    </cfRule>
    <cfRule type="cellIs" dxfId="2125" priority="2207" stopIfTrue="1" operator="equal">
      <formula>"leave"</formula>
    </cfRule>
    <cfRule type="containsText" dxfId="2124" priority="2208" operator="containsText" text="ds">
      <formula>NOT(ISERROR(SEARCH("ds",BQ19)))</formula>
    </cfRule>
    <cfRule type="containsText" dxfId="2123" priority="2209" operator="containsText" text="subobs">
      <formula>NOT(ISERROR(SEARCH("subobs",BQ19)))</formula>
    </cfRule>
    <cfRule type="containsText" dxfId="2122" priority="2210" operator="containsText" text="Call">
      <formula>NOT(ISERROR(SEARCH("Call",BQ19)))</formula>
    </cfRule>
  </conditionalFormatting>
  <conditionalFormatting sqref="BQ28:BQ33">
    <cfRule type="containsText" dxfId="2121" priority="2025" operator="containsText" text="9ab">
      <formula>NOT(ISERROR(SEARCH("9ab",BQ28)))</formula>
    </cfRule>
    <cfRule type="cellIs" dxfId="2120" priority="2026" stopIfTrue="1" operator="equal">
      <formula>"leave"</formula>
    </cfRule>
    <cfRule type="containsText" dxfId="2119" priority="2027" operator="containsText" text="ds">
      <formula>NOT(ISERROR(SEARCH("ds",BQ28)))</formula>
    </cfRule>
    <cfRule type="containsText" dxfId="2118" priority="2028" operator="containsText" text="subobs">
      <formula>NOT(ISERROR(SEARCH("subobs",BQ28)))</formula>
    </cfRule>
    <cfRule type="containsText" dxfId="2117" priority="2029" operator="containsText" text="Call">
      <formula>NOT(ISERROR(SEARCH("Call",BQ28)))</formula>
    </cfRule>
    <cfRule type="containsText" dxfId="2116" priority="2037" operator="containsText" text="9ab">
      <formula>NOT(ISERROR(SEARCH("9ab",BQ28)))</formula>
    </cfRule>
    <cfRule type="cellIs" dxfId="2115" priority="2038" stopIfTrue="1" operator="equal">
      <formula>"leave"</formula>
    </cfRule>
    <cfRule type="containsText" dxfId="2114" priority="2039" operator="containsText" text="ds">
      <formula>NOT(ISERROR(SEARCH("ds",BQ28)))</formula>
    </cfRule>
    <cfRule type="containsText" dxfId="2113" priority="2040" operator="containsText" text="subobs">
      <formula>NOT(ISERROR(SEARCH("subobs",BQ28)))</formula>
    </cfRule>
    <cfRule type="containsText" dxfId="2112" priority="2041" operator="containsText" text="Call">
      <formula>NOT(ISERROR(SEARCH("Call",BQ28)))</formula>
    </cfRule>
  </conditionalFormatting>
  <conditionalFormatting sqref="BQ28:BQ35">
    <cfRule type="containsText" dxfId="2111" priority="2031" operator="containsText" text="9ab">
      <formula>NOT(ISERROR(SEARCH("9ab",BQ28)))</formula>
    </cfRule>
    <cfRule type="cellIs" dxfId="2110" priority="2032" stopIfTrue="1" operator="equal">
      <formula>"leave"</formula>
    </cfRule>
    <cfRule type="containsText" dxfId="2109" priority="2033" operator="containsText" text="ds">
      <formula>NOT(ISERROR(SEARCH("ds",BQ28)))</formula>
    </cfRule>
    <cfRule type="containsText" dxfId="2108" priority="2034" operator="containsText" text="subobs">
      <formula>NOT(ISERROR(SEARCH("subobs",BQ28)))</formula>
    </cfRule>
    <cfRule type="containsText" dxfId="2107" priority="2035" stopIfTrue="1" operator="containsText" text="(Call)">
      <formula>NOT(ISERROR(SEARCH("(Call)",BQ28)))</formula>
    </cfRule>
    <cfRule type="containsText" dxfId="2106" priority="2044" operator="containsText" text="9ab">
      <formula>NOT(ISERROR(SEARCH("9ab",BQ28)))</formula>
    </cfRule>
    <cfRule type="cellIs" dxfId="2105" priority="2045" stopIfTrue="1" operator="equal">
      <formula>"leave"</formula>
    </cfRule>
    <cfRule type="containsText" dxfId="2104" priority="2046" operator="containsText" text="ds">
      <formula>NOT(ISERROR(SEARCH("ds",BQ28)))</formula>
    </cfRule>
    <cfRule type="containsText" dxfId="2103" priority="2047" operator="containsText" text="subobs">
      <formula>NOT(ISERROR(SEARCH("subobs",BQ28)))</formula>
    </cfRule>
    <cfRule type="containsText" dxfId="2102" priority="2048" operator="containsText" text="Call">
      <formula>NOT(ISERROR(SEARCH("Call",BQ28)))</formula>
    </cfRule>
  </conditionalFormatting>
  <conditionalFormatting sqref="BQ37:BQ42">
    <cfRule type="containsText" dxfId="2101" priority="1782" operator="containsText" text="9ab">
      <formula>NOT(ISERROR(SEARCH("9ab",BQ37)))</formula>
    </cfRule>
    <cfRule type="cellIs" dxfId="2100" priority="1783" stopIfTrue="1" operator="equal">
      <formula>"leave"</formula>
    </cfRule>
    <cfRule type="containsText" dxfId="2099" priority="1784" operator="containsText" text="ds">
      <formula>NOT(ISERROR(SEARCH("ds",BQ37)))</formula>
    </cfRule>
    <cfRule type="containsText" dxfId="2098" priority="1785" operator="containsText" text="subobs">
      <formula>NOT(ISERROR(SEARCH("subobs",BQ37)))</formula>
    </cfRule>
    <cfRule type="containsText" dxfId="2097" priority="1786" operator="containsText" text="Call">
      <formula>NOT(ISERROR(SEARCH("Call",BQ37)))</formula>
    </cfRule>
    <cfRule type="containsText" dxfId="2096" priority="1788" operator="containsText" text="9ab">
      <formula>NOT(ISERROR(SEARCH("9ab",BQ37)))</formula>
    </cfRule>
    <cfRule type="cellIs" dxfId="2095" priority="1789" stopIfTrue="1" operator="equal">
      <formula>"leave"</formula>
    </cfRule>
    <cfRule type="containsText" dxfId="2094" priority="1790" operator="containsText" text="ds">
      <formula>NOT(ISERROR(SEARCH("ds",BQ37)))</formula>
    </cfRule>
    <cfRule type="containsText" dxfId="2093" priority="1791" operator="containsText" text="subobs">
      <formula>NOT(ISERROR(SEARCH("subobs",BQ37)))</formula>
    </cfRule>
    <cfRule type="containsText" dxfId="2092" priority="1792" stopIfTrue="1" operator="containsText" text="(Call)">
      <formula>NOT(ISERROR(SEARCH("(Call)",BQ37)))</formula>
    </cfRule>
    <cfRule type="containsText" dxfId="2091" priority="1794" operator="containsText" text="9ab">
      <formula>NOT(ISERROR(SEARCH("9ab",BQ37)))</formula>
    </cfRule>
    <cfRule type="cellIs" dxfId="2090" priority="1795" stopIfTrue="1" operator="equal">
      <formula>"leave"</formula>
    </cfRule>
    <cfRule type="containsText" dxfId="2089" priority="1796" operator="containsText" text="ds">
      <formula>NOT(ISERROR(SEARCH("ds",BQ37)))</formula>
    </cfRule>
    <cfRule type="containsText" dxfId="2088" priority="1797" operator="containsText" text="subobs">
      <formula>NOT(ISERROR(SEARCH("subobs",BQ37)))</formula>
    </cfRule>
    <cfRule type="containsText" dxfId="2087" priority="1798" operator="containsText" text="Call">
      <formula>NOT(ISERROR(SEARCH("Call",BQ37)))</formula>
    </cfRule>
    <cfRule type="containsText" dxfId="2086" priority="1800" operator="containsText" text="9ab">
      <formula>NOT(ISERROR(SEARCH("9ab",BQ37)))</formula>
    </cfRule>
    <cfRule type="cellIs" dxfId="2085" priority="1801" stopIfTrue="1" operator="equal">
      <formula>"leave"</formula>
    </cfRule>
    <cfRule type="containsText" dxfId="2084" priority="1802" operator="containsText" text="ds">
      <formula>NOT(ISERROR(SEARCH("ds",BQ37)))</formula>
    </cfRule>
    <cfRule type="containsText" dxfId="2083" priority="1803" operator="containsText" text="subobs">
      <formula>NOT(ISERROR(SEARCH("subobs",BQ37)))</formula>
    </cfRule>
    <cfRule type="containsText" dxfId="2082" priority="1804" operator="containsText" text="Call">
      <formula>NOT(ISERROR(SEARCH("Call",BQ37)))</formula>
    </cfRule>
    <cfRule type="containsText" dxfId="2081" priority="1806" operator="containsText" text="9ab">
      <formula>NOT(ISERROR(SEARCH("9ab",BQ37)))</formula>
    </cfRule>
    <cfRule type="cellIs" dxfId="2080" priority="1807" stopIfTrue="1" operator="equal">
      <formula>"leave"</formula>
    </cfRule>
    <cfRule type="containsText" dxfId="2079" priority="1808" operator="containsText" text="ds">
      <formula>NOT(ISERROR(SEARCH("ds",BQ37)))</formula>
    </cfRule>
    <cfRule type="containsText" dxfId="2078" priority="1809" operator="containsText" text="subobs">
      <formula>NOT(ISERROR(SEARCH("subobs",BQ37)))</formula>
    </cfRule>
    <cfRule type="containsText" dxfId="2077" priority="1810" operator="containsText" text="Call">
      <formula>NOT(ISERROR(SEARCH("Call",BQ37)))</formula>
    </cfRule>
    <cfRule type="containsText" dxfId="2076" priority="1814" operator="containsText" text="9ab">
      <formula>NOT(ISERROR(SEARCH("9ab",BQ37)))</formula>
    </cfRule>
    <cfRule type="cellIs" dxfId="2075" priority="1815" stopIfTrue="1" operator="equal">
      <formula>"leave"</formula>
    </cfRule>
    <cfRule type="containsText" dxfId="2074" priority="1816" operator="containsText" text="ds">
      <formula>NOT(ISERROR(SEARCH("ds",BQ37)))</formula>
    </cfRule>
    <cfRule type="containsText" dxfId="2073" priority="1817" operator="containsText" text="subobs">
      <formula>NOT(ISERROR(SEARCH("subobs",BQ37)))</formula>
    </cfRule>
    <cfRule type="containsText" dxfId="2072" priority="1818" operator="containsText" text="Call">
      <formula>NOT(ISERROR(SEARCH("Call",BQ37)))</formula>
    </cfRule>
    <cfRule type="containsText" dxfId="2071" priority="1821" operator="containsText" text="9ab">
      <formula>NOT(ISERROR(SEARCH("9ab",BQ37)))</formula>
    </cfRule>
    <cfRule type="cellIs" dxfId="2070" priority="1822" stopIfTrue="1" operator="equal">
      <formula>"leave"</formula>
    </cfRule>
    <cfRule type="containsText" dxfId="2069" priority="1823" operator="containsText" text="ds">
      <formula>NOT(ISERROR(SEARCH("ds",BQ37)))</formula>
    </cfRule>
    <cfRule type="containsText" dxfId="2068" priority="1824" operator="containsText" text="subobs">
      <formula>NOT(ISERROR(SEARCH("subobs",BQ37)))</formula>
    </cfRule>
    <cfRule type="containsText" dxfId="2067" priority="1825" stopIfTrue="1" operator="containsText" text="(Call)">
      <formula>NOT(ISERROR(SEARCH("(Call)",BQ37)))</formula>
    </cfRule>
  </conditionalFormatting>
  <conditionalFormatting sqref="BQ36:BR42">
    <cfRule type="containsText" dxfId="2066" priority="1812" operator="containsText" text="b1">
      <formula>NOT(ISERROR(SEARCH("b1",BQ36)))</formula>
    </cfRule>
    <cfRule type="cellIs" dxfId="2065" priority="1813" operator="equal">
      <formula>0</formula>
    </cfRule>
    <cfRule type="containsText" dxfId="2064" priority="1820" stopIfTrue="1" operator="containsText" text="go">
      <formula>NOT(ISERROR(SEARCH("go",BQ36)))</formula>
    </cfRule>
    <cfRule type="cellIs" dxfId="2063" priority="1827" operator="equal">
      <formula>"ps_cover"</formula>
    </cfRule>
    <cfRule type="containsText" dxfId="2062" priority="1828" stopIfTrue="1" operator="containsText" text="9ab">
      <formula>NOT(ISERROR(SEARCH("9ab",BQ36)))</formula>
    </cfRule>
    <cfRule type="containsText" dxfId="2061" priority="1829" stopIfTrue="1" operator="containsText" text="ds">
      <formula>NOT(ISERROR(SEARCH("ds",BQ36)))</formula>
    </cfRule>
    <cfRule type="containsText" dxfId="2060" priority="1830" stopIfTrue="1" operator="containsText" text="subobs">
      <formula>NOT(ISERROR(SEARCH("subobs",BQ36)))</formula>
    </cfRule>
  </conditionalFormatting>
  <conditionalFormatting sqref="BQ36:BV42">
    <cfRule type="containsText" dxfId="2059" priority="1774" operator="containsText" text="(Call)">
      <formula>NOT(ISERROR(SEARCH("(Call)",BQ36)))</formula>
    </cfRule>
  </conditionalFormatting>
  <conditionalFormatting sqref="BR19:BV25">
    <cfRule type="cellIs" dxfId="2058" priority="1948" operator="equal">
      <formula>0</formula>
    </cfRule>
  </conditionalFormatting>
  <conditionalFormatting sqref="BS36:BV42">
    <cfRule type="containsText" dxfId="2057" priority="1775" operator="containsText" text="b1">
      <formula>NOT(ISERROR(SEARCH("b1",BS36)))</formula>
    </cfRule>
    <cfRule type="cellIs" dxfId="2056" priority="1776" operator="equal">
      <formula>0</formula>
    </cfRule>
    <cfRule type="containsText" dxfId="2055" priority="1777" stopIfTrue="1" operator="containsText" text="go">
      <formula>NOT(ISERROR(SEARCH("go",BS36)))</formula>
    </cfRule>
    <cfRule type="cellIs" dxfId="2054" priority="1778" operator="equal">
      <formula>"ps_cover"</formula>
    </cfRule>
    <cfRule type="containsText" dxfId="2053" priority="1779" stopIfTrue="1" operator="containsText" text="9ab">
      <formula>NOT(ISERROR(SEARCH("9ab",BS36)))</formula>
    </cfRule>
    <cfRule type="containsText" dxfId="2052" priority="1780" stopIfTrue="1" operator="containsText" text="ds">
      <formula>NOT(ISERROR(SEARCH("ds",BS36)))</formula>
    </cfRule>
    <cfRule type="containsText" dxfId="2051" priority="1781" stopIfTrue="1" operator="containsText" text="subobs">
      <formula>NOT(ISERROR(SEARCH("subobs",BS36)))</formula>
    </cfRule>
  </conditionalFormatting>
  <conditionalFormatting sqref="BW19:CC26">
    <cfRule type="cellIs" dxfId="2050" priority="2180" operator="equal">
      <formula>0</formula>
    </cfRule>
  </conditionalFormatting>
  <conditionalFormatting sqref="BW28:CC35">
    <cfRule type="cellIs" dxfId="2049" priority="2018" operator="equal">
      <formula>0</formula>
    </cfRule>
  </conditionalFormatting>
  <conditionalFormatting sqref="BX19:BX25">
    <cfRule type="containsText" dxfId="2048" priority="2162" operator="containsText" text="9ab">
      <formula>NOT(ISERROR(SEARCH("9ab",BX19)))</formula>
    </cfRule>
    <cfRule type="cellIs" dxfId="2047" priority="2163" stopIfTrue="1" operator="equal">
      <formula>"leave"</formula>
    </cfRule>
    <cfRule type="containsText" dxfId="2046" priority="2164" operator="containsText" text="ds">
      <formula>NOT(ISERROR(SEARCH("ds",BX19)))</formula>
    </cfRule>
    <cfRule type="containsText" dxfId="2045" priority="2165" operator="containsText" text="subobs">
      <formula>NOT(ISERROR(SEARCH("subobs",BX19)))</formula>
    </cfRule>
    <cfRule type="containsText" dxfId="2044" priority="2166" operator="containsText" text="Call">
      <formula>NOT(ISERROR(SEARCH("Call",BX19)))</formula>
    </cfRule>
    <cfRule type="containsText" dxfId="2043" priority="2174" operator="containsText" text="9ab">
      <formula>NOT(ISERROR(SEARCH("9ab",BX19)))</formula>
    </cfRule>
    <cfRule type="cellIs" dxfId="2042" priority="2175" stopIfTrue="1" operator="equal">
      <formula>"leave"</formula>
    </cfRule>
    <cfRule type="containsText" dxfId="2041" priority="2176" operator="containsText" text="ds">
      <formula>NOT(ISERROR(SEARCH("ds",BX19)))</formula>
    </cfRule>
    <cfRule type="containsText" dxfId="2040" priority="2177" operator="containsText" text="subobs">
      <formula>NOT(ISERROR(SEARCH("subobs",BX19)))</formula>
    </cfRule>
    <cfRule type="containsText" dxfId="2039" priority="2178" operator="containsText" text="Call">
      <formula>NOT(ISERROR(SEARCH("Call",BX19)))</formula>
    </cfRule>
  </conditionalFormatting>
  <conditionalFormatting sqref="BX19:BX26">
    <cfRule type="containsText" dxfId="2038" priority="2168" operator="containsText" text="9ab">
      <formula>NOT(ISERROR(SEARCH("9ab",BX19)))</formula>
    </cfRule>
    <cfRule type="cellIs" dxfId="2037" priority="2169" stopIfTrue="1" operator="equal">
      <formula>"leave"</formula>
    </cfRule>
    <cfRule type="containsText" dxfId="2036" priority="2170" operator="containsText" text="ds">
      <formula>NOT(ISERROR(SEARCH("ds",BX19)))</formula>
    </cfRule>
    <cfRule type="containsText" dxfId="2035" priority="2171" operator="containsText" text="subobs">
      <formula>NOT(ISERROR(SEARCH("subobs",BX19)))</formula>
    </cfRule>
    <cfRule type="containsText" dxfId="2034" priority="2172" stopIfTrue="1" operator="containsText" text="(Call)">
      <formula>NOT(ISERROR(SEARCH("(Call)",BX19)))</formula>
    </cfRule>
    <cfRule type="containsText" dxfId="2033" priority="2181" operator="containsText" text="9ab">
      <formula>NOT(ISERROR(SEARCH("9ab",BX19)))</formula>
    </cfRule>
    <cfRule type="cellIs" dxfId="2032" priority="2182" stopIfTrue="1" operator="equal">
      <formula>"leave"</formula>
    </cfRule>
    <cfRule type="containsText" dxfId="2031" priority="2183" operator="containsText" text="ds">
      <formula>NOT(ISERROR(SEARCH("ds",BX19)))</formula>
    </cfRule>
    <cfRule type="containsText" dxfId="2030" priority="2184" operator="containsText" text="subobs">
      <formula>NOT(ISERROR(SEARCH("subobs",BX19)))</formula>
    </cfRule>
    <cfRule type="containsText" dxfId="2029" priority="2185" operator="containsText" text="Call">
      <formula>NOT(ISERROR(SEARCH("Call",BX19)))</formula>
    </cfRule>
  </conditionalFormatting>
  <conditionalFormatting sqref="BX28:BX33">
    <cfRule type="containsText" dxfId="2028" priority="2000" operator="containsText" text="9ab">
      <formula>NOT(ISERROR(SEARCH("9ab",BX28)))</formula>
    </cfRule>
    <cfRule type="cellIs" dxfId="2027" priority="2001" stopIfTrue="1" operator="equal">
      <formula>"leave"</formula>
    </cfRule>
    <cfRule type="containsText" dxfId="2026" priority="2002" operator="containsText" text="ds">
      <formula>NOT(ISERROR(SEARCH("ds",BX28)))</formula>
    </cfRule>
    <cfRule type="containsText" dxfId="2025" priority="2003" operator="containsText" text="subobs">
      <formula>NOT(ISERROR(SEARCH("subobs",BX28)))</formula>
    </cfRule>
    <cfRule type="containsText" dxfId="2024" priority="2004" operator="containsText" text="Call">
      <formula>NOT(ISERROR(SEARCH("Call",BX28)))</formula>
    </cfRule>
    <cfRule type="containsText" dxfId="2023" priority="2012" operator="containsText" text="9ab">
      <formula>NOT(ISERROR(SEARCH("9ab",BX28)))</formula>
    </cfRule>
    <cfRule type="cellIs" dxfId="2022" priority="2013" stopIfTrue="1" operator="equal">
      <formula>"leave"</formula>
    </cfRule>
    <cfRule type="containsText" dxfId="2021" priority="2014" operator="containsText" text="ds">
      <formula>NOT(ISERROR(SEARCH("ds",BX28)))</formula>
    </cfRule>
    <cfRule type="containsText" dxfId="2020" priority="2015" operator="containsText" text="subobs">
      <formula>NOT(ISERROR(SEARCH("subobs",BX28)))</formula>
    </cfRule>
    <cfRule type="containsText" dxfId="2019" priority="2016" operator="containsText" text="Call">
      <formula>NOT(ISERROR(SEARCH("Call",BX28)))</formula>
    </cfRule>
  </conditionalFormatting>
  <conditionalFormatting sqref="BX28:BX35">
    <cfRule type="containsText" dxfId="2018" priority="2006" operator="containsText" text="9ab">
      <formula>NOT(ISERROR(SEARCH("9ab",BX28)))</formula>
    </cfRule>
    <cfRule type="cellIs" dxfId="2017" priority="2007" stopIfTrue="1" operator="equal">
      <formula>"leave"</formula>
    </cfRule>
    <cfRule type="containsText" dxfId="2016" priority="2008" operator="containsText" text="ds">
      <formula>NOT(ISERROR(SEARCH("ds",BX28)))</formula>
    </cfRule>
    <cfRule type="containsText" dxfId="2015" priority="2009" operator="containsText" text="subobs">
      <formula>NOT(ISERROR(SEARCH("subobs",BX28)))</formula>
    </cfRule>
    <cfRule type="containsText" dxfId="2014" priority="2010" stopIfTrue="1" operator="containsText" text="(Call)">
      <formula>NOT(ISERROR(SEARCH("(Call)",BX28)))</formula>
    </cfRule>
    <cfRule type="containsText" dxfId="2013" priority="2019" operator="containsText" text="9ab">
      <formula>NOT(ISERROR(SEARCH("9ab",BX28)))</formula>
    </cfRule>
    <cfRule type="cellIs" dxfId="2012" priority="2020" stopIfTrue="1" operator="equal">
      <formula>"leave"</formula>
    </cfRule>
    <cfRule type="containsText" dxfId="2011" priority="2021" operator="containsText" text="ds">
      <formula>NOT(ISERROR(SEARCH("ds",BX28)))</formula>
    </cfRule>
    <cfRule type="containsText" dxfId="2010" priority="2022" operator="containsText" text="subobs">
      <formula>NOT(ISERROR(SEARCH("subobs",BX28)))</formula>
    </cfRule>
    <cfRule type="containsText" dxfId="2009" priority="2023" operator="containsText" text="Call">
      <formula>NOT(ISERROR(SEARCH("Call",BX28)))</formula>
    </cfRule>
  </conditionalFormatting>
  <conditionalFormatting sqref="BX37:BX42">
    <cfRule type="containsText" dxfId="2008" priority="1725" operator="containsText" text="9ab">
      <formula>NOT(ISERROR(SEARCH("9ab",BX37)))</formula>
    </cfRule>
    <cfRule type="cellIs" dxfId="2007" priority="1726" stopIfTrue="1" operator="equal">
      <formula>"leave"</formula>
    </cfRule>
    <cfRule type="containsText" dxfId="2006" priority="1727" operator="containsText" text="ds">
      <formula>NOT(ISERROR(SEARCH("ds",BX37)))</formula>
    </cfRule>
    <cfRule type="containsText" dxfId="2005" priority="1728" operator="containsText" text="subobs">
      <formula>NOT(ISERROR(SEARCH("subobs",BX37)))</formula>
    </cfRule>
    <cfRule type="containsText" dxfId="2004" priority="1729" operator="containsText" text="Call">
      <formula>NOT(ISERROR(SEARCH("Call",BX37)))</formula>
    </cfRule>
    <cfRule type="containsText" dxfId="2003" priority="1731" operator="containsText" text="9ab">
      <formula>NOT(ISERROR(SEARCH("9ab",BX37)))</formula>
    </cfRule>
    <cfRule type="cellIs" dxfId="2002" priority="1732" stopIfTrue="1" operator="equal">
      <formula>"leave"</formula>
    </cfRule>
    <cfRule type="containsText" dxfId="2001" priority="1733" operator="containsText" text="ds">
      <formula>NOT(ISERROR(SEARCH("ds",BX37)))</formula>
    </cfRule>
    <cfRule type="containsText" dxfId="2000" priority="1734" operator="containsText" text="subobs">
      <formula>NOT(ISERROR(SEARCH("subobs",BX37)))</formula>
    </cfRule>
    <cfRule type="containsText" dxfId="1999" priority="1735" stopIfTrue="1" operator="containsText" text="(Call)">
      <formula>NOT(ISERROR(SEARCH("(Call)",BX37)))</formula>
    </cfRule>
    <cfRule type="containsText" dxfId="1998" priority="1737" operator="containsText" text="9ab">
      <formula>NOT(ISERROR(SEARCH("9ab",BX37)))</formula>
    </cfRule>
    <cfRule type="cellIs" dxfId="1997" priority="1738" stopIfTrue="1" operator="equal">
      <formula>"leave"</formula>
    </cfRule>
    <cfRule type="containsText" dxfId="1996" priority="1739" operator="containsText" text="ds">
      <formula>NOT(ISERROR(SEARCH("ds",BX37)))</formula>
    </cfRule>
    <cfRule type="containsText" dxfId="1995" priority="1740" operator="containsText" text="subobs">
      <formula>NOT(ISERROR(SEARCH("subobs",BX37)))</formula>
    </cfRule>
    <cfRule type="containsText" dxfId="1994" priority="1741" operator="containsText" text="Call">
      <formula>NOT(ISERROR(SEARCH("Call",BX37)))</formula>
    </cfRule>
    <cfRule type="containsText" dxfId="1993" priority="1743" operator="containsText" text="9ab">
      <formula>NOT(ISERROR(SEARCH("9ab",BX37)))</formula>
    </cfRule>
    <cfRule type="cellIs" dxfId="1992" priority="1744" stopIfTrue="1" operator="equal">
      <formula>"leave"</formula>
    </cfRule>
    <cfRule type="containsText" dxfId="1991" priority="1745" operator="containsText" text="ds">
      <formula>NOT(ISERROR(SEARCH("ds",BX37)))</formula>
    </cfRule>
    <cfRule type="containsText" dxfId="1990" priority="1746" operator="containsText" text="subobs">
      <formula>NOT(ISERROR(SEARCH("subobs",BX37)))</formula>
    </cfRule>
    <cfRule type="containsText" dxfId="1989" priority="1747" operator="containsText" text="Call">
      <formula>NOT(ISERROR(SEARCH("Call",BX37)))</formula>
    </cfRule>
    <cfRule type="containsText" dxfId="1988" priority="1749" operator="containsText" text="9ab">
      <formula>NOT(ISERROR(SEARCH("9ab",BX37)))</formula>
    </cfRule>
    <cfRule type="cellIs" dxfId="1987" priority="1750" stopIfTrue="1" operator="equal">
      <formula>"leave"</formula>
    </cfRule>
    <cfRule type="containsText" dxfId="1986" priority="1751" operator="containsText" text="ds">
      <formula>NOT(ISERROR(SEARCH("ds",BX37)))</formula>
    </cfRule>
    <cfRule type="containsText" dxfId="1985" priority="1752" operator="containsText" text="subobs">
      <formula>NOT(ISERROR(SEARCH("subobs",BX37)))</formula>
    </cfRule>
    <cfRule type="containsText" dxfId="1984" priority="1753" operator="containsText" text="Call">
      <formula>NOT(ISERROR(SEARCH("Call",BX37)))</formula>
    </cfRule>
    <cfRule type="containsText" dxfId="1983" priority="1757" operator="containsText" text="9ab">
      <formula>NOT(ISERROR(SEARCH("9ab",BX37)))</formula>
    </cfRule>
    <cfRule type="cellIs" dxfId="1982" priority="1758" stopIfTrue="1" operator="equal">
      <formula>"leave"</formula>
    </cfRule>
    <cfRule type="containsText" dxfId="1981" priority="1759" operator="containsText" text="ds">
      <formula>NOT(ISERROR(SEARCH("ds",BX37)))</formula>
    </cfRule>
    <cfRule type="containsText" dxfId="1980" priority="1760" operator="containsText" text="subobs">
      <formula>NOT(ISERROR(SEARCH("subobs",BX37)))</formula>
    </cfRule>
    <cfRule type="containsText" dxfId="1979" priority="1761" operator="containsText" text="Call">
      <formula>NOT(ISERROR(SEARCH("Call",BX37)))</formula>
    </cfRule>
    <cfRule type="containsText" dxfId="1978" priority="1764" operator="containsText" text="9ab">
      <formula>NOT(ISERROR(SEARCH("9ab",BX37)))</formula>
    </cfRule>
    <cfRule type="cellIs" dxfId="1977" priority="1765" stopIfTrue="1" operator="equal">
      <formula>"leave"</formula>
    </cfRule>
    <cfRule type="containsText" dxfId="1976" priority="1766" operator="containsText" text="ds">
      <formula>NOT(ISERROR(SEARCH("ds",BX37)))</formula>
    </cfRule>
    <cfRule type="containsText" dxfId="1975" priority="1767" operator="containsText" text="subobs">
      <formula>NOT(ISERROR(SEARCH("subobs",BX37)))</formula>
    </cfRule>
    <cfRule type="containsText" dxfId="1974" priority="1768" stopIfTrue="1" operator="containsText" text="(Call)">
      <formula>NOT(ISERROR(SEARCH("(Call)",BX37)))</formula>
    </cfRule>
  </conditionalFormatting>
  <conditionalFormatting sqref="BX36:BY42">
    <cfRule type="containsText" dxfId="1973" priority="1755" operator="containsText" text="b1">
      <formula>NOT(ISERROR(SEARCH("b1",BX36)))</formula>
    </cfRule>
    <cfRule type="cellIs" dxfId="1972" priority="1756" operator="equal">
      <formula>0</formula>
    </cfRule>
    <cfRule type="containsText" dxfId="1971" priority="1763" stopIfTrue="1" operator="containsText" text="go">
      <formula>NOT(ISERROR(SEARCH("go",BX36)))</formula>
    </cfRule>
    <cfRule type="cellIs" dxfId="1970" priority="1770" operator="equal">
      <formula>"ps_cover"</formula>
    </cfRule>
    <cfRule type="containsText" dxfId="1969" priority="1771" stopIfTrue="1" operator="containsText" text="9ab">
      <formula>NOT(ISERROR(SEARCH("9ab",BX36)))</formula>
    </cfRule>
    <cfRule type="containsText" dxfId="1968" priority="1772" stopIfTrue="1" operator="containsText" text="ds">
      <formula>NOT(ISERROR(SEARCH("ds",BX36)))</formula>
    </cfRule>
    <cfRule type="containsText" dxfId="1967" priority="1773" stopIfTrue="1" operator="containsText" text="subobs">
      <formula>NOT(ISERROR(SEARCH("subobs",BX36)))</formula>
    </cfRule>
  </conditionalFormatting>
  <conditionalFormatting sqref="BX36:CC42">
    <cfRule type="containsText" dxfId="1966" priority="1717" operator="containsText" text="(Call)">
      <formula>NOT(ISERROR(SEARCH("(Call)",BX36)))</formula>
    </cfRule>
  </conditionalFormatting>
  <conditionalFormatting sqref="BY19:CC25">
    <cfRule type="cellIs" dxfId="1965" priority="1947" operator="equal">
      <formula>0</formula>
    </cfRule>
  </conditionalFormatting>
  <conditionalFormatting sqref="BZ36:CC42">
    <cfRule type="containsText" dxfId="1964" priority="1718" operator="containsText" text="b1">
      <formula>NOT(ISERROR(SEARCH("b1",BZ36)))</formula>
    </cfRule>
    <cfRule type="cellIs" dxfId="1963" priority="1719" operator="equal">
      <formula>0</formula>
    </cfRule>
    <cfRule type="containsText" dxfId="1962" priority="1720" stopIfTrue="1" operator="containsText" text="go">
      <formula>NOT(ISERROR(SEARCH("go",BZ36)))</formula>
    </cfRule>
    <cfRule type="cellIs" dxfId="1961" priority="1721" operator="equal">
      <formula>"ps_cover"</formula>
    </cfRule>
    <cfRule type="containsText" dxfId="1960" priority="1722" stopIfTrue="1" operator="containsText" text="9ab">
      <formula>NOT(ISERROR(SEARCH("9ab",BZ36)))</formula>
    </cfRule>
    <cfRule type="containsText" dxfId="1959" priority="1723" stopIfTrue="1" operator="containsText" text="ds">
      <formula>NOT(ISERROR(SEARCH("ds",BZ36)))</formula>
    </cfRule>
    <cfRule type="containsText" dxfId="1958" priority="1724" stopIfTrue="1" operator="containsText" text="subobs">
      <formula>NOT(ISERROR(SEARCH("subobs",BZ36)))</formula>
    </cfRule>
  </conditionalFormatting>
  <conditionalFormatting sqref="CD19:CJ26">
    <cfRule type="cellIs" dxfId="1957" priority="2155" operator="equal">
      <formula>0</formula>
    </cfRule>
  </conditionalFormatting>
  <conditionalFormatting sqref="CD28:CJ35">
    <cfRule type="cellIs" dxfId="1956" priority="1993" operator="equal">
      <formula>0</formula>
    </cfRule>
  </conditionalFormatting>
  <conditionalFormatting sqref="CE19:CE25">
    <cfRule type="containsText" dxfId="1955" priority="2137" operator="containsText" text="9ab">
      <formula>NOT(ISERROR(SEARCH("9ab",CE19)))</formula>
    </cfRule>
    <cfRule type="cellIs" dxfId="1954" priority="2138" stopIfTrue="1" operator="equal">
      <formula>"leave"</formula>
    </cfRule>
    <cfRule type="containsText" dxfId="1953" priority="2139" operator="containsText" text="ds">
      <formula>NOT(ISERROR(SEARCH("ds",CE19)))</formula>
    </cfRule>
    <cfRule type="containsText" dxfId="1952" priority="2140" operator="containsText" text="subobs">
      <formula>NOT(ISERROR(SEARCH("subobs",CE19)))</formula>
    </cfRule>
    <cfRule type="containsText" dxfId="1951" priority="2141" operator="containsText" text="Call">
      <formula>NOT(ISERROR(SEARCH("Call",CE19)))</formula>
    </cfRule>
    <cfRule type="containsText" dxfId="1950" priority="2149" operator="containsText" text="9ab">
      <formula>NOT(ISERROR(SEARCH("9ab",CE19)))</formula>
    </cfRule>
    <cfRule type="cellIs" dxfId="1949" priority="2150" stopIfTrue="1" operator="equal">
      <formula>"leave"</formula>
    </cfRule>
    <cfRule type="containsText" dxfId="1948" priority="2151" operator="containsText" text="ds">
      <formula>NOT(ISERROR(SEARCH("ds",CE19)))</formula>
    </cfRule>
    <cfRule type="containsText" dxfId="1947" priority="2152" operator="containsText" text="subobs">
      <formula>NOT(ISERROR(SEARCH("subobs",CE19)))</formula>
    </cfRule>
    <cfRule type="containsText" dxfId="1946" priority="2153" operator="containsText" text="Call">
      <formula>NOT(ISERROR(SEARCH("Call",CE19)))</formula>
    </cfRule>
  </conditionalFormatting>
  <conditionalFormatting sqref="CE19:CE26">
    <cfRule type="containsText" dxfId="1945" priority="2143" operator="containsText" text="9ab">
      <formula>NOT(ISERROR(SEARCH("9ab",CE19)))</formula>
    </cfRule>
    <cfRule type="cellIs" dxfId="1944" priority="2144" stopIfTrue="1" operator="equal">
      <formula>"leave"</formula>
    </cfRule>
    <cfRule type="containsText" dxfId="1943" priority="2145" operator="containsText" text="ds">
      <formula>NOT(ISERROR(SEARCH("ds",CE19)))</formula>
    </cfRule>
    <cfRule type="containsText" dxfId="1942" priority="2146" operator="containsText" text="subobs">
      <formula>NOT(ISERROR(SEARCH("subobs",CE19)))</formula>
    </cfRule>
    <cfRule type="containsText" dxfId="1941" priority="2147" stopIfTrue="1" operator="containsText" text="(Call)">
      <formula>NOT(ISERROR(SEARCH("(Call)",CE19)))</formula>
    </cfRule>
    <cfRule type="containsText" dxfId="1940" priority="2156" operator="containsText" text="9ab">
      <formula>NOT(ISERROR(SEARCH("9ab",CE19)))</formula>
    </cfRule>
    <cfRule type="cellIs" dxfId="1939" priority="2157" stopIfTrue="1" operator="equal">
      <formula>"leave"</formula>
    </cfRule>
    <cfRule type="containsText" dxfId="1938" priority="2158" operator="containsText" text="ds">
      <formula>NOT(ISERROR(SEARCH("ds",CE19)))</formula>
    </cfRule>
    <cfRule type="containsText" dxfId="1937" priority="2159" operator="containsText" text="subobs">
      <formula>NOT(ISERROR(SEARCH("subobs",CE19)))</formula>
    </cfRule>
    <cfRule type="containsText" dxfId="1936" priority="2160" operator="containsText" text="Call">
      <formula>NOT(ISERROR(SEARCH("Call",CE19)))</formula>
    </cfRule>
  </conditionalFormatting>
  <conditionalFormatting sqref="CE28:CE33">
    <cfRule type="containsText" dxfId="1935" priority="1975" operator="containsText" text="9ab">
      <formula>NOT(ISERROR(SEARCH("9ab",CE28)))</formula>
    </cfRule>
    <cfRule type="cellIs" dxfId="1934" priority="1976" stopIfTrue="1" operator="equal">
      <formula>"leave"</formula>
    </cfRule>
    <cfRule type="containsText" dxfId="1933" priority="1977" operator="containsText" text="ds">
      <formula>NOT(ISERROR(SEARCH("ds",CE28)))</formula>
    </cfRule>
    <cfRule type="containsText" dxfId="1932" priority="1978" operator="containsText" text="subobs">
      <formula>NOT(ISERROR(SEARCH("subobs",CE28)))</formula>
    </cfRule>
    <cfRule type="containsText" dxfId="1931" priority="1979" operator="containsText" text="Call">
      <formula>NOT(ISERROR(SEARCH("Call",CE28)))</formula>
    </cfRule>
    <cfRule type="containsText" dxfId="1930" priority="1987" operator="containsText" text="9ab">
      <formula>NOT(ISERROR(SEARCH("9ab",CE28)))</formula>
    </cfRule>
    <cfRule type="cellIs" dxfId="1929" priority="1988" stopIfTrue="1" operator="equal">
      <formula>"leave"</formula>
    </cfRule>
    <cfRule type="containsText" dxfId="1928" priority="1989" operator="containsText" text="ds">
      <formula>NOT(ISERROR(SEARCH("ds",CE28)))</formula>
    </cfRule>
    <cfRule type="containsText" dxfId="1927" priority="1990" operator="containsText" text="subobs">
      <formula>NOT(ISERROR(SEARCH("subobs",CE28)))</formula>
    </cfRule>
    <cfRule type="containsText" dxfId="1926" priority="1991" operator="containsText" text="Call">
      <formula>NOT(ISERROR(SEARCH("Call",CE28)))</formula>
    </cfRule>
  </conditionalFormatting>
  <conditionalFormatting sqref="CE28:CE35">
    <cfRule type="containsText" dxfId="1925" priority="1981" operator="containsText" text="9ab">
      <formula>NOT(ISERROR(SEARCH("9ab",CE28)))</formula>
    </cfRule>
    <cfRule type="cellIs" dxfId="1924" priority="1982" stopIfTrue="1" operator="equal">
      <formula>"leave"</formula>
    </cfRule>
    <cfRule type="containsText" dxfId="1923" priority="1983" operator="containsText" text="ds">
      <formula>NOT(ISERROR(SEARCH("ds",CE28)))</formula>
    </cfRule>
    <cfRule type="containsText" dxfId="1922" priority="1984" operator="containsText" text="subobs">
      <formula>NOT(ISERROR(SEARCH("subobs",CE28)))</formula>
    </cfRule>
    <cfRule type="containsText" dxfId="1921" priority="1985" stopIfTrue="1" operator="containsText" text="(Call)">
      <formula>NOT(ISERROR(SEARCH("(Call)",CE28)))</formula>
    </cfRule>
    <cfRule type="containsText" dxfId="1920" priority="1994" operator="containsText" text="9ab">
      <formula>NOT(ISERROR(SEARCH("9ab",CE28)))</formula>
    </cfRule>
    <cfRule type="cellIs" dxfId="1919" priority="1995" stopIfTrue="1" operator="equal">
      <formula>"leave"</formula>
    </cfRule>
    <cfRule type="containsText" dxfId="1918" priority="1996" operator="containsText" text="ds">
      <formula>NOT(ISERROR(SEARCH("ds",CE28)))</formula>
    </cfRule>
    <cfRule type="containsText" dxfId="1917" priority="1997" operator="containsText" text="subobs">
      <formula>NOT(ISERROR(SEARCH("subobs",CE28)))</formula>
    </cfRule>
    <cfRule type="containsText" dxfId="1916" priority="1998" operator="containsText" text="Call">
      <formula>NOT(ISERROR(SEARCH("Call",CE28)))</formula>
    </cfRule>
  </conditionalFormatting>
  <conditionalFormatting sqref="CE37:CE42">
    <cfRule type="containsText" dxfId="1915" priority="1668" operator="containsText" text="9ab">
      <formula>NOT(ISERROR(SEARCH("9ab",CE37)))</formula>
    </cfRule>
    <cfRule type="cellIs" dxfId="1914" priority="1669" stopIfTrue="1" operator="equal">
      <formula>"leave"</formula>
    </cfRule>
    <cfRule type="containsText" dxfId="1913" priority="1670" operator="containsText" text="ds">
      <formula>NOT(ISERROR(SEARCH("ds",CE37)))</formula>
    </cfRule>
    <cfRule type="containsText" dxfId="1912" priority="1671" operator="containsText" text="subobs">
      <formula>NOT(ISERROR(SEARCH("subobs",CE37)))</formula>
    </cfRule>
    <cfRule type="containsText" dxfId="1911" priority="1672" operator="containsText" text="Call">
      <formula>NOT(ISERROR(SEARCH("Call",CE37)))</formula>
    </cfRule>
    <cfRule type="containsText" dxfId="1910" priority="1674" operator="containsText" text="9ab">
      <formula>NOT(ISERROR(SEARCH("9ab",CE37)))</formula>
    </cfRule>
    <cfRule type="cellIs" dxfId="1909" priority="1675" stopIfTrue="1" operator="equal">
      <formula>"leave"</formula>
    </cfRule>
    <cfRule type="containsText" dxfId="1908" priority="1676" operator="containsText" text="ds">
      <formula>NOT(ISERROR(SEARCH("ds",CE37)))</formula>
    </cfRule>
    <cfRule type="containsText" dxfId="1907" priority="1677" operator="containsText" text="subobs">
      <formula>NOT(ISERROR(SEARCH("subobs",CE37)))</formula>
    </cfRule>
    <cfRule type="containsText" dxfId="1906" priority="1678" stopIfTrue="1" operator="containsText" text="(Call)">
      <formula>NOT(ISERROR(SEARCH("(Call)",CE37)))</formula>
    </cfRule>
    <cfRule type="containsText" dxfId="1905" priority="1680" operator="containsText" text="9ab">
      <formula>NOT(ISERROR(SEARCH("9ab",CE37)))</formula>
    </cfRule>
    <cfRule type="cellIs" dxfId="1904" priority="1681" stopIfTrue="1" operator="equal">
      <formula>"leave"</formula>
    </cfRule>
    <cfRule type="containsText" dxfId="1903" priority="1682" operator="containsText" text="ds">
      <formula>NOT(ISERROR(SEARCH("ds",CE37)))</formula>
    </cfRule>
    <cfRule type="containsText" dxfId="1902" priority="1683" operator="containsText" text="subobs">
      <formula>NOT(ISERROR(SEARCH("subobs",CE37)))</formula>
    </cfRule>
    <cfRule type="containsText" dxfId="1901" priority="1684" operator="containsText" text="Call">
      <formula>NOT(ISERROR(SEARCH("Call",CE37)))</formula>
    </cfRule>
    <cfRule type="containsText" dxfId="1900" priority="1686" operator="containsText" text="9ab">
      <formula>NOT(ISERROR(SEARCH("9ab",CE37)))</formula>
    </cfRule>
    <cfRule type="cellIs" dxfId="1899" priority="1687" stopIfTrue="1" operator="equal">
      <formula>"leave"</formula>
    </cfRule>
    <cfRule type="containsText" dxfId="1898" priority="1688" operator="containsText" text="ds">
      <formula>NOT(ISERROR(SEARCH("ds",CE37)))</formula>
    </cfRule>
    <cfRule type="containsText" dxfId="1897" priority="1689" operator="containsText" text="subobs">
      <formula>NOT(ISERROR(SEARCH("subobs",CE37)))</formula>
    </cfRule>
    <cfRule type="containsText" dxfId="1896" priority="1690" operator="containsText" text="Call">
      <formula>NOT(ISERROR(SEARCH("Call",CE37)))</formula>
    </cfRule>
    <cfRule type="containsText" dxfId="1895" priority="1692" operator="containsText" text="9ab">
      <formula>NOT(ISERROR(SEARCH("9ab",CE37)))</formula>
    </cfRule>
    <cfRule type="cellIs" dxfId="1894" priority="1693" stopIfTrue="1" operator="equal">
      <formula>"leave"</formula>
    </cfRule>
    <cfRule type="containsText" dxfId="1893" priority="1694" operator="containsText" text="ds">
      <formula>NOT(ISERROR(SEARCH("ds",CE37)))</formula>
    </cfRule>
    <cfRule type="containsText" dxfId="1892" priority="1695" operator="containsText" text="subobs">
      <formula>NOT(ISERROR(SEARCH("subobs",CE37)))</formula>
    </cfRule>
    <cfRule type="containsText" dxfId="1891" priority="1696" operator="containsText" text="Call">
      <formula>NOT(ISERROR(SEARCH("Call",CE37)))</formula>
    </cfRule>
    <cfRule type="containsText" dxfId="1890" priority="1700" operator="containsText" text="9ab">
      <formula>NOT(ISERROR(SEARCH("9ab",CE37)))</formula>
    </cfRule>
    <cfRule type="cellIs" dxfId="1889" priority="1701" stopIfTrue="1" operator="equal">
      <formula>"leave"</formula>
    </cfRule>
    <cfRule type="containsText" dxfId="1888" priority="1702" operator="containsText" text="ds">
      <formula>NOT(ISERROR(SEARCH("ds",CE37)))</formula>
    </cfRule>
    <cfRule type="containsText" dxfId="1887" priority="1703" operator="containsText" text="subobs">
      <formula>NOT(ISERROR(SEARCH("subobs",CE37)))</formula>
    </cfRule>
    <cfRule type="containsText" dxfId="1886" priority="1704" operator="containsText" text="Call">
      <formula>NOT(ISERROR(SEARCH("Call",CE37)))</formula>
    </cfRule>
    <cfRule type="containsText" dxfId="1885" priority="1707" operator="containsText" text="9ab">
      <formula>NOT(ISERROR(SEARCH("9ab",CE37)))</formula>
    </cfRule>
    <cfRule type="cellIs" dxfId="1884" priority="1708" stopIfTrue="1" operator="equal">
      <formula>"leave"</formula>
    </cfRule>
    <cfRule type="containsText" dxfId="1883" priority="1709" operator="containsText" text="ds">
      <formula>NOT(ISERROR(SEARCH("ds",CE37)))</formula>
    </cfRule>
    <cfRule type="containsText" dxfId="1882" priority="1710" operator="containsText" text="subobs">
      <formula>NOT(ISERROR(SEARCH("subobs",CE37)))</formula>
    </cfRule>
    <cfRule type="containsText" dxfId="1881" priority="1711" stopIfTrue="1" operator="containsText" text="(Call)">
      <formula>NOT(ISERROR(SEARCH("(Call)",CE37)))</formula>
    </cfRule>
  </conditionalFormatting>
  <conditionalFormatting sqref="CE36:CF42">
    <cfRule type="containsText" dxfId="1880" priority="1698" operator="containsText" text="b1">
      <formula>NOT(ISERROR(SEARCH("b1",CE36)))</formula>
    </cfRule>
    <cfRule type="cellIs" dxfId="1879" priority="1699" operator="equal">
      <formula>0</formula>
    </cfRule>
    <cfRule type="containsText" dxfId="1878" priority="1706" stopIfTrue="1" operator="containsText" text="go">
      <formula>NOT(ISERROR(SEARCH("go",CE36)))</formula>
    </cfRule>
    <cfRule type="cellIs" dxfId="1877" priority="1713" operator="equal">
      <formula>"ps_cover"</formula>
    </cfRule>
    <cfRule type="containsText" dxfId="1876" priority="1714" stopIfTrue="1" operator="containsText" text="9ab">
      <formula>NOT(ISERROR(SEARCH("9ab",CE36)))</formula>
    </cfRule>
    <cfRule type="containsText" dxfId="1875" priority="1715" stopIfTrue="1" operator="containsText" text="ds">
      <formula>NOT(ISERROR(SEARCH("ds",CE36)))</formula>
    </cfRule>
    <cfRule type="containsText" dxfId="1874" priority="1716" stopIfTrue="1" operator="containsText" text="subobs">
      <formula>NOT(ISERROR(SEARCH("subobs",CE36)))</formula>
    </cfRule>
  </conditionalFormatting>
  <conditionalFormatting sqref="CE36:CJ42">
    <cfRule type="containsText" dxfId="1873" priority="1660" operator="containsText" text="(Call)">
      <formula>NOT(ISERROR(SEARCH("(Call)",CE36)))</formula>
    </cfRule>
  </conditionalFormatting>
  <conditionalFormatting sqref="CF19:CJ25">
    <cfRule type="cellIs" dxfId="1872" priority="1946" operator="equal">
      <formula>0</formula>
    </cfRule>
  </conditionalFormatting>
  <conditionalFormatting sqref="CG36:CJ42">
    <cfRule type="containsText" dxfId="1871" priority="1661" operator="containsText" text="b1">
      <formula>NOT(ISERROR(SEARCH("b1",CG36)))</formula>
    </cfRule>
    <cfRule type="cellIs" dxfId="1870" priority="1662" operator="equal">
      <formula>0</formula>
    </cfRule>
    <cfRule type="containsText" dxfId="1869" priority="1663" stopIfTrue="1" operator="containsText" text="go">
      <formula>NOT(ISERROR(SEARCH("go",CG36)))</formula>
    </cfRule>
    <cfRule type="cellIs" dxfId="1868" priority="1664" operator="equal">
      <formula>"ps_cover"</formula>
    </cfRule>
    <cfRule type="containsText" dxfId="1867" priority="1665" stopIfTrue="1" operator="containsText" text="9ab">
      <formula>NOT(ISERROR(SEARCH("9ab",CG36)))</formula>
    </cfRule>
    <cfRule type="containsText" dxfId="1866" priority="1666" stopIfTrue="1" operator="containsText" text="ds">
      <formula>NOT(ISERROR(SEARCH("ds",CG36)))</formula>
    </cfRule>
    <cfRule type="containsText" dxfId="1865" priority="1667" stopIfTrue="1" operator="containsText" text="subobs">
      <formula>NOT(ISERROR(SEARCH("subobs",CG36)))</formula>
    </cfRule>
  </conditionalFormatting>
  <conditionalFormatting sqref="CK19:CQ26">
    <cfRule type="cellIs" dxfId="1864" priority="2130" operator="equal">
      <formula>0</formula>
    </cfRule>
  </conditionalFormatting>
  <conditionalFormatting sqref="CK28:CQ35">
    <cfRule type="cellIs" dxfId="1863" priority="1968" operator="equal">
      <formula>0</formula>
    </cfRule>
  </conditionalFormatting>
  <conditionalFormatting sqref="CL19:CL25">
    <cfRule type="containsText" dxfId="1862" priority="2112" operator="containsText" text="9ab">
      <formula>NOT(ISERROR(SEARCH("9ab",CL19)))</formula>
    </cfRule>
    <cfRule type="cellIs" dxfId="1861" priority="2113" stopIfTrue="1" operator="equal">
      <formula>"leave"</formula>
    </cfRule>
    <cfRule type="containsText" dxfId="1860" priority="2114" operator="containsText" text="ds">
      <formula>NOT(ISERROR(SEARCH("ds",CL19)))</formula>
    </cfRule>
    <cfRule type="containsText" dxfId="1859" priority="2115" operator="containsText" text="subobs">
      <formula>NOT(ISERROR(SEARCH("subobs",CL19)))</formula>
    </cfRule>
    <cfRule type="containsText" dxfId="1858" priority="2116" operator="containsText" text="Call">
      <formula>NOT(ISERROR(SEARCH("Call",CL19)))</formula>
    </cfRule>
    <cfRule type="containsText" dxfId="1857" priority="2124" operator="containsText" text="9ab">
      <formula>NOT(ISERROR(SEARCH("9ab",CL19)))</formula>
    </cfRule>
    <cfRule type="cellIs" dxfId="1856" priority="2125" stopIfTrue="1" operator="equal">
      <formula>"leave"</formula>
    </cfRule>
    <cfRule type="containsText" dxfId="1855" priority="2126" operator="containsText" text="ds">
      <formula>NOT(ISERROR(SEARCH("ds",CL19)))</formula>
    </cfRule>
    <cfRule type="containsText" dxfId="1854" priority="2127" operator="containsText" text="subobs">
      <formula>NOT(ISERROR(SEARCH("subobs",CL19)))</formula>
    </cfRule>
    <cfRule type="containsText" dxfId="1853" priority="2128" operator="containsText" text="Call">
      <formula>NOT(ISERROR(SEARCH("Call",CL19)))</formula>
    </cfRule>
  </conditionalFormatting>
  <conditionalFormatting sqref="CL19:CL26">
    <cfRule type="containsText" dxfId="1852" priority="2118" operator="containsText" text="9ab">
      <formula>NOT(ISERROR(SEARCH("9ab",CL19)))</formula>
    </cfRule>
    <cfRule type="cellIs" dxfId="1851" priority="2119" stopIfTrue="1" operator="equal">
      <formula>"leave"</formula>
    </cfRule>
    <cfRule type="containsText" dxfId="1850" priority="2120" operator="containsText" text="ds">
      <formula>NOT(ISERROR(SEARCH("ds",CL19)))</formula>
    </cfRule>
    <cfRule type="containsText" dxfId="1849" priority="2121" operator="containsText" text="subobs">
      <formula>NOT(ISERROR(SEARCH("subobs",CL19)))</formula>
    </cfRule>
    <cfRule type="containsText" dxfId="1848" priority="2122" stopIfTrue="1" operator="containsText" text="(Call)">
      <formula>NOT(ISERROR(SEARCH("(Call)",CL19)))</formula>
    </cfRule>
    <cfRule type="containsText" dxfId="1847" priority="2131" operator="containsText" text="9ab">
      <formula>NOT(ISERROR(SEARCH("9ab",CL19)))</formula>
    </cfRule>
    <cfRule type="cellIs" dxfId="1846" priority="2132" stopIfTrue="1" operator="equal">
      <formula>"leave"</formula>
    </cfRule>
    <cfRule type="containsText" dxfId="1845" priority="2133" operator="containsText" text="ds">
      <formula>NOT(ISERROR(SEARCH("ds",CL19)))</formula>
    </cfRule>
    <cfRule type="containsText" dxfId="1844" priority="2134" operator="containsText" text="subobs">
      <formula>NOT(ISERROR(SEARCH("subobs",CL19)))</formula>
    </cfRule>
    <cfRule type="containsText" dxfId="1843" priority="2135" operator="containsText" text="Call">
      <formula>NOT(ISERROR(SEARCH("Call",CL19)))</formula>
    </cfRule>
  </conditionalFormatting>
  <conditionalFormatting sqref="CL28:CL33">
    <cfRule type="containsText" dxfId="1842" priority="1950" operator="containsText" text="9ab">
      <formula>NOT(ISERROR(SEARCH("9ab",CL28)))</formula>
    </cfRule>
    <cfRule type="cellIs" dxfId="1841" priority="1951" stopIfTrue="1" operator="equal">
      <formula>"leave"</formula>
    </cfRule>
    <cfRule type="containsText" dxfId="1840" priority="1952" operator="containsText" text="ds">
      <formula>NOT(ISERROR(SEARCH("ds",CL28)))</formula>
    </cfRule>
    <cfRule type="containsText" dxfId="1839" priority="1953" operator="containsText" text="subobs">
      <formula>NOT(ISERROR(SEARCH("subobs",CL28)))</formula>
    </cfRule>
    <cfRule type="containsText" dxfId="1838" priority="1954" operator="containsText" text="Call">
      <formula>NOT(ISERROR(SEARCH("Call",CL28)))</formula>
    </cfRule>
    <cfRule type="containsText" dxfId="1837" priority="1962" operator="containsText" text="9ab">
      <formula>NOT(ISERROR(SEARCH("9ab",CL28)))</formula>
    </cfRule>
    <cfRule type="cellIs" dxfId="1836" priority="1963" stopIfTrue="1" operator="equal">
      <formula>"leave"</formula>
    </cfRule>
    <cfRule type="containsText" dxfId="1835" priority="1964" operator="containsText" text="ds">
      <formula>NOT(ISERROR(SEARCH("ds",CL28)))</formula>
    </cfRule>
    <cfRule type="containsText" dxfId="1834" priority="1965" operator="containsText" text="subobs">
      <formula>NOT(ISERROR(SEARCH("subobs",CL28)))</formula>
    </cfRule>
    <cfRule type="containsText" dxfId="1833" priority="1966" operator="containsText" text="Call">
      <formula>NOT(ISERROR(SEARCH("Call",CL28)))</formula>
    </cfRule>
  </conditionalFormatting>
  <conditionalFormatting sqref="CL28:CL35">
    <cfRule type="containsText" dxfId="1832" priority="1956" operator="containsText" text="9ab">
      <formula>NOT(ISERROR(SEARCH("9ab",CL28)))</formula>
    </cfRule>
    <cfRule type="cellIs" dxfId="1831" priority="1957" stopIfTrue="1" operator="equal">
      <formula>"leave"</formula>
    </cfRule>
    <cfRule type="containsText" dxfId="1830" priority="1958" operator="containsText" text="ds">
      <formula>NOT(ISERROR(SEARCH("ds",CL28)))</formula>
    </cfRule>
    <cfRule type="containsText" dxfId="1829" priority="1959" operator="containsText" text="subobs">
      <formula>NOT(ISERROR(SEARCH("subobs",CL28)))</formula>
    </cfRule>
    <cfRule type="containsText" dxfId="1828" priority="1960" stopIfTrue="1" operator="containsText" text="(Call)">
      <formula>NOT(ISERROR(SEARCH("(Call)",CL28)))</formula>
    </cfRule>
    <cfRule type="containsText" dxfId="1827" priority="1969" operator="containsText" text="9ab">
      <formula>NOT(ISERROR(SEARCH("9ab",CL28)))</formula>
    </cfRule>
    <cfRule type="cellIs" dxfId="1826" priority="1970" stopIfTrue="1" operator="equal">
      <formula>"leave"</formula>
    </cfRule>
    <cfRule type="containsText" dxfId="1825" priority="1971" operator="containsText" text="ds">
      <formula>NOT(ISERROR(SEARCH("ds",CL28)))</formula>
    </cfRule>
    <cfRule type="containsText" dxfId="1824" priority="1972" operator="containsText" text="subobs">
      <formula>NOT(ISERROR(SEARCH("subobs",CL28)))</formula>
    </cfRule>
    <cfRule type="containsText" dxfId="1823" priority="1973" operator="containsText" text="Call">
      <formula>NOT(ISERROR(SEARCH("Call",CL28)))</formula>
    </cfRule>
  </conditionalFormatting>
  <conditionalFormatting sqref="CL37:CL42">
    <cfRule type="containsText" dxfId="1822" priority="1611" operator="containsText" text="9ab">
      <formula>NOT(ISERROR(SEARCH("9ab",CL37)))</formula>
    </cfRule>
    <cfRule type="cellIs" dxfId="1821" priority="1612" stopIfTrue="1" operator="equal">
      <formula>"leave"</formula>
    </cfRule>
    <cfRule type="containsText" dxfId="1820" priority="1613" operator="containsText" text="ds">
      <formula>NOT(ISERROR(SEARCH("ds",CL37)))</formula>
    </cfRule>
    <cfRule type="containsText" dxfId="1819" priority="1614" operator="containsText" text="subobs">
      <formula>NOT(ISERROR(SEARCH("subobs",CL37)))</formula>
    </cfRule>
    <cfRule type="containsText" dxfId="1818" priority="1615" operator="containsText" text="Call">
      <formula>NOT(ISERROR(SEARCH("Call",CL37)))</formula>
    </cfRule>
    <cfRule type="containsText" dxfId="1817" priority="1617" operator="containsText" text="9ab">
      <formula>NOT(ISERROR(SEARCH("9ab",CL37)))</formula>
    </cfRule>
    <cfRule type="cellIs" dxfId="1816" priority="1618" stopIfTrue="1" operator="equal">
      <formula>"leave"</formula>
    </cfRule>
    <cfRule type="containsText" dxfId="1815" priority="1619" operator="containsText" text="ds">
      <formula>NOT(ISERROR(SEARCH("ds",CL37)))</formula>
    </cfRule>
    <cfRule type="containsText" dxfId="1814" priority="1620" operator="containsText" text="subobs">
      <formula>NOT(ISERROR(SEARCH("subobs",CL37)))</formula>
    </cfRule>
    <cfRule type="containsText" dxfId="1813" priority="1621" stopIfTrue="1" operator="containsText" text="(Call)">
      <formula>NOT(ISERROR(SEARCH("(Call)",CL37)))</formula>
    </cfRule>
    <cfRule type="containsText" dxfId="1812" priority="1623" operator="containsText" text="9ab">
      <formula>NOT(ISERROR(SEARCH("9ab",CL37)))</formula>
    </cfRule>
    <cfRule type="cellIs" dxfId="1811" priority="1624" stopIfTrue="1" operator="equal">
      <formula>"leave"</formula>
    </cfRule>
    <cfRule type="containsText" dxfId="1810" priority="1625" operator="containsText" text="ds">
      <formula>NOT(ISERROR(SEARCH("ds",CL37)))</formula>
    </cfRule>
    <cfRule type="containsText" dxfId="1809" priority="1626" operator="containsText" text="subobs">
      <formula>NOT(ISERROR(SEARCH("subobs",CL37)))</formula>
    </cfRule>
    <cfRule type="containsText" dxfId="1808" priority="1627" operator="containsText" text="Call">
      <formula>NOT(ISERROR(SEARCH("Call",CL37)))</formula>
    </cfRule>
    <cfRule type="containsText" dxfId="1807" priority="1629" operator="containsText" text="9ab">
      <formula>NOT(ISERROR(SEARCH("9ab",CL37)))</formula>
    </cfRule>
    <cfRule type="cellIs" dxfId="1806" priority="1630" stopIfTrue="1" operator="equal">
      <formula>"leave"</formula>
    </cfRule>
    <cfRule type="containsText" dxfId="1805" priority="1631" operator="containsText" text="ds">
      <formula>NOT(ISERROR(SEARCH("ds",CL37)))</formula>
    </cfRule>
    <cfRule type="containsText" dxfId="1804" priority="1632" operator="containsText" text="subobs">
      <formula>NOT(ISERROR(SEARCH("subobs",CL37)))</formula>
    </cfRule>
    <cfRule type="containsText" dxfId="1803" priority="1633" operator="containsText" text="Call">
      <formula>NOT(ISERROR(SEARCH("Call",CL37)))</formula>
    </cfRule>
    <cfRule type="containsText" dxfId="1802" priority="1635" operator="containsText" text="9ab">
      <formula>NOT(ISERROR(SEARCH("9ab",CL37)))</formula>
    </cfRule>
    <cfRule type="cellIs" dxfId="1801" priority="1636" stopIfTrue="1" operator="equal">
      <formula>"leave"</formula>
    </cfRule>
    <cfRule type="containsText" dxfId="1800" priority="1637" operator="containsText" text="ds">
      <formula>NOT(ISERROR(SEARCH("ds",CL37)))</formula>
    </cfRule>
    <cfRule type="containsText" dxfId="1799" priority="1638" operator="containsText" text="subobs">
      <formula>NOT(ISERROR(SEARCH("subobs",CL37)))</formula>
    </cfRule>
    <cfRule type="containsText" dxfId="1798" priority="1639" operator="containsText" text="Call">
      <formula>NOT(ISERROR(SEARCH("Call",CL37)))</formula>
    </cfRule>
    <cfRule type="containsText" dxfId="1797" priority="1643" operator="containsText" text="9ab">
      <formula>NOT(ISERROR(SEARCH("9ab",CL37)))</formula>
    </cfRule>
    <cfRule type="cellIs" dxfId="1796" priority="1644" stopIfTrue="1" operator="equal">
      <formula>"leave"</formula>
    </cfRule>
    <cfRule type="containsText" dxfId="1795" priority="1645" operator="containsText" text="ds">
      <formula>NOT(ISERROR(SEARCH("ds",CL37)))</formula>
    </cfRule>
    <cfRule type="containsText" dxfId="1794" priority="1646" operator="containsText" text="subobs">
      <formula>NOT(ISERROR(SEARCH("subobs",CL37)))</formula>
    </cfRule>
    <cfRule type="containsText" dxfId="1793" priority="1647" operator="containsText" text="Call">
      <formula>NOT(ISERROR(SEARCH("Call",CL37)))</formula>
    </cfRule>
    <cfRule type="containsText" dxfId="1792" priority="1650" operator="containsText" text="9ab">
      <formula>NOT(ISERROR(SEARCH("9ab",CL37)))</formula>
    </cfRule>
    <cfRule type="cellIs" dxfId="1791" priority="1651" stopIfTrue="1" operator="equal">
      <formula>"leave"</formula>
    </cfRule>
    <cfRule type="containsText" dxfId="1790" priority="1652" operator="containsText" text="ds">
      <formula>NOT(ISERROR(SEARCH("ds",CL37)))</formula>
    </cfRule>
    <cfRule type="containsText" dxfId="1789" priority="1653" operator="containsText" text="subobs">
      <formula>NOT(ISERROR(SEARCH("subobs",CL37)))</formula>
    </cfRule>
    <cfRule type="containsText" dxfId="1788" priority="1654" stopIfTrue="1" operator="containsText" text="(Call)">
      <formula>NOT(ISERROR(SEARCH("(Call)",CL37)))</formula>
    </cfRule>
  </conditionalFormatting>
  <conditionalFormatting sqref="CL36:CM42">
    <cfRule type="containsText" dxfId="1787" priority="1641" operator="containsText" text="b1">
      <formula>NOT(ISERROR(SEARCH("b1",CL36)))</formula>
    </cfRule>
    <cfRule type="cellIs" dxfId="1786" priority="1642" operator="equal">
      <formula>0</formula>
    </cfRule>
    <cfRule type="containsText" dxfId="1785" priority="1649" stopIfTrue="1" operator="containsText" text="go">
      <formula>NOT(ISERROR(SEARCH("go",CL36)))</formula>
    </cfRule>
    <cfRule type="cellIs" dxfId="1784" priority="1656" operator="equal">
      <formula>"ps_cover"</formula>
    </cfRule>
    <cfRule type="containsText" dxfId="1783" priority="1657" stopIfTrue="1" operator="containsText" text="9ab">
      <formula>NOT(ISERROR(SEARCH("9ab",CL36)))</formula>
    </cfRule>
    <cfRule type="containsText" dxfId="1782" priority="1658" stopIfTrue="1" operator="containsText" text="ds">
      <formula>NOT(ISERROR(SEARCH("ds",CL36)))</formula>
    </cfRule>
    <cfRule type="containsText" dxfId="1781" priority="1659" stopIfTrue="1" operator="containsText" text="subobs">
      <formula>NOT(ISERROR(SEARCH("subobs",CL36)))</formula>
    </cfRule>
  </conditionalFormatting>
  <conditionalFormatting sqref="CL36:CQ42">
    <cfRule type="containsText" dxfId="1780" priority="1603" operator="containsText" text="(Call)">
      <formula>NOT(ISERROR(SEARCH("(Call)",CL36)))</formula>
    </cfRule>
  </conditionalFormatting>
  <conditionalFormatting sqref="CM19:CQ25">
    <cfRule type="cellIs" dxfId="1779" priority="1945" operator="equal">
      <formula>0</formula>
    </cfRule>
  </conditionalFormatting>
  <conditionalFormatting sqref="CN36:CQ42">
    <cfRule type="containsText" dxfId="1778" priority="1604" operator="containsText" text="b1">
      <formula>NOT(ISERROR(SEARCH("b1",CN36)))</formula>
    </cfRule>
    <cfRule type="cellIs" dxfId="1777" priority="1605" operator="equal">
      <formula>0</formula>
    </cfRule>
    <cfRule type="containsText" dxfId="1776" priority="1606" stopIfTrue="1" operator="containsText" text="go">
      <formula>NOT(ISERROR(SEARCH("go",CN36)))</formula>
    </cfRule>
    <cfRule type="cellIs" dxfId="1775" priority="1607" operator="equal">
      <formula>"ps_cover"</formula>
    </cfRule>
    <cfRule type="containsText" dxfId="1774" priority="1608" stopIfTrue="1" operator="containsText" text="9ab">
      <formula>NOT(ISERROR(SEARCH("9ab",CN36)))</formula>
    </cfRule>
    <cfRule type="containsText" dxfId="1773" priority="1609" stopIfTrue="1" operator="containsText" text="ds">
      <formula>NOT(ISERROR(SEARCH("ds",CN36)))</formula>
    </cfRule>
    <cfRule type="containsText" dxfId="1772" priority="1610" stopIfTrue="1" operator="containsText" text="subobs">
      <formula>NOT(ISERROR(SEARCH("subobs",CN36)))</formula>
    </cfRule>
  </conditionalFormatting>
  <conditionalFormatting sqref="CR19:CR26">
    <cfRule type="cellIs" dxfId="1771" priority="2111" operator="equal">
      <formula>0</formula>
    </cfRule>
  </conditionalFormatting>
  <conditionalFormatting sqref="CR28:CR35">
    <cfRule type="cellIs" dxfId="1770" priority="1949" operator="equal">
      <formula>0</formula>
    </cfRule>
  </conditionalFormatting>
  <conditionalFormatting sqref="BD37:BH42">
    <cfRule type="containsText" dxfId="1769" priority="1596" operator="containsText" text="b1">
      <formula>NOT(ISERROR(SEARCH("b1",BD37)))</formula>
    </cfRule>
    <cfRule type="cellIs" dxfId="1768" priority="1597" operator="equal">
      <formula>0</formula>
    </cfRule>
    <cfRule type="containsText" dxfId="1767" priority="1598" stopIfTrue="1" operator="containsText" text="go">
      <formula>NOT(ISERROR(SEARCH("go",BD37)))</formula>
    </cfRule>
    <cfRule type="cellIs" dxfId="1766" priority="1599" operator="equal">
      <formula>"ps_cover"</formula>
    </cfRule>
    <cfRule type="containsText" dxfId="1765" priority="1600" stopIfTrue="1" operator="containsText" text="9ab">
      <formula>NOT(ISERROR(SEARCH("9ab",BD37)))</formula>
    </cfRule>
    <cfRule type="containsText" dxfId="1764" priority="1601" stopIfTrue="1" operator="containsText" text="ds">
      <formula>NOT(ISERROR(SEARCH("ds",BD37)))</formula>
    </cfRule>
    <cfRule type="containsText" dxfId="1763" priority="1602" stopIfTrue="1" operator="containsText" text="subobs">
      <formula>NOT(ISERROR(SEARCH("subobs",BD37)))</formula>
    </cfRule>
  </conditionalFormatting>
  <conditionalFormatting sqref="BD37:BH42">
    <cfRule type="containsText" dxfId="1762" priority="1588" operator="containsText" text="(Call)">
      <formula>NOT(ISERROR(SEARCH("(Call)",BD37)))</formula>
    </cfRule>
  </conditionalFormatting>
  <conditionalFormatting sqref="BE37:BH42">
    <cfRule type="containsText" dxfId="1761" priority="1589" operator="containsText" text="b1">
      <formula>NOT(ISERROR(SEARCH("b1",BE37)))</formula>
    </cfRule>
    <cfRule type="cellIs" dxfId="1760" priority="1590" operator="equal">
      <formula>0</formula>
    </cfRule>
    <cfRule type="containsText" dxfId="1759" priority="1591" stopIfTrue="1" operator="containsText" text="go">
      <formula>NOT(ISERROR(SEARCH("go",BE37)))</formula>
    </cfRule>
    <cfRule type="cellIs" dxfId="1758" priority="1592" operator="equal">
      <formula>"ps_cover"</formula>
    </cfRule>
    <cfRule type="containsText" dxfId="1757" priority="1593" stopIfTrue="1" operator="containsText" text="9ab">
      <formula>NOT(ISERROR(SEARCH("9ab",BE37)))</formula>
    </cfRule>
    <cfRule type="containsText" dxfId="1756" priority="1594" stopIfTrue="1" operator="containsText" text="ds">
      <formula>NOT(ISERROR(SEARCH("ds",BE37)))</formula>
    </cfRule>
    <cfRule type="containsText" dxfId="1755" priority="1595" stopIfTrue="1" operator="containsText" text="subobs">
      <formula>NOT(ISERROR(SEARCH("subobs",BE37)))</formula>
    </cfRule>
  </conditionalFormatting>
  <conditionalFormatting sqref="BK37:BO42">
    <cfRule type="containsText" dxfId="1754" priority="1581" operator="containsText" text="b1">
      <formula>NOT(ISERROR(SEARCH("b1",BK37)))</formula>
    </cfRule>
    <cfRule type="cellIs" dxfId="1753" priority="1582" operator="equal">
      <formula>0</formula>
    </cfRule>
    <cfRule type="containsText" dxfId="1752" priority="1583" stopIfTrue="1" operator="containsText" text="go">
      <formula>NOT(ISERROR(SEARCH("go",BK37)))</formula>
    </cfRule>
    <cfRule type="cellIs" dxfId="1751" priority="1584" operator="equal">
      <formula>"ps_cover"</formula>
    </cfRule>
    <cfRule type="containsText" dxfId="1750" priority="1585" stopIfTrue="1" operator="containsText" text="9ab">
      <formula>NOT(ISERROR(SEARCH("9ab",BK37)))</formula>
    </cfRule>
    <cfRule type="containsText" dxfId="1749" priority="1586" stopIfTrue="1" operator="containsText" text="ds">
      <formula>NOT(ISERROR(SEARCH("ds",BK37)))</formula>
    </cfRule>
    <cfRule type="containsText" dxfId="1748" priority="1587" stopIfTrue="1" operator="containsText" text="subobs">
      <formula>NOT(ISERROR(SEARCH("subobs",BK37)))</formula>
    </cfRule>
  </conditionalFormatting>
  <conditionalFormatting sqref="BK37:BO42">
    <cfRule type="containsText" dxfId="1747" priority="1573" operator="containsText" text="(Call)">
      <formula>NOT(ISERROR(SEARCH("(Call)",BK37)))</formula>
    </cfRule>
  </conditionalFormatting>
  <conditionalFormatting sqref="BL37:BO42">
    <cfRule type="containsText" dxfId="1746" priority="1574" operator="containsText" text="b1">
      <formula>NOT(ISERROR(SEARCH("b1",BL37)))</formula>
    </cfRule>
    <cfRule type="cellIs" dxfId="1745" priority="1575" operator="equal">
      <formula>0</formula>
    </cfRule>
    <cfRule type="containsText" dxfId="1744" priority="1576" stopIfTrue="1" operator="containsText" text="go">
      <formula>NOT(ISERROR(SEARCH("go",BL37)))</formula>
    </cfRule>
    <cfRule type="cellIs" dxfId="1743" priority="1577" operator="equal">
      <formula>"ps_cover"</formula>
    </cfRule>
    <cfRule type="containsText" dxfId="1742" priority="1578" stopIfTrue="1" operator="containsText" text="9ab">
      <formula>NOT(ISERROR(SEARCH("9ab",BL37)))</formula>
    </cfRule>
    <cfRule type="containsText" dxfId="1741" priority="1579" stopIfTrue="1" operator="containsText" text="ds">
      <formula>NOT(ISERROR(SEARCH("ds",BL37)))</formula>
    </cfRule>
    <cfRule type="containsText" dxfId="1740" priority="1580" stopIfTrue="1" operator="containsText" text="subobs">
      <formula>NOT(ISERROR(SEARCH("subobs",BL37)))</formula>
    </cfRule>
  </conditionalFormatting>
  <conditionalFormatting sqref="BR37:BV42">
    <cfRule type="containsText" dxfId="1739" priority="1566" operator="containsText" text="b1">
      <formula>NOT(ISERROR(SEARCH("b1",BR37)))</formula>
    </cfRule>
    <cfRule type="cellIs" dxfId="1738" priority="1567" operator="equal">
      <formula>0</formula>
    </cfRule>
    <cfRule type="containsText" dxfId="1737" priority="1568" stopIfTrue="1" operator="containsText" text="go">
      <formula>NOT(ISERROR(SEARCH("go",BR37)))</formula>
    </cfRule>
    <cfRule type="cellIs" dxfId="1736" priority="1569" operator="equal">
      <formula>"ps_cover"</formula>
    </cfRule>
    <cfRule type="containsText" dxfId="1735" priority="1570" stopIfTrue="1" operator="containsText" text="9ab">
      <formula>NOT(ISERROR(SEARCH("9ab",BR37)))</formula>
    </cfRule>
    <cfRule type="containsText" dxfId="1734" priority="1571" stopIfTrue="1" operator="containsText" text="ds">
      <formula>NOT(ISERROR(SEARCH("ds",BR37)))</formula>
    </cfRule>
    <cfRule type="containsText" dxfId="1733" priority="1572" stopIfTrue="1" operator="containsText" text="subobs">
      <formula>NOT(ISERROR(SEARCH("subobs",BR37)))</formula>
    </cfRule>
  </conditionalFormatting>
  <conditionalFormatting sqref="BR37:BV42">
    <cfRule type="containsText" dxfId="1732" priority="1558" operator="containsText" text="(Call)">
      <formula>NOT(ISERROR(SEARCH("(Call)",BR37)))</formula>
    </cfRule>
  </conditionalFormatting>
  <conditionalFormatting sqref="BS37:BV42">
    <cfRule type="containsText" dxfId="1731" priority="1559" operator="containsText" text="b1">
      <formula>NOT(ISERROR(SEARCH("b1",BS37)))</formula>
    </cfRule>
    <cfRule type="cellIs" dxfId="1730" priority="1560" operator="equal">
      <formula>0</formula>
    </cfRule>
    <cfRule type="containsText" dxfId="1729" priority="1561" stopIfTrue="1" operator="containsText" text="go">
      <formula>NOT(ISERROR(SEARCH("go",BS37)))</formula>
    </cfRule>
    <cfRule type="cellIs" dxfId="1728" priority="1562" operator="equal">
      <formula>"ps_cover"</formula>
    </cfRule>
    <cfRule type="containsText" dxfId="1727" priority="1563" stopIfTrue="1" operator="containsText" text="9ab">
      <formula>NOT(ISERROR(SEARCH("9ab",BS37)))</formula>
    </cfRule>
    <cfRule type="containsText" dxfId="1726" priority="1564" stopIfTrue="1" operator="containsText" text="ds">
      <formula>NOT(ISERROR(SEARCH("ds",BS37)))</formula>
    </cfRule>
    <cfRule type="containsText" dxfId="1725" priority="1565" stopIfTrue="1" operator="containsText" text="subobs">
      <formula>NOT(ISERROR(SEARCH("subobs",BS37)))</formula>
    </cfRule>
  </conditionalFormatting>
  <conditionalFormatting sqref="BY37:CC42">
    <cfRule type="containsText" dxfId="1724" priority="1551" operator="containsText" text="b1">
      <formula>NOT(ISERROR(SEARCH("b1",BY37)))</formula>
    </cfRule>
    <cfRule type="cellIs" dxfId="1723" priority="1552" operator="equal">
      <formula>0</formula>
    </cfRule>
    <cfRule type="containsText" dxfId="1722" priority="1553" stopIfTrue="1" operator="containsText" text="go">
      <formula>NOT(ISERROR(SEARCH("go",BY37)))</formula>
    </cfRule>
    <cfRule type="cellIs" dxfId="1721" priority="1554" operator="equal">
      <formula>"ps_cover"</formula>
    </cfRule>
    <cfRule type="containsText" dxfId="1720" priority="1555" stopIfTrue="1" operator="containsText" text="9ab">
      <formula>NOT(ISERROR(SEARCH("9ab",BY37)))</formula>
    </cfRule>
    <cfRule type="containsText" dxfId="1719" priority="1556" stopIfTrue="1" operator="containsText" text="ds">
      <formula>NOT(ISERROR(SEARCH("ds",BY37)))</formula>
    </cfRule>
    <cfRule type="containsText" dxfId="1718" priority="1557" stopIfTrue="1" operator="containsText" text="subobs">
      <formula>NOT(ISERROR(SEARCH("subobs",BY37)))</formula>
    </cfRule>
  </conditionalFormatting>
  <conditionalFormatting sqref="BY37:CC42">
    <cfRule type="containsText" dxfId="1717" priority="1543" operator="containsText" text="(Call)">
      <formula>NOT(ISERROR(SEARCH("(Call)",BY37)))</formula>
    </cfRule>
  </conditionalFormatting>
  <conditionalFormatting sqref="BZ37:CC42">
    <cfRule type="containsText" dxfId="1716" priority="1544" operator="containsText" text="b1">
      <formula>NOT(ISERROR(SEARCH("b1",BZ37)))</formula>
    </cfRule>
    <cfRule type="cellIs" dxfId="1715" priority="1545" operator="equal">
      <formula>0</formula>
    </cfRule>
    <cfRule type="containsText" dxfId="1714" priority="1546" stopIfTrue="1" operator="containsText" text="go">
      <formula>NOT(ISERROR(SEARCH("go",BZ37)))</formula>
    </cfRule>
    <cfRule type="cellIs" dxfId="1713" priority="1547" operator="equal">
      <formula>"ps_cover"</formula>
    </cfRule>
    <cfRule type="containsText" dxfId="1712" priority="1548" stopIfTrue="1" operator="containsText" text="9ab">
      <formula>NOT(ISERROR(SEARCH("9ab",BZ37)))</formula>
    </cfRule>
    <cfRule type="containsText" dxfId="1711" priority="1549" stopIfTrue="1" operator="containsText" text="ds">
      <formula>NOT(ISERROR(SEARCH("ds",BZ37)))</formula>
    </cfRule>
    <cfRule type="containsText" dxfId="1710" priority="1550" stopIfTrue="1" operator="containsText" text="subobs">
      <formula>NOT(ISERROR(SEARCH("subobs",BZ37)))</formula>
    </cfRule>
  </conditionalFormatting>
  <conditionalFormatting sqref="CF37:CJ42">
    <cfRule type="containsText" dxfId="1709" priority="1536" operator="containsText" text="b1">
      <formula>NOT(ISERROR(SEARCH("b1",CF37)))</formula>
    </cfRule>
    <cfRule type="cellIs" dxfId="1708" priority="1537" operator="equal">
      <formula>0</formula>
    </cfRule>
    <cfRule type="containsText" dxfId="1707" priority="1538" stopIfTrue="1" operator="containsText" text="go">
      <formula>NOT(ISERROR(SEARCH("go",CF37)))</formula>
    </cfRule>
    <cfRule type="cellIs" dxfId="1706" priority="1539" operator="equal">
      <formula>"ps_cover"</formula>
    </cfRule>
    <cfRule type="containsText" dxfId="1705" priority="1540" stopIfTrue="1" operator="containsText" text="9ab">
      <formula>NOT(ISERROR(SEARCH("9ab",CF37)))</formula>
    </cfRule>
    <cfRule type="containsText" dxfId="1704" priority="1541" stopIfTrue="1" operator="containsText" text="ds">
      <formula>NOT(ISERROR(SEARCH("ds",CF37)))</formula>
    </cfRule>
    <cfRule type="containsText" dxfId="1703" priority="1542" stopIfTrue="1" operator="containsText" text="subobs">
      <formula>NOT(ISERROR(SEARCH("subobs",CF37)))</formula>
    </cfRule>
  </conditionalFormatting>
  <conditionalFormatting sqref="CF37:CJ42">
    <cfRule type="containsText" dxfId="1702" priority="1528" operator="containsText" text="(Call)">
      <formula>NOT(ISERROR(SEARCH("(Call)",CF37)))</formula>
    </cfRule>
  </conditionalFormatting>
  <conditionalFormatting sqref="CG37:CJ42">
    <cfRule type="containsText" dxfId="1701" priority="1529" operator="containsText" text="b1">
      <formula>NOT(ISERROR(SEARCH("b1",CG37)))</formula>
    </cfRule>
    <cfRule type="cellIs" dxfId="1700" priority="1530" operator="equal">
      <formula>0</formula>
    </cfRule>
    <cfRule type="containsText" dxfId="1699" priority="1531" stopIfTrue="1" operator="containsText" text="go">
      <formula>NOT(ISERROR(SEARCH("go",CG37)))</formula>
    </cfRule>
    <cfRule type="cellIs" dxfId="1698" priority="1532" operator="equal">
      <formula>"ps_cover"</formula>
    </cfRule>
    <cfRule type="containsText" dxfId="1697" priority="1533" stopIfTrue="1" operator="containsText" text="9ab">
      <formula>NOT(ISERROR(SEARCH("9ab",CG37)))</formula>
    </cfRule>
    <cfRule type="containsText" dxfId="1696" priority="1534" stopIfTrue="1" operator="containsText" text="ds">
      <formula>NOT(ISERROR(SEARCH("ds",CG37)))</formula>
    </cfRule>
    <cfRule type="containsText" dxfId="1695" priority="1535" stopIfTrue="1" operator="containsText" text="subobs">
      <formula>NOT(ISERROR(SEARCH("subobs",CG37)))</formula>
    </cfRule>
  </conditionalFormatting>
  <conditionalFormatting sqref="CM37:CQ42">
    <cfRule type="containsText" dxfId="1694" priority="1521" operator="containsText" text="b1">
      <formula>NOT(ISERROR(SEARCH("b1",CM37)))</formula>
    </cfRule>
    <cfRule type="cellIs" dxfId="1693" priority="1522" operator="equal">
      <formula>0</formula>
    </cfRule>
    <cfRule type="containsText" dxfId="1692" priority="1523" stopIfTrue="1" operator="containsText" text="go">
      <formula>NOT(ISERROR(SEARCH("go",CM37)))</formula>
    </cfRule>
    <cfRule type="cellIs" dxfId="1691" priority="1524" operator="equal">
      <formula>"ps_cover"</formula>
    </cfRule>
    <cfRule type="containsText" dxfId="1690" priority="1525" stopIfTrue="1" operator="containsText" text="9ab">
      <formula>NOT(ISERROR(SEARCH("9ab",CM37)))</formula>
    </cfRule>
    <cfRule type="containsText" dxfId="1689" priority="1526" stopIfTrue="1" operator="containsText" text="ds">
      <formula>NOT(ISERROR(SEARCH("ds",CM37)))</formula>
    </cfRule>
    <cfRule type="containsText" dxfId="1688" priority="1527" stopIfTrue="1" operator="containsText" text="subobs">
      <formula>NOT(ISERROR(SEARCH("subobs",CM37)))</formula>
    </cfRule>
  </conditionalFormatting>
  <conditionalFormatting sqref="CM37:CQ42">
    <cfRule type="containsText" dxfId="1687" priority="1513" operator="containsText" text="(Call)">
      <formula>NOT(ISERROR(SEARCH("(Call)",CM37)))</formula>
    </cfRule>
  </conditionalFormatting>
  <conditionalFormatting sqref="CN37:CQ42">
    <cfRule type="containsText" dxfId="1686" priority="1514" operator="containsText" text="b1">
      <formula>NOT(ISERROR(SEARCH("b1",CN37)))</formula>
    </cfRule>
    <cfRule type="cellIs" dxfId="1685" priority="1515" operator="equal">
      <formula>0</formula>
    </cfRule>
    <cfRule type="containsText" dxfId="1684" priority="1516" stopIfTrue="1" operator="containsText" text="go">
      <formula>NOT(ISERROR(SEARCH("go",CN37)))</formula>
    </cfRule>
    <cfRule type="cellIs" dxfId="1683" priority="1517" operator="equal">
      <formula>"ps_cover"</formula>
    </cfRule>
    <cfRule type="containsText" dxfId="1682" priority="1518" stopIfTrue="1" operator="containsText" text="9ab">
      <formula>NOT(ISERROR(SEARCH("9ab",CN37)))</formula>
    </cfRule>
    <cfRule type="containsText" dxfId="1681" priority="1519" stopIfTrue="1" operator="containsText" text="ds">
      <formula>NOT(ISERROR(SEARCH("ds",CN37)))</formula>
    </cfRule>
    <cfRule type="containsText" dxfId="1680" priority="1520" stopIfTrue="1" operator="containsText" text="subobs">
      <formula>NOT(ISERROR(SEARCH("subobs",CN37)))</formula>
    </cfRule>
  </conditionalFormatting>
  <conditionalFormatting sqref="BC25">
    <cfRule type="containsText" dxfId="1679" priority="1482" operator="containsText" text="9ab">
      <formula>NOT(ISERROR(SEARCH("9ab",BC25)))</formula>
    </cfRule>
    <cfRule type="cellIs" dxfId="1678" priority="1483" stopIfTrue="1" operator="equal">
      <formula>"leave"</formula>
    </cfRule>
    <cfRule type="containsText" dxfId="1677" priority="1484" operator="containsText" text="ds">
      <formula>NOT(ISERROR(SEARCH("ds",BC25)))</formula>
    </cfRule>
    <cfRule type="containsText" dxfId="1676" priority="1485" operator="containsText" text="subobs">
      <formula>NOT(ISERROR(SEARCH("subobs",BC25)))</formula>
    </cfRule>
    <cfRule type="containsText" dxfId="1675" priority="1486" operator="containsText" text="Call">
      <formula>NOT(ISERROR(SEARCH("Call",BC25)))</formula>
    </cfRule>
    <cfRule type="containsText" dxfId="1674" priority="1488" operator="containsText" text="9ab">
      <formula>NOT(ISERROR(SEARCH("9ab",BC25)))</formula>
    </cfRule>
    <cfRule type="cellIs" dxfId="1673" priority="1489" stopIfTrue="1" operator="equal">
      <formula>"leave"</formula>
    </cfRule>
    <cfRule type="containsText" dxfId="1672" priority="1490" operator="containsText" text="ds">
      <formula>NOT(ISERROR(SEARCH("ds",BC25)))</formula>
    </cfRule>
    <cfRule type="containsText" dxfId="1671" priority="1491" operator="containsText" text="subobs">
      <formula>NOT(ISERROR(SEARCH("subobs",BC25)))</formula>
    </cfRule>
    <cfRule type="containsText" dxfId="1670" priority="1492" stopIfTrue="1" operator="containsText" text="(Call)">
      <formula>NOT(ISERROR(SEARCH("(Call)",BC25)))</formula>
    </cfRule>
    <cfRule type="containsText" dxfId="1669" priority="1494" operator="containsText" text="9ab">
      <formula>NOT(ISERROR(SEARCH("9ab",BC25)))</formula>
    </cfRule>
    <cfRule type="cellIs" dxfId="1668" priority="1495" stopIfTrue="1" operator="equal">
      <formula>"leave"</formula>
    </cfRule>
    <cfRule type="containsText" dxfId="1667" priority="1496" operator="containsText" text="ds">
      <formula>NOT(ISERROR(SEARCH("ds",BC25)))</formula>
    </cfRule>
    <cfRule type="containsText" dxfId="1666" priority="1497" operator="containsText" text="subobs">
      <formula>NOT(ISERROR(SEARCH("subobs",BC25)))</formula>
    </cfRule>
    <cfRule type="containsText" dxfId="1665" priority="1498" operator="containsText" text="Call">
      <formula>NOT(ISERROR(SEARCH("Call",BC25)))</formula>
    </cfRule>
    <cfRule type="cellIs" dxfId="1664" priority="1500" operator="equal">
      <formula>0</formula>
    </cfRule>
    <cfRule type="containsText" dxfId="1663" priority="1501" operator="containsText" text="9ab">
      <formula>NOT(ISERROR(SEARCH("9ab",BC25)))</formula>
    </cfRule>
    <cfRule type="cellIs" dxfId="1662" priority="1502" stopIfTrue="1" operator="equal">
      <formula>"leave"</formula>
    </cfRule>
    <cfRule type="containsText" dxfId="1661" priority="1503" operator="containsText" text="ds">
      <formula>NOT(ISERROR(SEARCH("ds",BC25)))</formula>
    </cfRule>
    <cfRule type="containsText" dxfId="1660" priority="1504" operator="containsText" text="subobs">
      <formula>NOT(ISERROR(SEARCH("subobs",BC25)))</formula>
    </cfRule>
    <cfRule type="containsText" dxfId="1659" priority="1505" operator="containsText" text="Call">
      <formula>NOT(ISERROR(SEARCH("Call",BC25)))</formula>
    </cfRule>
  </conditionalFormatting>
  <conditionalFormatting sqref="BC25">
    <cfRule type="containsText" dxfId="1658" priority="1507" operator="containsText" text="9ab">
      <formula>NOT(ISERROR(SEARCH("9ab",BC25)))</formula>
    </cfRule>
    <cfRule type="cellIs" dxfId="1657" priority="1508" stopIfTrue="1" operator="equal">
      <formula>"leave"</formula>
    </cfRule>
    <cfRule type="containsText" dxfId="1656" priority="1509" operator="containsText" text="ds">
      <formula>NOT(ISERROR(SEARCH("ds",BC25)))</formula>
    </cfRule>
    <cfRule type="containsText" dxfId="1655" priority="1510" operator="containsText" text="subobs">
      <formula>NOT(ISERROR(SEARCH("subobs",BC25)))</formula>
    </cfRule>
    <cfRule type="containsText" dxfId="1654" priority="1511" operator="containsText" text="Call">
      <formula>NOT(ISERROR(SEARCH("Call",BC25)))</formula>
    </cfRule>
  </conditionalFormatting>
  <conditionalFormatting sqref="BJ25">
    <cfRule type="containsText" dxfId="1653" priority="1451" operator="containsText" text="9ab">
      <formula>NOT(ISERROR(SEARCH("9ab",BJ25)))</formula>
    </cfRule>
    <cfRule type="cellIs" dxfId="1652" priority="1452" stopIfTrue="1" operator="equal">
      <formula>"leave"</formula>
    </cfRule>
    <cfRule type="containsText" dxfId="1651" priority="1453" operator="containsText" text="ds">
      <formula>NOT(ISERROR(SEARCH("ds",BJ25)))</formula>
    </cfRule>
    <cfRule type="containsText" dxfId="1650" priority="1454" operator="containsText" text="subobs">
      <formula>NOT(ISERROR(SEARCH("subobs",BJ25)))</formula>
    </cfRule>
    <cfRule type="containsText" dxfId="1649" priority="1455" operator="containsText" text="Call">
      <formula>NOT(ISERROR(SEARCH("Call",BJ25)))</formula>
    </cfRule>
    <cfRule type="containsText" dxfId="1648" priority="1457" operator="containsText" text="9ab">
      <formula>NOT(ISERROR(SEARCH("9ab",BJ25)))</formula>
    </cfRule>
    <cfRule type="cellIs" dxfId="1647" priority="1458" stopIfTrue="1" operator="equal">
      <formula>"leave"</formula>
    </cfRule>
    <cfRule type="containsText" dxfId="1646" priority="1459" operator="containsText" text="ds">
      <formula>NOT(ISERROR(SEARCH("ds",BJ25)))</formula>
    </cfRule>
    <cfRule type="containsText" dxfId="1645" priority="1460" operator="containsText" text="subobs">
      <formula>NOT(ISERROR(SEARCH("subobs",BJ25)))</formula>
    </cfRule>
    <cfRule type="containsText" dxfId="1644" priority="1461" stopIfTrue="1" operator="containsText" text="(Call)">
      <formula>NOT(ISERROR(SEARCH("(Call)",BJ25)))</formula>
    </cfRule>
    <cfRule type="containsText" dxfId="1643" priority="1463" operator="containsText" text="9ab">
      <formula>NOT(ISERROR(SEARCH("9ab",BJ25)))</formula>
    </cfRule>
    <cfRule type="cellIs" dxfId="1642" priority="1464" stopIfTrue="1" operator="equal">
      <formula>"leave"</formula>
    </cfRule>
    <cfRule type="containsText" dxfId="1641" priority="1465" operator="containsText" text="ds">
      <formula>NOT(ISERROR(SEARCH("ds",BJ25)))</formula>
    </cfRule>
    <cfRule type="containsText" dxfId="1640" priority="1466" operator="containsText" text="subobs">
      <formula>NOT(ISERROR(SEARCH("subobs",BJ25)))</formula>
    </cfRule>
    <cfRule type="containsText" dxfId="1639" priority="1467" operator="containsText" text="Call">
      <formula>NOT(ISERROR(SEARCH("Call",BJ25)))</formula>
    </cfRule>
    <cfRule type="cellIs" dxfId="1638" priority="1469" operator="equal">
      <formula>0</formula>
    </cfRule>
    <cfRule type="containsText" dxfId="1637" priority="1470" operator="containsText" text="9ab">
      <formula>NOT(ISERROR(SEARCH("9ab",BJ25)))</formula>
    </cfRule>
    <cfRule type="cellIs" dxfId="1636" priority="1471" stopIfTrue="1" operator="equal">
      <formula>"leave"</formula>
    </cfRule>
    <cfRule type="containsText" dxfId="1635" priority="1472" operator="containsText" text="ds">
      <formula>NOT(ISERROR(SEARCH("ds",BJ25)))</formula>
    </cfRule>
    <cfRule type="containsText" dxfId="1634" priority="1473" operator="containsText" text="subobs">
      <formula>NOT(ISERROR(SEARCH("subobs",BJ25)))</formula>
    </cfRule>
    <cfRule type="containsText" dxfId="1633" priority="1474" operator="containsText" text="Call">
      <formula>NOT(ISERROR(SEARCH("Call",BJ25)))</formula>
    </cfRule>
  </conditionalFormatting>
  <conditionalFormatting sqref="BJ25">
    <cfRule type="containsText" dxfId="1632" priority="1476" operator="containsText" text="9ab">
      <formula>NOT(ISERROR(SEARCH("9ab",BJ25)))</formula>
    </cfRule>
    <cfRule type="cellIs" dxfId="1631" priority="1477" stopIfTrue="1" operator="equal">
      <formula>"leave"</formula>
    </cfRule>
    <cfRule type="containsText" dxfId="1630" priority="1478" operator="containsText" text="ds">
      <formula>NOT(ISERROR(SEARCH("ds",BJ25)))</formula>
    </cfRule>
    <cfRule type="containsText" dxfId="1629" priority="1479" operator="containsText" text="subobs">
      <formula>NOT(ISERROR(SEARCH("subobs",BJ25)))</formula>
    </cfRule>
    <cfRule type="containsText" dxfId="1628" priority="1480" operator="containsText" text="Call">
      <formula>NOT(ISERROR(SEARCH("Call",BJ25)))</formula>
    </cfRule>
  </conditionalFormatting>
  <conditionalFormatting sqref="BQ25">
    <cfRule type="containsText" dxfId="1627" priority="1420" operator="containsText" text="9ab">
      <formula>NOT(ISERROR(SEARCH("9ab",BQ25)))</formula>
    </cfRule>
    <cfRule type="cellIs" dxfId="1626" priority="1421" stopIfTrue="1" operator="equal">
      <formula>"leave"</formula>
    </cfRule>
    <cfRule type="containsText" dxfId="1625" priority="1422" operator="containsText" text="ds">
      <formula>NOT(ISERROR(SEARCH("ds",BQ25)))</formula>
    </cfRule>
    <cfRule type="containsText" dxfId="1624" priority="1423" operator="containsText" text="subobs">
      <formula>NOT(ISERROR(SEARCH("subobs",BQ25)))</formula>
    </cfRule>
    <cfRule type="containsText" dxfId="1623" priority="1424" operator="containsText" text="Call">
      <formula>NOT(ISERROR(SEARCH("Call",BQ25)))</formula>
    </cfRule>
    <cfRule type="containsText" dxfId="1622" priority="1426" operator="containsText" text="9ab">
      <formula>NOT(ISERROR(SEARCH("9ab",BQ25)))</formula>
    </cfRule>
    <cfRule type="cellIs" dxfId="1621" priority="1427" stopIfTrue="1" operator="equal">
      <formula>"leave"</formula>
    </cfRule>
    <cfRule type="containsText" dxfId="1620" priority="1428" operator="containsText" text="ds">
      <formula>NOT(ISERROR(SEARCH("ds",BQ25)))</formula>
    </cfRule>
    <cfRule type="containsText" dxfId="1619" priority="1429" operator="containsText" text="subobs">
      <formula>NOT(ISERROR(SEARCH("subobs",BQ25)))</formula>
    </cfRule>
    <cfRule type="containsText" dxfId="1618" priority="1430" stopIfTrue="1" operator="containsText" text="(Call)">
      <formula>NOT(ISERROR(SEARCH("(Call)",BQ25)))</formula>
    </cfRule>
    <cfRule type="containsText" dxfId="1617" priority="1432" operator="containsText" text="9ab">
      <formula>NOT(ISERROR(SEARCH("9ab",BQ25)))</formula>
    </cfRule>
    <cfRule type="cellIs" dxfId="1616" priority="1433" stopIfTrue="1" operator="equal">
      <formula>"leave"</formula>
    </cfRule>
    <cfRule type="containsText" dxfId="1615" priority="1434" operator="containsText" text="ds">
      <formula>NOT(ISERROR(SEARCH("ds",BQ25)))</formula>
    </cfRule>
    <cfRule type="containsText" dxfId="1614" priority="1435" operator="containsText" text="subobs">
      <formula>NOT(ISERROR(SEARCH("subobs",BQ25)))</formula>
    </cfRule>
    <cfRule type="containsText" dxfId="1613" priority="1436" operator="containsText" text="Call">
      <formula>NOT(ISERROR(SEARCH("Call",BQ25)))</formula>
    </cfRule>
    <cfRule type="cellIs" dxfId="1612" priority="1438" operator="equal">
      <formula>0</formula>
    </cfRule>
    <cfRule type="containsText" dxfId="1611" priority="1439" operator="containsText" text="9ab">
      <formula>NOT(ISERROR(SEARCH("9ab",BQ25)))</formula>
    </cfRule>
    <cfRule type="cellIs" dxfId="1610" priority="1440" stopIfTrue="1" operator="equal">
      <formula>"leave"</formula>
    </cfRule>
    <cfRule type="containsText" dxfId="1609" priority="1441" operator="containsText" text="ds">
      <formula>NOT(ISERROR(SEARCH("ds",BQ25)))</formula>
    </cfRule>
    <cfRule type="containsText" dxfId="1608" priority="1442" operator="containsText" text="subobs">
      <formula>NOT(ISERROR(SEARCH("subobs",BQ25)))</formula>
    </cfRule>
    <cfRule type="containsText" dxfId="1607" priority="1443" operator="containsText" text="Call">
      <formula>NOT(ISERROR(SEARCH("Call",BQ25)))</formula>
    </cfRule>
  </conditionalFormatting>
  <conditionalFormatting sqref="BQ25">
    <cfRule type="containsText" dxfId="1606" priority="1445" operator="containsText" text="9ab">
      <formula>NOT(ISERROR(SEARCH("9ab",BQ25)))</formula>
    </cfRule>
    <cfRule type="cellIs" dxfId="1605" priority="1446" stopIfTrue="1" operator="equal">
      <formula>"leave"</formula>
    </cfRule>
    <cfRule type="containsText" dxfId="1604" priority="1447" operator="containsText" text="ds">
      <formula>NOT(ISERROR(SEARCH("ds",BQ25)))</formula>
    </cfRule>
    <cfRule type="containsText" dxfId="1603" priority="1448" operator="containsText" text="subobs">
      <formula>NOT(ISERROR(SEARCH("subobs",BQ25)))</formula>
    </cfRule>
    <cfRule type="containsText" dxfId="1602" priority="1449" operator="containsText" text="Call">
      <formula>NOT(ISERROR(SEARCH("Call",BQ25)))</formula>
    </cfRule>
  </conditionalFormatting>
  <conditionalFormatting sqref="BX25">
    <cfRule type="containsText" dxfId="1601" priority="1389" operator="containsText" text="9ab">
      <formula>NOT(ISERROR(SEARCH("9ab",BX25)))</formula>
    </cfRule>
    <cfRule type="cellIs" dxfId="1600" priority="1390" stopIfTrue="1" operator="equal">
      <formula>"leave"</formula>
    </cfRule>
    <cfRule type="containsText" dxfId="1599" priority="1391" operator="containsText" text="ds">
      <formula>NOT(ISERROR(SEARCH("ds",BX25)))</formula>
    </cfRule>
    <cfRule type="containsText" dxfId="1598" priority="1392" operator="containsText" text="subobs">
      <formula>NOT(ISERROR(SEARCH("subobs",BX25)))</formula>
    </cfRule>
    <cfRule type="containsText" dxfId="1597" priority="1393" operator="containsText" text="Call">
      <formula>NOT(ISERROR(SEARCH("Call",BX25)))</formula>
    </cfRule>
    <cfRule type="containsText" dxfId="1596" priority="1395" operator="containsText" text="9ab">
      <formula>NOT(ISERROR(SEARCH("9ab",BX25)))</formula>
    </cfRule>
    <cfRule type="cellIs" dxfId="1595" priority="1396" stopIfTrue="1" operator="equal">
      <formula>"leave"</formula>
    </cfRule>
    <cfRule type="containsText" dxfId="1594" priority="1397" operator="containsText" text="ds">
      <formula>NOT(ISERROR(SEARCH("ds",BX25)))</formula>
    </cfRule>
    <cfRule type="containsText" dxfId="1593" priority="1398" operator="containsText" text="subobs">
      <formula>NOT(ISERROR(SEARCH("subobs",BX25)))</formula>
    </cfRule>
    <cfRule type="containsText" dxfId="1592" priority="1399" stopIfTrue="1" operator="containsText" text="(Call)">
      <formula>NOT(ISERROR(SEARCH("(Call)",BX25)))</formula>
    </cfRule>
    <cfRule type="containsText" dxfId="1591" priority="1401" operator="containsText" text="9ab">
      <formula>NOT(ISERROR(SEARCH("9ab",BX25)))</formula>
    </cfRule>
    <cfRule type="cellIs" dxfId="1590" priority="1402" stopIfTrue="1" operator="equal">
      <formula>"leave"</formula>
    </cfRule>
    <cfRule type="containsText" dxfId="1589" priority="1403" operator="containsText" text="ds">
      <formula>NOT(ISERROR(SEARCH("ds",BX25)))</formula>
    </cfRule>
    <cfRule type="containsText" dxfId="1588" priority="1404" operator="containsText" text="subobs">
      <formula>NOT(ISERROR(SEARCH("subobs",BX25)))</formula>
    </cfRule>
    <cfRule type="containsText" dxfId="1587" priority="1405" operator="containsText" text="Call">
      <formula>NOT(ISERROR(SEARCH("Call",BX25)))</formula>
    </cfRule>
    <cfRule type="cellIs" dxfId="1586" priority="1407" operator="equal">
      <formula>0</formula>
    </cfRule>
    <cfRule type="containsText" dxfId="1585" priority="1408" operator="containsText" text="9ab">
      <formula>NOT(ISERROR(SEARCH("9ab",BX25)))</formula>
    </cfRule>
    <cfRule type="cellIs" dxfId="1584" priority="1409" stopIfTrue="1" operator="equal">
      <formula>"leave"</formula>
    </cfRule>
    <cfRule type="containsText" dxfId="1583" priority="1410" operator="containsText" text="ds">
      <formula>NOT(ISERROR(SEARCH("ds",BX25)))</formula>
    </cfRule>
    <cfRule type="containsText" dxfId="1582" priority="1411" operator="containsText" text="subobs">
      <formula>NOT(ISERROR(SEARCH("subobs",BX25)))</formula>
    </cfRule>
    <cfRule type="containsText" dxfId="1581" priority="1412" operator="containsText" text="Call">
      <formula>NOT(ISERROR(SEARCH("Call",BX25)))</formula>
    </cfRule>
  </conditionalFormatting>
  <conditionalFormatting sqref="BX25">
    <cfRule type="containsText" dxfId="1580" priority="1414" operator="containsText" text="9ab">
      <formula>NOT(ISERROR(SEARCH("9ab",BX25)))</formula>
    </cfRule>
    <cfRule type="cellIs" dxfId="1579" priority="1415" stopIfTrue="1" operator="equal">
      <formula>"leave"</formula>
    </cfRule>
    <cfRule type="containsText" dxfId="1578" priority="1416" operator="containsText" text="ds">
      <formula>NOT(ISERROR(SEARCH("ds",BX25)))</formula>
    </cfRule>
    <cfRule type="containsText" dxfId="1577" priority="1417" operator="containsText" text="subobs">
      <formula>NOT(ISERROR(SEARCH("subobs",BX25)))</formula>
    </cfRule>
    <cfRule type="containsText" dxfId="1576" priority="1418" operator="containsText" text="Call">
      <formula>NOT(ISERROR(SEARCH("Call",BX25)))</formula>
    </cfRule>
  </conditionalFormatting>
  <conditionalFormatting sqref="CE25">
    <cfRule type="containsText" dxfId="1575" priority="1358" operator="containsText" text="9ab">
      <formula>NOT(ISERROR(SEARCH("9ab",CE25)))</formula>
    </cfRule>
    <cfRule type="cellIs" dxfId="1574" priority="1359" stopIfTrue="1" operator="equal">
      <formula>"leave"</formula>
    </cfRule>
    <cfRule type="containsText" dxfId="1573" priority="1360" operator="containsText" text="ds">
      <formula>NOT(ISERROR(SEARCH("ds",CE25)))</formula>
    </cfRule>
    <cfRule type="containsText" dxfId="1572" priority="1361" operator="containsText" text="subobs">
      <formula>NOT(ISERROR(SEARCH("subobs",CE25)))</formula>
    </cfRule>
    <cfRule type="containsText" dxfId="1571" priority="1362" operator="containsText" text="Call">
      <formula>NOT(ISERROR(SEARCH("Call",CE25)))</formula>
    </cfRule>
    <cfRule type="containsText" dxfId="1570" priority="1364" operator="containsText" text="9ab">
      <formula>NOT(ISERROR(SEARCH("9ab",CE25)))</formula>
    </cfRule>
    <cfRule type="cellIs" dxfId="1569" priority="1365" stopIfTrue="1" operator="equal">
      <formula>"leave"</formula>
    </cfRule>
    <cfRule type="containsText" dxfId="1568" priority="1366" operator="containsText" text="ds">
      <formula>NOT(ISERROR(SEARCH("ds",CE25)))</formula>
    </cfRule>
    <cfRule type="containsText" dxfId="1567" priority="1367" operator="containsText" text="subobs">
      <formula>NOT(ISERROR(SEARCH("subobs",CE25)))</formula>
    </cfRule>
    <cfRule type="containsText" dxfId="1566" priority="1368" stopIfTrue="1" operator="containsText" text="(Call)">
      <formula>NOT(ISERROR(SEARCH("(Call)",CE25)))</formula>
    </cfRule>
    <cfRule type="containsText" dxfId="1565" priority="1370" operator="containsText" text="9ab">
      <formula>NOT(ISERROR(SEARCH("9ab",CE25)))</formula>
    </cfRule>
    <cfRule type="cellIs" dxfId="1564" priority="1371" stopIfTrue="1" operator="equal">
      <formula>"leave"</formula>
    </cfRule>
    <cfRule type="containsText" dxfId="1563" priority="1372" operator="containsText" text="ds">
      <formula>NOT(ISERROR(SEARCH("ds",CE25)))</formula>
    </cfRule>
    <cfRule type="containsText" dxfId="1562" priority="1373" operator="containsText" text="subobs">
      <formula>NOT(ISERROR(SEARCH("subobs",CE25)))</formula>
    </cfRule>
    <cfRule type="containsText" dxfId="1561" priority="1374" operator="containsText" text="Call">
      <formula>NOT(ISERROR(SEARCH("Call",CE25)))</formula>
    </cfRule>
    <cfRule type="cellIs" dxfId="1560" priority="1376" operator="equal">
      <formula>0</formula>
    </cfRule>
    <cfRule type="containsText" dxfId="1559" priority="1377" operator="containsText" text="9ab">
      <formula>NOT(ISERROR(SEARCH("9ab",CE25)))</formula>
    </cfRule>
    <cfRule type="cellIs" dxfId="1558" priority="1378" stopIfTrue="1" operator="equal">
      <formula>"leave"</formula>
    </cfRule>
    <cfRule type="containsText" dxfId="1557" priority="1379" operator="containsText" text="ds">
      <formula>NOT(ISERROR(SEARCH("ds",CE25)))</formula>
    </cfRule>
    <cfRule type="containsText" dxfId="1556" priority="1380" operator="containsText" text="subobs">
      <formula>NOT(ISERROR(SEARCH("subobs",CE25)))</formula>
    </cfRule>
    <cfRule type="containsText" dxfId="1555" priority="1381" operator="containsText" text="Call">
      <formula>NOT(ISERROR(SEARCH("Call",CE25)))</formula>
    </cfRule>
  </conditionalFormatting>
  <conditionalFormatting sqref="CE25">
    <cfRule type="containsText" dxfId="1554" priority="1383" operator="containsText" text="9ab">
      <formula>NOT(ISERROR(SEARCH("9ab",CE25)))</formula>
    </cfRule>
    <cfRule type="cellIs" dxfId="1553" priority="1384" stopIfTrue="1" operator="equal">
      <formula>"leave"</formula>
    </cfRule>
    <cfRule type="containsText" dxfId="1552" priority="1385" operator="containsText" text="ds">
      <formula>NOT(ISERROR(SEARCH("ds",CE25)))</formula>
    </cfRule>
    <cfRule type="containsText" dxfId="1551" priority="1386" operator="containsText" text="subobs">
      <formula>NOT(ISERROR(SEARCH("subobs",CE25)))</formula>
    </cfRule>
    <cfRule type="containsText" dxfId="1550" priority="1387" operator="containsText" text="Call">
      <formula>NOT(ISERROR(SEARCH("Call",CE25)))</formula>
    </cfRule>
  </conditionalFormatting>
  <conditionalFormatting sqref="CL25">
    <cfRule type="containsText" dxfId="1549" priority="1327" operator="containsText" text="9ab">
      <formula>NOT(ISERROR(SEARCH("9ab",CL25)))</formula>
    </cfRule>
    <cfRule type="cellIs" dxfId="1548" priority="1328" stopIfTrue="1" operator="equal">
      <formula>"leave"</formula>
    </cfRule>
    <cfRule type="containsText" dxfId="1547" priority="1329" operator="containsText" text="ds">
      <formula>NOT(ISERROR(SEARCH("ds",CL25)))</formula>
    </cfRule>
    <cfRule type="containsText" dxfId="1546" priority="1330" operator="containsText" text="subobs">
      <formula>NOT(ISERROR(SEARCH("subobs",CL25)))</formula>
    </cfRule>
    <cfRule type="containsText" dxfId="1545" priority="1331" operator="containsText" text="Call">
      <formula>NOT(ISERROR(SEARCH("Call",CL25)))</formula>
    </cfRule>
    <cfRule type="containsText" dxfId="1544" priority="1333" operator="containsText" text="9ab">
      <formula>NOT(ISERROR(SEARCH("9ab",CL25)))</formula>
    </cfRule>
    <cfRule type="cellIs" dxfId="1543" priority="1334" stopIfTrue="1" operator="equal">
      <formula>"leave"</formula>
    </cfRule>
    <cfRule type="containsText" dxfId="1542" priority="1335" operator="containsText" text="ds">
      <formula>NOT(ISERROR(SEARCH("ds",CL25)))</formula>
    </cfRule>
    <cfRule type="containsText" dxfId="1541" priority="1336" operator="containsText" text="subobs">
      <formula>NOT(ISERROR(SEARCH("subobs",CL25)))</formula>
    </cfRule>
    <cfRule type="containsText" dxfId="1540" priority="1337" stopIfTrue="1" operator="containsText" text="(Call)">
      <formula>NOT(ISERROR(SEARCH("(Call)",CL25)))</formula>
    </cfRule>
    <cfRule type="containsText" dxfId="1539" priority="1339" operator="containsText" text="9ab">
      <formula>NOT(ISERROR(SEARCH("9ab",CL25)))</formula>
    </cfRule>
    <cfRule type="cellIs" dxfId="1538" priority="1340" stopIfTrue="1" operator="equal">
      <formula>"leave"</formula>
    </cfRule>
    <cfRule type="containsText" dxfId="1537" priority="1341" operator="containsText" text="ds">
      <formula>NOT(ISERROR(SEARCH("ds",CL25)))</formula>
    </cfRule>
    <cfRule type="containsText" dxfId="1536" priority="1342" operator="containsText" text="subobs">
      <formula>NOT(ISERROR(SEARCH("subobs",CL25)))</formula>
    </cfRule>
    <cfRule type="containsText" dxfId="1535" priority="1343" operator="containsText" text="Call">
      <formula>NOT(ISERROR(SEARCH("Call",CL25)))</formula>
    </cfRule>
    <cfRule type="cellIs" dxfId="1534" priority="1345" operator="equal">
      <formula>0</formula>
    </cfRule>
    <cfRule type="containsText" dxfId="1533" priority="1346" operator="containsText" text="9ab">
      <formula>NOT(ISERROR(SEARCH("9ab",CL25)))</formula>
    </cfRule>
    <cfRule type="cellIs" dxfId="1532" priority="1347" stopIfTrue="1" operator="equal">
      <formula>"leave"</formula>
    </cfRule>
    <cfRule type="containsText" dxfId="1531" priority="1348" operator="containsText" text="ds">
      <formula>NOT(ISERROR(SEARCH("ds",CL25)))</formula>
    </cfRule>
    <cfRule type="containsText" dxfId="1530" priority="1349" operator="containsText" text="subobs">
      <formula>NOT(ISERROR(SEARCH("subobs",CL25)))</formula>
    </cfRule>
    <cfRule type="containsText" dxfId="1529" priority="1350" operator="containsText" text="Call">
      <formula>NOT(ISERROR(SEARCH("Call",CL25)))</formula>
    </cfRule>
  </conditionalFormatting>
  <conditionalFormatting sqref="CL25">
    <cfRule type="containsText" dxfId="1528" priority="1352" operator="containsText" text="9ab">
      <formula>NOT(ISERROR(SEARCH("9ab",CL25)))</formula>
    </cfRule>
    <cfRule type="cellIs" dxfId="1527" priority="1353" stopIfTrue="1" operator="equal">
      <formula>"leave"</formula>
    </cfRule>
    <cfRule type="containsText" dxfId="1526" priority="1354" operator="containsText" text="ds">
      <formula>NOT(ISERROR(SEARCH("ds",CL25)))</formula>
    </cfRule>
    <cfRule type="containsText" dxfId="1525" priority="1355" operator="containsText" text="subobs">
      <formula>NOT(ISERROR(SEARCH("subobs",CL25)))</formula>
    </cfRule>
    <cfRule type="containsText" dxfId="1524" priority="1356" operator="containsText" text="Call">
      <formula>NOT(ISERROR(SEARCH("Call",CL25)))</formula>
    </cfRule>
  </conditionalFormatting>
  <conditionalFormatting sqref="BC25">
    <cfRule type="containsText" dxfId="1523" priority="1296" operator="containsText" text="9ab">
      <formula>NOT(ISERROR(SEARCH("9ab",BC25)))</formula>
    </cfRule>
    <cfRule type="cellIs" dxfId="1522" priority="1297" stopIfTrue="1" operator="equal">
      <formula>"leave"</formula>
    </cfRule>
    <cfRule type="containsText" dxfId="1521" priority="1298" operator="containsText" text="ds">
      <formula>NOT(ISERROR(SEARCH("ds",BC25)))</formula>
    </cfRule>
    <cfRule type="containsText" dxfId="1520" priority="1299" operator="containsText" text="subobs">
      <formula>NOT(ISERROR(SEARCH("subobs",BC25)))</formula>
    </cfRule>
    <cfRule type="containsText" dxfId="1519" priority="1300" operator="containsText" text="Call">
      <formula>NOT(ISERROR(SEARCH("Call",BC25)))</formula>
    </cfRule>
    <cfRule type="containsText" dxfId="1518" priority="1302" operator="containsText" text="9ab">
      <formula>NOT(ISERROR(SEARCH("9ab",BC25)))</formula>
    </cfRule>
    <cfRule type="cellIs" dxfId="1517" priority="1303" stopIfTrue="1" operator="equal">
      <formula>"leave"</formula>
    </cfRule>
    <cfRule type="containsText" dxfId="1516" priority="1304" operator="containsText" text="ds">
      <formula>NOT(ISERROR(SEARCH("ds",BC25)))</formula>
    </cfRule>
    <cfRule type="containsText" dxfId="1515" priority="1305" operator="containsText" text="subobs">
      <formula>NOT(ISERROR(SEARCH("subobs",BC25)))</formula>
    </cfRule>
    <cfRule type="containsText" dxfId="1514" priority="1306" stopIfTrue="1" operator="containsText" text="(Call)">
      <formula>NOT(ISERROR(SEARCH("(Call)",BC25)))</formula>
    </cfRule>
    <cfRule type="containsText" dxfId="1513" priority="1308" operator="containsText" text="9ab">
      <formula>NOT(ISERROR(SEARCH("9ab",BC25)))</formula>
    </cfRule>
    <cfRule type="cellIs" dxfId="1512" priority="1309" stopIfTrue="1" operator="equal">
      <formula>"leave"</formula>
    </cfRule>
    <cfRule type="containsText" dxfId="1511" priority="1310" operator="containsText" text="ds">
      <formula>NOT(ISERROR(SEARCH("ds",BC25)))</formula>
    </cfRule>
    <cfRule type="containsText" dxfId="1510" priority="1311" operator="containsText" text="subobs">
      <formula>NOT(ISERROR(SEARCH("subobs",BC25)))</formula>
    </cfRule>
    <cfRule type="containsText" dxfId="1509" priority="1312" operator="containsText" text="Call">
      <formula>NOT(ISERROR(SEARCH("Call",BC25)))</formula>
    </cfRule>
    <cfRule type="cellIs" dxfId="1508" priority="1314" operator="equal">
      <formula>0</formula>
    </cfRule>
    <cfRule type="containsText" dxfId="1507" priority="1315" operator="containsText" text="9ab">
      <formula>NOT(ISERROR(SEARCH("9ab",BC25)))</formula>
    </cfRule>
    <cfRule type="cellIs" dxfId="1506" priority="1316" stopIfTrue="1" operator="equal">
      <formula>"leave"</formula>
    </cfRule>
    <cfRule type="containsText" dxfId="1505" priority="1317" operator="containsText" text="ds">
      <formula>NOT(ISERROR(SEARCH("ds",BC25)))</formula>
    </cfRule>
    <cfRule type="containsText" dxfId="1504" priority="1318" operator="containsText" text="subobs">
      <formula>NOT(ISERROR(SEARCH("subobs",BC25)))</formula>
    </cfRule>
    <cfRule type="containsText" dxfId="1503" priority="1319" operator="containsText" text="Call">
      <formula>NOT(ISERROR(SEARCH("Call",BC25)))</formula>
    </cfRule>
  </conditionalFormatting>
  <conditionalFormatting sqref="BC25">
    <cfRule type="containsText" dxfId="1502" priority="1321" operator="containsText" text="9ab">
      <formula>NOT(ISERROR(SEARCH("9ab",BC25)))</formula>
    </cfRule>
    <cfRule type="cellIs" dxfId="1501" priority="1322" stopIfTrue="1" operator="equal">
      <formula>"leave"</formula>
    </cfRule>
    <cfRule type="containsText" dxfId="1500" priority="1323" operator="containsText" text="ds">
      <formula>NOT(ISERROR(SEARCH("ds",BC25)))</formula>
    </cfRule>
    <cfRule type="containsText" dxfId="1499" priority="1324" operator="containsText" text="subobs">
      <formula>NOT(ISERROR(SEARCH("subobs",BC25)))</formula>
    </cfRule>
    <cfRule type="containsText" dxfId="1498" priority="1325" operator="containsText" text="Call">
      <formula>NOT(ISERROR(SEARCH("Call",BC25)))</formula>
    </cfRule>
  </conditionalFormatting>
  <conditionalFormatting sqref="BJ25">
    <cfRule type="containsText" dxfId="1497" priority="1265" operator="containsText" text="9ab">
      <formula>NOT(ISERROR(SEARCH("9ab",BJ25)))</formula>
    </cfRule>
    <cfRule type="cellIs" dxfId="1496" priority="1266" stopIfTrue="1" operator="equal">
      <formula>"leave"</formula>
    </cfRule>
    <cfRule type="containsText" dxfId="1495" priority="1267" operator="containsText" text="ds">
      <formula>NOT(ISERROR(SEARCH("ds",BJ25)))</formula>
    </cfRule>
    <cfRule type="containsText" dxfId="1494" priority="1268" operator="containsText" text="subobs">
      <formula>NOT(ISERROR(SEARCH("subobs",BJ25)))</formula>
    </cfRule>
    <cfRule type="containsText" dxfId="1493" priority="1269" operator="containsText" text="Call">
      <formula>NOT(ISERROR(SEARCH("Call",BJ25)))</formula>
    </cfRule>
    <cfRule type="containsText" dxfId="1492" priority="1271" operator="containsText" text="9ab">
      <formula>NOT(ISERROR(SEARCH("9ab",BJ25)))</formula>
    </cfRule>
    <cfRule type="cellIs" dxfId="1491" priority="1272" stopIfTrue="1" operator="equal">
      <formula>"leave"</formula>
    </cfRule>
    <cfRule type="containsText" dxfId="1490" priority="1273" operator="containsText" text="ds">
      <formula>NOT(ISERROR(SEARCH("ds",BJ25)))</formula>
    </cfRule>
    <cfRule type="containsText" dxfId="1489" priority="1274" operator="containsText" text="subobs">
      <formula>NOT(ISERROR(SEARCH("subobs",BJ25)))</formula>
    </cfRule>
    <cfRule type="containsText" dxfId="1488" priority="1275" stopIfTrue="1" operator="containsText" text="(Call)">
      <formula>NOT(ISERROR(SEARCH("(Call)",BJ25)))</formula>
    </cfRule>
    <cfRule type="containsText" dxfId="1487" priority="1277" operator="containsText" text="9ab">
      <formula>NOT(ISERROR(SEARCH("9ab",BJ25)))</formula>
    </cfRule>
    <cfRule type="cellIs" dxfId="1486" priority="1278" stopIfTrue="1" operator="equal">
      <formula>"leave"</formula>
    </cfRule>
    <cfRule type="containsText" dxfId="1485" priority="1279" operator="containsText" text="ds">
      <formula>NOT(ISERROR(SEARCH("ds",BJ25)))</formula>
    </cfRule>
    <cfRule type="containsText" dxfId="1484" priority="1280" operator="containsText" text="subobs">
      <formula>NOT(ISERROR(SEARCH("subobs",BJ25)))</formula>
    </cfRule>
    <cfRule type="containsText" dxfId="1483" priority="1281" operator="containsText" text="Call">
      <formula>NOT(ISERROR(SEARCH("Call",BJ25)))</formula>
    </cfRule>
    <cfRule type="cellIs" dxfId="1482" priority="1283" operator="equal">
      <formula>0</formula>
    </cfRule>
    <cfRule type="containsText" dxfId="1481" priority="1284" operator="containsText" text="9ab">
      <formula>NOT(ISERROR(SEARCH("9ab",BJ25)))</formula>
    </cfRule>
    <cfRule type="cellIs" dxfId="1480" priority="1285" stopIfTrue="1" operator="equal">
      <formula>"leave"</formula>
    </cfRule>
    <cfRule type="containsText" dxfId="1479" priority="1286" operator="containsText" text="ds">
      <formula>NOT(ISERROR(SEARCH("ds",BJ25)))</formula>
    </cfRule>
    <cfRule type="containsText" dxfId="1478" priority="1287" operator="containsText" text="subobs">
      <formula>NOT(ISERROR(SEARCH("subobs",BJ25)))</formula>
    </cfRule>
    <cfRule type="containsText" dxfId="1477" priority="1288" operator="containsText" text="Call">
      <formula>NOT(ISERROR(SEARCH("Call",BJ25)))</formula>
    </cfRule>
  </conditionalFormatting>
  <conditionalFormatting sqref="BJ25">
    <cfRule type="containsText" dxfId="1476" priority="1290" operator="containsText" text="9ab">
      <formula>NOT(ISERROR(SEARCH("9ab",BJ25)))</formula>
    </cfRule>
    <cfRule type="cellIs" dxfId="1475" priority="1291" stopIfTrue="1" operator="equal">
      <formula>"leave"</formula>
    </cfRule>
    <cfRule type="containsText" dxfId="1474" priority="1292" operator="containsText" text="ds">
      <formula>NOT(ISERROR(SEARCH("ds",BJ25)))</formula>
    </cfRule>
    <cfRule type="containsText" dxfId="1473" priority="1293" operator="containsText" text="subobs">
      <formula>NOT(ISERROR(SEARCH("subobs",BJ25)))</formula>
    </cfRule>
    <cfRule type="containsText" dxfId="1472" priority="1294" operator="containsText" text="Call">
      <formula>NOT(ISERROR(SEARCH("Call",BJ25)))</formula>
    </cfRule>
  </conditionalFormatting>
  <conditionalFormatting sqref="BQ25">
    <cfRule type="containsText" dxfId="1471" priority="1234" operator="containsText" text="9ab">
      <formula>NOT(ISERROR(SEARCH("9ab",BQ25)))</formula>
    </cfRule>
    <cfRule type="cellIs" dxfId="1470" priority="1235" stopIfTrue="1" operator="equal">
      <formula>"leave"</formula>
    </cfRule>
    <cfRule type="containsText" dxfId="1469" priority="1236" operator="containsText" text="ds">
      <formula>NOT(ISERROR(SEARCH("ds",BQ25)))</formula>
    </cfRule>
    <cfRule type="containsText" dxfId="1468" priority="1237" operator="containsText" text="subobs">
      <formula>NOT(ISERROR(SEARCH("subobs",BQ25)))</formula>
    </cfRule>
    <cfRule type="containsText" dxfId="1467" priority="1238" operator="containsText" text="Call">
      <formula>NOT(ISERROR(SEARCH("Call",BQ25)))</formula>
    </cfRule>
    <cfRule type="containsText" dxfId="1466" priority="1240" operator="containsText" text="9ab">
      <formula>NOT(ISERROR(SEARCH("9ab",BQ25)))</formula>
    </cfRule>
    <cfRule type="cellIs" dxfId="1465" priority="1241" stopIfTrue="1" operator="equal">
      <formula>"leave"</formula>
    </cfRule>
    <cfRule type="containsText" dxfId="1464" priority="1242" operator="containsText" text="ds">
      <formula>NOT(ISERROR(SEARCH("ds",BQ25)))</formula>
    </cfRule>
    <cfRule type="containsText" dxfId="1463" priority="1243" operator="containsText" text="subobs">
      <formula>NOT(ISERROR(SEARCH("subobs",BQ25)))</formula>
    </cfRule>
    <cfRule type="containsText" dxfId="1462" priority="1244" stopIfTrue="1" operator="containsText" text="(Call)">
      <formula>NOT(ISERROR(SEARCH("(Call)",BQ25)))</formula>
    </cfRule>
    <cfRule type="containsText" dxfId="1461" priority="1246" operator="containsText" text="9ab">
      <formula>NOT(ISERROR(SEARCH("9ab",BQ25)))</formula>
    </cfRule>
    <cfRule type="cellIs" dxfId="1460" priority="1247" stopIfTrue="1" operator="equal">
      <formula>"leave"</formula>
    </cfRule>
    <cfRule type="containsText" dxfId="1459" priority="1248" operator="containsText" text="ds">
      <formula>NOT(ISERROR(SEARCH("ds",BQ25)))</formula>
    </cfRule>
    <cfRule type="containsText" dxfId="1458" priority="1249" operator="containsText" text="subobs">
      <formula>NOT(ISERROR(SEARCH("subobs",BQ25)))</formula>
    </cfRule>
    <cfRule type="containsText" dxfId="1457" priority="1250" operator="containsText" text="Call">
      <formula>NOT(ISERROR(SEARCH("Call",BQ25)))</formula>
    </cfRule>
    <cfRule type="cellIs" dxfId="1456" priority="1252" operator="equal">
      <formula>0</formula>
    </cfRule>
    <cfRule type="containsText" dxfId="1455" priority="1253" operator="containsText" text="9ab">
      <formula>NOT(ISERROR(SEARCH("9ab",BQ25)))</formula>
    </cfRule>
    <cfRule type="cellIs" dxfId="1454" priority="1254" stopIfTrue="1" operator="equal">
      <formula>"leave"</formula>
    </cfRule>
    <cfRule type="containsText" dxfId="1453" priority="1255" operator="containsText" text="ds">
      <formula>NOT(ISERROR(SEARCH("ds",BQ25)))</formula>
    </cfRule>
    <cfRule type="containsText" dxfId="1452" priority="1256" operator="containsText" text="subobs">
      <formula>NOT(ISERROR(SEARCH("subobs",BQ25)))</formula>
    </cfRule>
    <cfRule type="containsText" dxfId="1451" priority="1257" operator="containsText" text="Call">
      <formula>NOT(ISERROR(SEARCH("Call",BQ25)))</formula>
    </cfRule>
  </conditionalFormatting>
  <conditionalFormatting sqref="BQ25">
    <cfRule type="containsText" dxfId="1450" priority="1259" operator="containsText" text="9ab">
      <formula>NOT(ISERROR(SEARCH("9ab",BQ25)))</formula>
    </cfRule>
    <cfRule type="cellIs" dxfId="1449" priority="1260" stopIfTrue="1" operator="equal">
      <formula>"leave"</formula>
    </cfRule>
    <cfRule type="containsText" dxfId="1448" priority="1261" operator="containsText" text="ds">
      <formula>NOT(ISERROR(SEARCH("ds",BQ25)))</formula>
    </cfRule>
    <cfRule type="containsText" dxfId="1447" priority="1262" operator="containsText" text="subobs">
      <formula>NOT(ISERROR(SEARCH("subobs",BQ25)))</formula>
    </cfRule>
    <cfRule type="containsText" dxfId="1446" priority="1263" operator="containsText" text="Call">
      <formula>NOT(ISERROR(SEARCH("Call",BQ25)))</formula>
    </cfRule>
  </conditionalFormatting>
  <conditionalFormatting sqref="BX25">
    <cfRule type="containsText" dxfId="1445" priority="1203" operator="containsText" text="9ab">
      <formula>NOT(ISERROR(SEARCH("9ab",BX25)))</formula>
    </cfRule>
    <cfRule type="cellIs" dxfId="1444" priority="1204" stopIfTrue="1" operator="equal">
      <formula>"leave"</formula>
    </cfRule>
    <cfRule type="containsText" dxfId="1443" priority="1205" operator="containsText" text="ds">
      <formula>NOT(ISERROR(SEARCH("ds",BX25)))</formula>
    </cfRule>
    <cfRule type="containsText" dxfId="1442" priority="1206" operator="containsText" text="subobs">
      <formula>NOT(ISERROR(SEARCH("subobs",BX25)))</formula>
    </cfRule>
    <cfRule type="containsText" dxfId="1441" priority="1207" operator="containsText" text="Call">
      <formula>NOT(ISERROR(SEARCH("Call",BX25)))</formula>
    </cfRule>
    <cfRule type="containsText" dxfId="1440" priority="1209" operator="containsText" text="9ab">
      <formula>NOT(ISERROR(SEARCH("9ab",BX25)))</formula>
    </cfRule>
    <cfRule type="cellIs" dxfId="1439" priority="1210" stopIfTrue="1" operator="equal">
      <formula>"leave"</formula>
    </cfRule>
    <cfRule type="containsText" dxfId="1438" priority="1211" operator="containsText" text="ds">
      <formula>NOT(ISERROR(SEARCH("ds",BX25)))</formula>
    </cfRule>
    <cfRule type="containsText" dxfId="1437" priority="1212" operator="containsText" text="subobs">
      <formula>NOT(ISERROR(SEARCH("subobs",BX25)))</formula>
    </cfRule>
    <cfRule type="containsText" dxfId="1436" priority="1213" stopIfTrue="1" operator="containsText" text="(Call)">
      <formula>NOT(ISERROR(SEARCH("(Call)",BX25)))</formula>
    </cfRule>
    <cfRule type="containsText" dxfId="1435" priority="1215" operator="containsText" text="9ab">
      <formula>NOT(ISERROR(SEARCH("9ab",BX25)))</formula>
    </cfRule>
    <cfRule type="cellIs" dxfId="1434" priority="1216" stopIfTrue="1" operator="equal">
      <formula>"leave"</formula>
    </cfRule>
    <cfRule type="containsText" dxfId="1433" priority="1217" operator="containsText" text="ds">
      <formula>NOT(ISERROR(SEARCH("ds",BX25)))</formula>
    </cfRule>
    <cfRule type="containsText" dxfId="1432" priority="1218" operator="containsText" text="subobs">
      <formula>NOT(ISERROR(SEARCH("subobs",BX25)))</formula>
    </cfRule>
    <cfRule type="containsText" dxfId="1431" priority="1219" operator="containsText" text="Call">
      <formula>NOT(ISERROR(SEARCH("Call",BX25)))</formula>
    </cfRule>
    <cfRule type="cellIs" dxfId="1430" priority="1221" operator="equal">
      <formula>0</formula>
    </cfRule>
    <cfRule type="containsText" dxfId="1429" priority="1222" operator="containsText" text="9ab">
      <formula>NOT(ISERROR(SEARCH("9ab",BX25)))</formula>
    </cfRule>
    <cfRule type="cellIs" dxfId="1428" priority="1223" stopIfTrue="1" operator="equal">
      <formula>"leave"</formula>
    </cfRule>
    <cfRule type="containsText" dxfId="1427" priority="1224" operator="containsText" text="ds">
      <formula>NOT(ISERROR(SEARCH("ds",BX25)))</formula>
    </cfRule>
    <cfRule type="containsText" dxfId="1426" priority="1225" operator="containsText" text="subobs">
      <formula>NOT(ISERROR(SEARCH("subobs",BX25)))</formula>
    </cfRule>
    <cfRule type="containsText" dxfId="1425" priority="1226" operator="containsText" text="Call">
      <formula>NOT(ISERROR(SEARCH("Call",BX25)))</formula>
    </cfRule>
  </conditionalFormatting>
  <conditionalFormatting sqref="BX25">
    <cfRule type="containsText" dxfId="1424" priority="1228" operator="containsText" text="9ab">
      <formula>NOT(ISERROR(SEARCH("9ab",BX25)))</formula>
    </cfRule>
    <cfRule type="cellIs" dxfId="1423" priority="1229" stopIfTrue="1" operator="equal">
      <formula>"leave"</formula>
    </cfRule>
    <cfRule type="containsText" dxfId="1422" priority="1230" operator="containsText" text="ds">
      <formula>NOT(ISERROR(SEARCH("ds",BX25)))</formula>
    </cfRule>
    <cfRule type="containsText" dxfId="1421" priority="1231" operator="containsText" text="subobs">
      <formula>NOT(ISERROR(SEARCH("subobs",BX25)))</formula>
    </cfRule>
    <cfRule type="containsText" dxfId="1420" priority="1232" operator="containsText" text="Call">
      <formula>NOT(ISERROR(SEARCH("Call",BX25)))</formula>
    </cfRule>
  </conditionalFormatting>
  <conditionalFormatting sqref="CE25">
    <cfRule type="containsText" dxfId="1419" priority="1172" operator="containsText" text="9ab">
      <formula>NOT(ISERROR(SEARCH("9ab",CE25)))</formula>
    </cfRule>
    <cfRule type="cellIs" dxfId="1418" priority="1173" stopIfTrue="1" operator="equal">
      <formula>"leave"</formula>
    </cfRule>
    <cfRule type="containsText" dxfId="1417" priority="1174" operator="containsText" text="ds">
      <formula>NOT(ISERROR(SEARCH("ds",CE25)))</formula>
    </cfRule>
    <cfRule type="containsText" dxfId="1416" priority="1175" operator="containsText" text="subobs">
      <formula>NOT(ISERROR(SEARCH("subobs",CE25)))</formula>
    </cfRule>
    <cfRule type="containsText" dxfId="1415" priority="1176" operator="containsText" text="Call">
      <formula>NOT(ISERROR(SEARCH("Call",CE25)))</formula>
    </cfRule>
    <cfRule type="containsText" dxfId="1414" priority="1178" operator="containsText" text="9ab">
      <formula>NOT(ISERROR(SEARCH("9ab",CE25)))</formula>
    </cfRule>
    <cfRule type="cellIs" dxfId="1413" priority="1179" stopIfTrue="1" operator="equal">
      <formula>"leave"</formula>
    </cfRule>
    <cfRule type="containsText" dxfId="1412" priority="1180" operator="containsText" text="ds">
      <formula>NOT(ISERROR(SEARCH("ds",CE25)))</formula>
    </cfRule>
    <cfRule type="containsText" dxfId="1411" priority="1181" operator="containsText" text="subobs">
      <formula>NOT(ISERROR(SEARCH("subobs",CE25)))</formula>
    </cfRule>
    <cfRule type="containsText" dxfId="1410" priority="1182" stopIfTrue="1" operator="containsText" text="(Call)">
      <formula>NOT(ISERROR(SEARCH("(Call)",CE25)))</formula>
    </cfRule>
    <cfRule type="containsText" dxfId="1409" priority="1184" operator="containsText" text="9ab">
      <formula>NOT(ISERROR(SEARCH("9ab",CE25)))</formula>
    </cfRule>
    <cfRule type="cellIs" dxfId="1408" priority="1185" stopIfTrue="1" operator="equal">
      <formula>"leave"</formula>
    </cfRule>
    <cfRule type="containsText" dxfId="1407" priority="1186" operator="containsText" text="ds">
      <formula>NOT(ISERROR(SEARCH("ds",CE25)))</formula>
    </cfRule>
    <cfRule type="containsText" dxfId="1406" priority="1187" operator="containsText" text="subobs">
      <formula>NOT(ISERROR(SEARCH("subobs",CE25)))</formula>
    </cfRule>
    <cfRule type="containsText" dxfId="1405" priority="1188" operator="containsText" text="Call">
      <formula>NOT(ISERROR(SEARCH("Call",CE25)))</formula>
    </cfRule>
    <cfRule type="cellIs" dxfId="1404" priority="1190" operator="equal">
      <formula>0</formula>
    </cfRule>
    <cfRule type="containsText" dxfId="1403" priority="1191" operator="containsText" text="9ab">
      <formula>NOT(ISERROR(SEARCH("9ab",CE25)))</formula>
    </cfRule>
    <cfRule type="cellIs" dxfId="1402" priority="1192" stopIfTrue="1" operator="equal">
      <formula>"leave"</formula>
    </cfRule>
    <cfRule type="containsText" dxfId="1401" priority="1193" operator="containsText" text="ds">
      <formula>NOT(ISERROR(SEARCH("ds",CE25)))</formula>
    </cfRule>
    <cfRule type="containsText" dxfId="1400" priority="1194" operator="containsText" text="subobs">
      <formula>NOT(ISERROR(SEARCH("subobs",CE25)))</formula>
    </cfRule>
    <cfRule type="containsText" dxfId="1399" priority="1195" operator="containsText" text="Call">
      <formula>NOT(ISERROR(SEARCH("Call",CE25)))</formula>
    </cfRule>
  </conditionalFormatting>
  <conditionalFormatting sqref="CE25">
    <cfRule type="containsText" dxfId="1398" priority="1197" operator="containsText" text="9ab">
      <formula>NOT(ISERROR(SEARCH("9ab",CE25)))</formula>
    </cfRule>
    <cfRule type="cellIs" dxfId="1397" priority="1198" stopIfTrue="1" operator="equal">
      <formula>"leave"</formula>
    </cfRule>
    <cfRule type="containsText" dxfId="1396" priority="1199" operator="containsText" text="ds">
      <formula>NOT(ISERROR(SEARCH("ds",CE25)))</formula>
    </cfRule>
    <cfRule type="containsText" dxfId="1395" priority="1200" operator="containsText" text="subobs">
      <formula>NOT(ISERROR(SEARCH("subobs",CE25)))</formula>
    </cfRule>
    <cfRule type="containsText" dxfId="1394" priority="1201" operator="containsText" text="Call">
      <formula>NOT(ISERROR(SEARCH("Call",CE25)))</formula>
    </cfRule>
  </conditionalFormatting>
  <conditionalFormatting sqref="CL25">
    <cfRule type="containsText" dxfId="1393" priority="1141" operator="containsText" text="9ab">
      <formula>NOT(ISERROR(SEARCH("9ab",CL25)))</formula>
    </cfRule>
    <cfRule type="cellIs" dxfId="1392" priority="1142" stopIfTrue="1" operator="equal">
      <formula>"leave"</formula>
    </cfRule>
    <cfRule type="containsText" dxfId="1391" priority="1143" operator="containsText" text="ds">
      <formula>NOT(ISERROR(SEARCH("ds",CL25)))</formula>
    </cfRule>
    <cfRule type="containsText" dxfId="1390" priority="1144" operator="containsText" text="subobs">
      <formula>NOT(ISERROR(SEARCH("subobs",CL25)))</formula>
    </cfRule>
    <cfRule type="containsText" dxfId="1389" priority="1145" operator="containsText" text="Call">
      <formula>NOT(ISERROR(SEARCH("Call",CL25)))</formula>
    </cfRule>
    <cfRule type="containsText" dxfId="1388" priority="1147" operator="containsText" text="9ab">
      <formula>NOT(ISERROR(SEARCH("9ab",CL25)))</formula>
    </cfRule>
    <cfRule type="cellIs" dxfId="1387" priority="1148" stopIfTrue="1" operator="equal">
      <formula>"leave"</formula>
    </cfRule>
    <cfRule type="containsText" dxfId="1386" priority="1149" operator="containsText" text="ds">
      <formula>NOT(ISERROR(SEARCH("ds",CL25)))</formula>
    </cfRule>
    <cfRule type="containsText" dxfId="1385" priority="1150" operator="containsText" text="subobs">
      <formula>NOT(ISERROR(SEARCH("subobs",CL25)))</formula>
    </cfRule>
    <cfRule type="containsText" dxfId="1384" priority="1151" stopIfTrue="1" operator="containsText" text="(Call)">
      <formula>NOT(ISERROR(SEARCH("(Call)",CL25)))</formula>
    </cfRule>
    <cfRule type="containsText" dxfId="1383" priority="1153" operator="containsText" text="9ab">
      <formula>NOT(ISERROR(SEARCH("9ab",CL25)))</formula>
    </cfRule>
    <cfRule type="cellIs" dxfId="1382" priority="1154" stopIfTrue="1" operator="equal">
      <formula>"leave"</formula>
    </cfRule>
    <cfRule type="containsText" dxfId="1381" priority="1155" operator="containsText" text="ds">
      <formula>NOT(ISERROR(SEARCH("ds",CL25)))</formula>
    </cfRule>
    <cfRule type="containsText" dxfId="1380" priority="1156" operator="containsText" text="subobs">
      <formula>NOT(ISERROR(SEARCH("subobs",CL25)))</formula>
    </cfRule>
    <cfRule type="containsText" dxfId="1379" priority="1157" operator="containsText" text="Call">
      <formula>NOT(ISERROR(SEARCH("Call",CL25)))</formula>
    </cfRule>
    <cfRule type="cellIs" dxfId="1378" priority="1159" operator="equal">
      <formula>0</formula>
    </cfRule>
    <cfRule type="containsText" dxfId="1377" priority="1160" operator="containsText" text="9ab">
      <formula>NOT(ISERROR(SEARCH("9ab",CL25)))</formula>
    </cfRule>
    <cfRule type="cellIs" dxfId="1376" priority="1161" stopIfTrue="1" operator="equal">
      <formula>"leave"</formula>
    </cfRule>
    <cfRule type="containsText" dxfId="1375" priority="1162" operator="containsText" text="ds">
      <formula>NOT(ISERROR(SEARCH("ds",CL25)))</formula>
    </cfRule>
    <cfRule type="containsText" dxfId="1374" priority="1163" operator="containsText" text="subobs">
      <formula>NOT(ISERROR(SEARCH("subobs",CL25)))</formula>
    </cfRule>
    <cfRule type="containsText" dxfId="1373" priority="1164" operator="containsText" text="Call">
      <formula>NOT(ISERROR(SEARCH("Call",CL25)))</formula>
    </cfRule>
  </conditionalFormatting>
  <conditionalFormatting sqref="CL25">
    <cfRule type="containsText" dxfId="1372" priority="1166" operator="containsText" text="9ab">
      <formula>NOT(ISERROR(SEARCH("9ab",CL25)))</formula>
    </cfRule>
    <cfRule type="cellIs" dxfId="1371" priority="1167" stopIfTrue="1" operator="equal">
      <formula>"leave"</formula>
    </cfRule>
    <cfRule type="containsText" dxfId="1370" priority="1168" operator="containsText" text="ds">
      <formula>NOT(ISERROR(SEARCH("ds",CL25)))</formula>
    </cfRule>
    <cfRule type="containsText" dxfId="1369" priority="1169" operator="containsText" text="subobs">
      <formula>NOT(ISERROR(SEARCH("subobs",CL25)))</formula>
    </cfRule>
    <cfRule type="containsText" dxfId="1368" priority="1170" operator="containsText" text="Call">
      <formula>NOT(ISERROR(SEARCH("Call",CL25)))</formula>
    </cfRule>
  </conditionalFormatting>
  <conditionalFormatting sqref="CS1:EH35">
    <cfRule type="containsText" dxfId="1213" priority="805" operator="containsText" text="(Call)">
      <formula>NOT(ISERROR(SEARCH("(Call)",CS1)))</formula>
    </cfRule>
    <cfRule type="cellIs" dxfId="1212" priority="1122" operator="equal">
      <formula>0</formula>
    </cfRule>
    <cfRule type="containsText" dxfId="1211" priority="1137" stopIfTrue="1" operator="containsText" text="9ab">
      <formula>NOT(ISERROR(SEARCH("9ab",CS1)))</formula>
    </cfRule>
    <cfRule type="containsText" dxfId="1210" priority="1139" stopIfTrue="1" operator="containsText" text="ds">
      <formula>NOT(ISERROR(SEARCH("ds",CS1)))</formula>
    </cfRule>
    <cfRule type="containsText" dxfId="1209" priority="1140" stopIfTrue="1" operator="containsText" text="subobs">
      <formula>NOT(ISERROR(SEARCH("subobs",CS1)))</formula>
    </cfRule>
  </conditionalFormatting>
  <conditionalFormatting sqref="CS1:EH42">
    <cfRule type="cellIs" dxfId="1208" priority="1138" stopIfTrue="1" operator="equal">
      <formula>"leave"</formula>
    </cfRule>
  </conditionalFormatting>
  <conditionalFormatting sqref="CS1:EH35">
    <cfRule type="containsText" dxfId="1207" priority="1123" stopIfTrue="1" operator="containsText" text="go">
      <formula>NOT(ISERROR(SEARCH("go",CS1)))</formula>
    </cfRule>
    <cfRule type="cellIs" dxfId="1206" priority="1136" operator="equal">
      <formula>"ps_cover"</formula>
    </cfRule>
  </conditionalFormatting>
  <conditionalFormatting sqref="CS1:EH35">
    <cfRule type="containsText" dxfId="1205" priority="1121" operator="containsText" text="b1">
      <formula>NOT(ISERROR(SEARCH("b1",CS1)))</formula>
    </cfRule>
  </conditionalFormatting>
  <conditionalFormatting sqref="CS28:DE35">
    <cfRule type="cellIs" dxfId="1204" priority="959" operator="equal">
      <formula>0</formula>
    </cfRule>
  </conditionalFormatting>
  <conditionalFormatting sqref="CS19:CS25">
    <cfRule type="containsText" dxfId="1203" priority="1097" operator="containsText" text="9ab">
      <formula>NOT(ISERROR(SEARCH("9ab",CS19)))</formula>
    </cfRule>
    <cfRule type="cellIs" dxfId="1202" priority="1098" stopIfTrue="1" operator="equal">
      <formula>"leave"</formula>
    </cfRule>
    <cfRule type="containsText" dxfId="1201" priority="1099" operator="containsText" text="ds">
      <formula>NOT(ISERROR(SEARCH("ds",CS19)))</formula>
    </cfRule>
    <cfRule type="containsText" dxfId="1200" priority="1100" operator="containsText" text="subobs">
      <formula>NOT(ISERROR(SEARCH("subobs",CS19)))</formula>
    </cfRule>
    <cfRule type="containsText" dxfId="1199" priority="1101" operator="containsText" text="Call">
      <formula>NOT(ISERROR(SEARCH("Call",CS19)))</formula>
    </cfRule>
    <cfRule type="containsText" dxfId="1198" priority="1109" operator="containsText" text="9ab">
      <formula>NOT(ISERROR(SEARCH("9ab",CS19)))</formula>
    </cfRule>
    <cfRule type="cellIs" dxfId="1197" priority="1110" stopIfTrue="1" operator="equal">
      <formula>"leave"</formula>
    </cfRule>
    <cfRule type="containsText" dxfId="1196" priority="1111" operator="containsText" text="ds">
      <formula>NOT(ISERROR(SEARCH("ds",CS19)))</formula>
    </cfRule>
    <cfRule type="containsText" dxfId="1195" priority="1112" operator="containsText" text="subobs">
      <formula>NOT(ISERROR(SEARCH("subobs",CS19)))</formula>
    </cfRule>
    <cfRule type="containsText" dxfId="1194" priority="1113" operator="containsText" text="Call">
      <formula>NOT(ISERROR(SEARCH("Call",CS19)))</formula>
    </cfRule>
  </conditionalFormatting>
  <conditionalFormatting sqref="CS19:CS26">
    <cfRule type="containsText" dxfId="1193" priority="1103" operator="containsText" text="9ab">
      <formula>NOT(ISERROR(SEARCH("9ab",CS19)))</formula>
    </cfRule>
    <cfRule type="cellIs" dxfId="1192" priority="1104" stopIfTrue="1" operator="equal">
      <formula>"leave"</formula>
    </cfRule>
    <cfRule type="containsText" dxfId="1191" priority="1105" operator="containsText" text="ds">
      <formula>NOT(ISERROR(SEARCH("ds",CS19)))</formula>
    </cfRule>
    <cfRule type="containsText" dxfId="1190" priority="1106" operator="containsText" text="subobs">
      <formula>NOT(ISERROR(SEARCH("subobs",CS19)))</formula>
    </cfRule>
    <cfRule type="containsText" dxfId="1189" priority="1107" stopIfTrue="1" operator="containsText" text="(Call)">
      <formula>NOT(ISERROR(SEARCH("(Call)",CS19)))</formula>
    </cfRule>
    <cfRule type="containsText" dxfId="1188" priority="1115" operator="containsText" text="9ab">
      <formula>NOT(ISERROR(SEARCH("9ab",CS19)))</formula>
    </cfRule>
    <cfRule type="cellIs" dxfId="1187" priority="1116" stopIfTrue="1" operator="equal">
      <formula>"leave"</formula>
    </cfRule>
    <cfRule type="containsText" dxfId="1186" priority="1117" operator="containsText" text="ds">
      <formula>NOT(ISERROR(SEARCH("ds",CS19)))</formula>
    </cfRule>
    <cfRule type="containsText" dxfId="1185" priority="1118" operator="containsText" text="subobs">
      <formula>NOT(ISERROR(SEARCH("subobs",CS19)))</formula>
    </cfRule>
    <cfRule type="containsText" dxfId="1184" priority="1119" operator="containsText" text="Call">
      <formula>NOT(ISERROR(SEARCH("Call",CS19)))</formula>
    </cfRule>
    <cfRule type="containsText" dxfId="1183" priority="1130" operator="containsText" text="9ab">
      <formula>NOT(ISERROR(SEARCH("9ab",CS19)))</formula>
    </cfRule>
    <cfRule type="cellIs" dxfId="1182" priority="1131" stopIfTrue="1" operator="equal">
      <formula>"leave"</formula>
    </cfRule>
    <cfRule type="containsText" dxfId="1181" priority="1132" operator="containsText" text="ds">
      <formula>NOT(ISERROR(SEARCH("ds",CS19)))</formula>
    </cfRule>
    <cfRule type="containsText" dxfId="1180" priority="1133" operator="containsText" text="subobs">
      <formula>NOT(ISERROR(SEARCH("subobs",CS19)))</formula>
    </cfRule>
    <cfRule type="containsText" dxfId="1179" priority="1134" operator="containsText" text="Call">
      <formula>NOT(ISERROR(SEARCH("Call",CS19)))</formula>
    </cfRule>
  </conditionalFormatting>
  <conditionalFormatting sqref="CS28:CS33">
    <cfRule type="containsText" dxfId="1178" priority="935" operator="containsText" text="9ab">
      <formula>NOT(ISERROR(SEARCH("9ab",CS28)))</formula>
    </cfRule>
    <cfRule type="cellIs" dxfId="1177" priority="936" stopIfTrue="1" operator="equal">
      <formula>"leave"</formula>
    </cfRule>
    <cfRule type="containsText" dxfId="1176" priority="937" operator="containsText" text="ds">
      <formula>NOT(ISERROR(SEARCH("ds",CS28)))</formula>
    </cfRule>
    <cfRule type="containsText" dxfId="1175" priority="938" operator="containsText" text="subobs">
      <formula>NOT(ISERROR(SEARCH("subobs",CS28)))</formula>
    </cfRule>
    <cfRule type="containsText" dxfId="1174" priority="939" operator="containsText" text="Call">
      <formula>NOT(ISERROR(SEARCH("Call",CS28)))</formula>
    </cfRule>
    <cfRule type="containsText" dxfId="1173" priority="947" operator="containsText" text="9ab">
      <formula>NOT(ISERROR(SEARCH("9ab",CS28)))</formula>
    </cfRule>
    <cfRule type="cellIs" dxfId="1172" priority="948" stopIfTrue="1" operator="equal">
      <formula>"leave"</formula>
    </cfRule>
    <cfRule type="containsText" dxfId="1171" priority="949" operator="containsText" text="ds">
      <formula>NOT(ISERROR(SEARCH("ds",CS28)))</formula>
    </cfRule>
    <cfRule type="containsText" dxfId="1170" priority="950" operator="containsText" text="subobs">
      <formula>NOT(ISERROR(SEARCH("subobs",CS28)))</formula>
    </cfRule>
    <cfRule type="containsText" dxfId="1169" priority="951" operator="containsText" text="Call">
      <formula>NOT(ISERROR(SEARCH("Call",CS28)))</formula>
    </cfRule>
  </conditionalFormatting>
  <conditionalFormatting sqref="CS28:CS35">
    <cfRule type="containsText" dxfId="1168" priority="941" operator="containsText" text="9ab">
      <formula>NOT(ISERROR(SEARCH("9ab",CS28)))</formula>
    </cfRule>
    <cfRule type="cellIs" dxfId="1167" priority="942" stopIfTrue="1" operator="equal">
      <formula>"leave"</formula>
    </cfRule>
    <cfRule type="containsText" dxfId="1166" priority="943" operator="containsText" text="ds">
      <formula>NOT(ISERROR(SEARCH("ds",CS28)))</formula>
    </cfRule>
    <cfRule type="containsText" dxfId="1165" priority="944" operator="containsText" text="subobs">
      <formula>NOT(ISERROR(SEARCH("subobs",CS28)))</formula>
    </cfRule>
    <cfRule type="containsText" dxfId="1164" priority="945" stopIfTrue="1" operator="containsText" text="(Call)">
      <formula>NOT(ISERROR(SEARCH("(Call)",CS28)))</formula>
    </cfRule>
    <cfRule type="containsText" dxfId="1163" priority="953" operator="containsText" text="9ab">
      <formula>NOT(ISERROR(SEARCH("9ab",CS28)))</formula>
    </cfRule>
    <cfRule type="cellIs" dxfId="1162" priority="954" stopIfTrue="1" operator="equal">
      <formula>"leave"</formula>
    </cfRule>
    <cfRule type="containsText" dxfId="1161" priority="955" operator="containsText" text="ds">
      <formula>NOT(ISERROR(SEARCH("ds",CS28)))</formula>
    </cfRule>
    <cfRule type="containsText" dxfId="1160" priority="956" operator="containsText" text="subobs">
      <formula>NOT(ISERROR(SEARCH("subobs",CS28)))</formula>
    </cfRule>
    <cfRule type="containsText" dxfId="1159" priority="957" operator="containsText" text="Call">
      <formula>NOT(ISERROR(SEARCH("Call",CS28)))</formula>
    </cfRule>
    <cfRule type="containsText" dxfId="1158" priority="966" operator="containsText" text="9ab">
      <formula>NOT(ISERROR(SEARCH("9ab",CS28)))</formula>
    </cfRule>
    <cfRule type="cellIs" dxfId="1157" priority="967" stopIfTrue="1" operator="equal">
      <formula>"leave"</formula>
    </cfRule>
    <cfRule type="containsText" dxfId="1156" priority="968" operator="containsText" text="ds">
      <formula>NOT(ISERROR(SEARCH("ds",CS28)))</formula>
    </cfRule>
    <cfRule type="containsText" dxfId="1155" priority="969" operator="containsText" text="subobs">
      <formula>NOT(ISERROR(SEARCH("subobs",CS28)))</formula>
    </cfRule>
    <cfRule type="containsText" dxfId="1154" priority="970" operator="containsText" text="Call">
      <formula>NOT(ISERROR(SEARCH("Call",CS28)))</formula>
    </cfRule>
  </conditionalFormatting>
  <conditionalFormatting sqref="CS37:CS42">
    <cfRule type="containsText" dxfId="1153" priority="756" operator="containsText" text="9ab">
      <formula>NOT(ISERROR(SEARCH("9ab",CS37)))</formula>
    </cfRule>
    <cfRule type="cellIs" dxfId="1152" priority="757" stopIfTrue="1" operator="equal">
      <formula>"leave"</formula>
    </cfRule>
    <cfRule type="containsText" dxfId="1151" priority="758" operator="containsText" text="ds">
      <formula>NOT(ISERROR(SEARCH("ds",CS37)))</formula>
    </cfRule>
    <cfRule type="containsText" dxfId="1150" priority="759" operator="containsText" text="subobs">
      <formula>NOT(ISERROR(SEARCH("subobs",CS37)))</formula>
    </cfRule>
    <cfRule type="containsText" dxfId="1149" priority="760" operator="containsText" text="Call">
      <formula>NOT(ISERROR(SEARCH("Call",CS37)))</formula>
    </cfRule>
    <cfRule type="containsText" dxfId="1148" priority="762" operator="containsText" text="9ab">
      <formula>NOT(ISERROR(SEARCH("9ab",CS37)))</formula>
    </cfRule>
    <cfRule type="cellIs" dxfId="1147" priority="763" stopIfTrue="1" operator="equal">
      <formula>"leave"</formula>
    </cfRule>
    <cfRule type="containsText" dxfId="1146" priority="764" operator="containsText" text="ds">
      <formula>NOT(ISERROR(SEARCH("ds",CS37)))</formula>
    </cfRule>
    <cfRule type="containsText" dxfId="1145" priority="765" operator="containsText" text="subobs">
      <formula>NOT(ISERROR(SEARCH("subobs",CS37)))</formula>
    </cfRule>
    <cfRule type="containsText" dxfId="1144" priority="766" stopIfTrue="1" operator="containsText" text="(Call)">
      <formula>NOT(ISERROR(SEARCH("(Call)",CS37)))</formula>
    </cfRule>
    <cfRule type="containsText" dxfId="1143" priority="768" operator="containsText" text="9ab">
      <formula>NOT(ISERROR(SEARCH("9ab",CS37)))</formula>
    </cfRule>
    <cfRule type="cellIs" dxfId="1142" priority="769" stopIfTrue="1" operator="equal">
      <formula>"leave"</formula>
    </cfRule>
    <cfRule type="containsText" dxfId="1141" priority="770" operator="containsText" text="ds">
      <formula>NOT(ISERROR(SEARCH("ds",CS37)))</formula>
    </cfRule>
    <cfRule type="containsText" dxfId="1140" priority="771" operator="containsText" text="subobs">
      <formula>NOT(ISERROR(SEARCH("subobs",CS37)))</formula>
    </cfRule>
    <cfRule type="containsText" dxfId="1139" priority="772" operator="containsText" text="Call">
      <formula>NOT(ISERROR(SEARCH("Call",CS37)))</formula>
    </cfRule>
    <cfRule type="containsText" dxfId="1138" priority="774" operator="containsText" text="9ab">
      <formula>NOT(ISERROR(SEARCH("9ab",CS37)))</formula>
    </cfRule>
    <cfRule type="cellIs" dxfId="1137" priority="775" stopIfTrue="1" operator="equal">
      <formula>"leave"</formula>
    </cfRule>
    <cfRule type="containsText" dxfId="1136" priority="776" operator="containsText" text="ds">
      <formula>NOT(ISERROR(SEARCH("ds",CS37)))</formula>
    </cfRule>
    <cfRule type="containsText" dxfId="1135" priority="777" operator="containsText" text="subobs">
      <formula>NOT(ISERROR(SEARCH("subobs",CS37)))</formula>
    </cfRule>
    <cfRule type="containsText" dxfId="1134" priority="778" operator="containsText" text="Call">
      <formula>NOT(ISERROR(SEARCH("Call",CS37)))</formula>
    </cfRule>
    <cfRule type="containsText" dxfId="1133" priority="780" operator="containsText" text="9ab">
      <formula>NOT(ISERROR(SEARCH("9ab",CS37)))</formula>
    </cfRule>
    <cfRule type="cellIs" dxfId="1132" priority="781" stopIfTrue="1" operator="equal">
      <formula>"leave"</formula>
    </cfRule>
    <cfRule type="containsText" dxfId="1131" priority="782" operator="containsText" text="ds">
      <formula>NOT(ISERROR(SEARCH("ds",CS37)))</formula>
    </cfRule>
    <cfRule type="containsText" dxfId="1130" priority="783" operator="containsText" text="subobs">
      <formula>NOT(ISERROR(SEARCH("subobs",CS37)))</formula>
    </cfRule>
    <cfRule type="containsText" dxfId="1129" priority="784" operator="containsText" text="Call">
      <formula>NOT(ISERROR(SEARCH("Call",CS37)))</formula>
    </cfRule>
    <cfRule type="containsText" dxfId="1128" priority="788" operator="containsText" text="9ab">
      <formula>NOT(ISERROR(SEARCH("9ab",CS37)))</formula>
    </cfRule>
    <cfRule type="cellIs" dxfId="1127" priority="789" stopIfTrue="1" operator="equal">
      <formula>"leave"</formula>
    </cfRule>
    <cfRule type="containsText" dxfId="1126" priority="790" operator="containsText" text="ds">
      <formula>NOT(ISERROR(SEARCH("ds",CS37)))</formula>
    </cfRule>
    <cfRule type="containsText" dxfId="1125" priority="791" operator="containsText" text="subobs">
      <formula>NOT(ISERROR(SEARCH("subobs",CS37)))</formula>
    </cfRule>
    <cfRule type="containsText" dxfId="1124" priority="792" operator="containsText" text="Call">
      <formula>NOT(ISERROR(SEARCH("Call",CS37)))</formula>
    </cfRule>
    <cfRule type="containsText" dxfId="1123" priority="795" operator="containsText" text="9ab">
      <formula>NOT(ISERROR(SEARCH("9ab",CS37)))</formula>
    </cfRule>
    <cfRule type="cellIs" dxfId="1122" priority="796" stopIfTrue="1" operator="equal">
      <formula>"leave"</formula>
    </cfRule>
    <cfRule type="containsText" dxfId="1121" priority="797" operator="containsText" text="ds">
      <formula>NOT(ISERROR(SEARCH("ds",CS37)))</formula>
    </cfRule>
    <cfRule type="containsText" dxfId="1120" priority="798" operator="containsText" text="subobs">
      <formula>NOT(ISERROR(SEARCH("subobs",CS37)))</formula>
    </cfRule>
    <cfRule type="containsText" dxfId="1119" priority="799" stopIfTrue="1" operator="containsText" text="(Call)">
      <formula>NOT(ISERROR(SEARCH("(Call)",CS37)))</formula>
    </cfRule>
  </conditionalFormatting>
  <conditionalFormatting sqref="CS36:CT42">
    <cfRule type="containsText" dxfId="1118" priority="786" operator="containsText" text="b1">
      <formula>NOT(ISERROR(SEARCH("b1",CS36)))</formula>
    </cfRule>
    <cfRule type="cellIs" dxfId="1117" priority="787" operator="equal">
      <formula>0</formula>
    </cfRule>
    <cfRule type="containsText" dxfId="1116" priority="794" stopIfTrue="1" operator="containsText" text="go">
      <formula>NOT(ISERROR(SEARCH("go",CS36)))</formula>
    </cfRule>
    <cfRule type="cellIs" dxfId="1115" priority="801" operator="equal">
      <formula>"ps_cover"</formula>
    </cfRule>
    <cfRule type="containsText" dxfId="1114" priority="802" stopIfTrue="1" operator="containsText" text="9ab">
      <formula>NOT(ISERROR(SEARCH("9ab",CS36)))</formula>
    </cfRule>
    <cfRule type="containsText" dxfId="1113" priority="803" stopIfTrue="1" operator="containsText" text="ds">
      <formula>NOT(ISERROR(SEARCH("ds",CS36)))</formula>
    </cfRule>
    <cfRule type="containsText" dxfId="1112" priority="804" stopIfTrue="1" operator="containsText" text="subobs">
      <formula>NOT(ISERROR(SEARCH("subobs",CS36)))</formula>
    </cfRule>
  </conditionalFormatting>
  <conditionalFormatting sqref="CS36:CX42">
    <cfRule type="containsText" dxfId="1111" priority="748" operator="containsText" text="(Call)">
      <formula>NOT(ISERROR(SEARCH("(Call)",CS36)))</formula>
    </cfRule>
  </conditionalFormatting>
  <conditionalFormatting sqref="CU36:CX42">
    <cfRule type="containsText" dxfId="1110" priority="749" operator="containsText" text="b1">
      <formula>NOT(ISERROR(SEARCH("b1",CU36)))</formula>
    </cfRule>
    <cfRule type="cellIs" dxfId="1109" priority="750" operator="equal">
      <formula>0</formula>
    </cfRule>
    <cfRule type="containsText" dxfId="1108" priority="751" stopIfTrue="1" operator="containsText" text="go">
      <formula>NOT(ISERROR(SEARCH("go",CU36)))</formula>
    </cfRule>
    <cfRule type="cellIs" dxfId="1107" priority="752" operator="equal">
      <formula>"ps_cover"</formula>
    </cfRule>
    <cfRule type="containsText" dxfId="1106" priority="753" stopIfTrue="1" operator="containsText" text="9ab">
      <formula>NOT(ISERROR(SEARCH("9ab",CU36)))</formula>
    </cfRule>
    <cfRule type="containsText" dxfId="1105" priority="754" stopIfTrue="1" operator="containsText" text="ds">
      <formula>NOT(ISERROR(SEARCH("ds",CU36)))</formula>
    </cfRule>
    <cfRule type="containsText" dxfId="1104" priority="755" stopIfTrue="1" operator="containsText" text="subobs">
      <formula>NOT(ISERROR(SEARCH("subobs",CU36)))</formula>
    </cfRule>
  </conditionalFormatting>
  <conditionalFormatting sqref="CZ19:CZ25">
    <cfRule type="containsText" dxfId="1103" priority="1073" operator="containsText" text="9ab">
      <formula>NOT(ISERROR(SEARCH("9ab",CZ19)))</formula>
    </cfRule>
    <cfRule type="cellIs" dxfId="1102" priority="1074" stopIfTrue="1" operator="equal">
      <formula>"leave"</formula>
    </cfRule>
    <cfRule type="containsText" dxfId="1101" priority="1075" operator="containsText" text="ds">
      <formula>NOT(ISERROR(SEARCH("ds",CZ19)))</formula>
    </cfRule>
    <cfRule type="containsText" dxfId="1100" priority="1076" operator="containsText" text="subobs">
      <formula>NOT(ISERROR(SEARCH("subobs",CZ19)))</formula>
    </cfRule>
    <cfRule type="containsText" dxfId="1099" priority="1077" operator="containsText" text="Call">
      <formula>NOT(ISERROR(SEARCH("Call",CZ19)))</formula>
    </cfRule>
    <cfRule type="containsText" dxfId="1098" priority="1085" operator="containsText" text="9ab">
      <formula>NOT(ISERROR(SEARCH("9ab",CZ19)))</formula>
    </cfRule>
    <cfRule type="cellIs" dxfId="1097" priority="1086" stopIfTrue="1" operator="equal">
      <formula>"leave"</formula>
    </cfRule>
    <cfRule type="containsText" dxfId="1096" priority="1087" operator="containsText" text="ds">
      <formula>NOT(ISERROR(SEARCH("ds",CZ19)))</formula>
    </cfRule>
    <cfRule type="containsText" dxfId="1095" priority="1088" operator="containsText" text="subobs">
      <formula>NOT(ISERROR(SEARCH("subobs",CZ19)))</formula>
    </cfRule>
    <cfRule type="containsText" dxfId="1094" priority="1089" operator="containsText" text="Call">
      <formula>NOT(ISERROR(SEARCH("Call",CZ19)))</formula>
    </cfRule>
  </conditionalFormatting>
  <conditionalFormatting sqref="CZ19:CZ26">
    <cfRule type="containsText" dxfId="1093" priority="1079" operator="containsText" text="9ab">
      <formula>NOT(ISERROR(SEARCH("9ab",CZ19)))</formula>
    </cfRule>
    <cfRule type="cellIs" dxfId="1092" priority="1080" stopIfTrue="1" operator="equal">
      <formula>"leave"</formula>
    </cfRule>
    <cfRule type="containsText" dxfId="1091" priority="1081" operator="containsText" text="ds">
      <formula>NOT(ISERROR(SEARCH("ds",CZ19)))</formula>
    </cfRule>
    <cfRule type="containsText" dxfId="1090" priority="1082" operator="containsText" text="subobs">
      <formula>NOT(ISERROR(SEARCH("subobs",CZ19)))</formula>
    </cfRule>
    <cfRule type="containsText" dxfId="1089" priority="1083" stopIfTrue="1" operator="containsText" text="(Call)">
      <formula>NOT(ISERROR(SEARCH("(Call)",CZ19)))</formula>
    </cfRule>
    <cfRule type="containsText" dxfId="1088" priority="1091" operator="containsText" text="9ab">
      <formula>NOT(ISERROR(SEARCH("9ab",CZ19)))</formula>
    </cfRule>
    <cfRule type="cellIs" dxfId="1087" priority="1092" stopIfTrue="1" operator="equal">
      <formula>"leave"</formula>
    </cfRule>
    <cfRule type="containsText" dxfId="1086" priority="1093" operator="containsText" text="ds">
      <formula>NOT(ISERROR(SEARCH("ds",CZ19)))</formula>
    </cfRule>
    <cfRule type="containsText" dxfId="1085" priority="1094" operator="containsText" text="subobs">
      <formula>NOT(ISERROR(SEARCH("subobs",CZ19)))</formula>
    </cfRule>
    <cfRule type="containsText" dxfId="1084" priority="1095" operator="containsText" text="Call">
      <formula>NOT(ISERROR(SEARCH("Call",CZ19)))</formula>
    </cfRule>
    <cfRule type="containsText" dxfId="1083" priority="1124" operator="containsText" text="9ab">
      <formula>NOT(ISERROR(SEARCH("9ab",CZ19)))</formula>
    </cfRule>
    <cfRule type="cellIs" dxfId="1082" priority="1125" stopIfTrue="1" operator="equal">
      <formula>"leave"</formula>
    </cfRule>
    <cfRule type="containsText" dxfId="1081" priority="1126" operator="containsText" text="ds">
      <formula>NOT(ISERROR(SEARCH("ds",CZ19)))</formula>
    </cfRule>
    <cfRule type="containsText" dxfId="1080" priority="1127" operator="containsText" text="subobs">
      <formula>NOT(ISERROR(SEARCH("subobs",CZ19)))</formula>
    </cfRule>
    <cfRule type="containsText" dxfId="1079" priority="1128" operator="containsText" text="Call">
      <formula>NOT(ISERROR(SEARCH("Call",CZ19)))</formula>
    </cfRule>
  </conditionalFormatting>
  <conditionalFormatting sqref="CZ28:CZ33">
    <cfRule type="containsText" dxfId="1078" priority="911" operator="containsText" text="9ab">
      <formula>NOT(ISERROR(SEARCH("9ab",CZ28)))</formula>
    </cfRule>
    <cfRule type="cellIs" dxfId="1077" priority="912" stopIfTrue="1" operator="equal">
      <formula>"leave"</formula>
    </cfRule>
    <cfRule type="containsText" dxfId="1076" priority="913" operator="containsText" text="ds">
      <formula>NOT(ISERROR(SEARCH("ds",CZ28)))</formula>
    </cfRule>
    <cfRule type="containsText" dxfId="1075" priority="914" operator="containsText" text="subobs">
      <formula>NOT(ISERROR(SEARCH("subobs",CZ28)))</formula>
    </cfRule>
    <cfRule type="containsText" dxfId="1074" priority="915" operator="containsText" text="Call">
      <formula>NOT(ISERROR(SEARCH("Call",CZ28)))</formula>
    </cfRule>
    <cfRule type="containsText" dxfId="1073" priority="923" operator="containsText" text="9ab">
      <formula>NOT(ISERROR(SEARCH("9ab",CZ28)))</formula>
    </cfRule>
    <cfRule type="cellIs" dxfId="1072" priority="924" stopIfTrue="1" operator="equal">
      <formula>"leave"</formula>
    </cfRule>
    <cfRule type="containsText" dxfId="1071" priority="925" operator="containsText" text="ds">
      <formula>NOT(ISERROR(SEARCH("ds",CZ28)))</formula>
    </cfRule>
    <cfRule type="containsText" dxfId="1070" priority="926" operator="containsText" text="subobs">
      <formula>NOT(ISERROR(SEARCH("subobs",CZ28)))</formula>
    </cfRule>
    <cfRule type="containsText" dxfId="1069" priority="927" operator="containsText" text="Call">
      <formula>NOT(ISERROR(SEARCH("Call",CZ28)))</formula>
    </cfRule>
  </conditionalFormatting>
  <conditionalFormatting sqref="CZ28:CZ35">
    <cfRule type="containsText" dxfId="1068" priority="917" operator="containsText" text="9ab">
      <formula>NOT(ISERROR(SEARCH("9ab",CZ28)))</formula>
    </cfRule>
    <cfRule type="cellIs" dxfId="1067" priority="918" stopIfTrue="1" operator="equal">
      <formula>"leave"</formula>
    </cfRule>
    <cfRule type="containsText" dxfId="1066" priority="919" operator="containsText" text="ds">
      <formula>NOT(ISERROR(SEARCH("ds",CZ28)))</formula>
    </cfRule>
    <cfRule type="containsText" dxfId="1065" priority="920" operator="containsText" text="subobs">
      <formula>NOT(ISERROR(SEARCH("subobs",CZ28)))</formula>
    </cfRule>
    <cfRule type="containsText" dxfId="1064" priority="921" stopIfTrue="1" operator="containsText" text="(Call)">
      <formula>NOT(ISERROR(SEARCH("(Call)",CZ28)))</formula>
    </cfRule>
    <cfRule type="containsText" dxfId="1063" priority="929" operator="containsText" text="9ab">
      <formula>NOT(ISERROR(SEARCH("9ab",CZ28)))</formula>
    </cfRule>
    <cfRule type="cellIs" dxfId="1062" priority="930" stopIfTrue="1" operator="equal">
      <formula>"leave"</formula>
    </cfRule>
    <cfRule type="containsText" dxfId="1061" priority="931" operator="containsText" text="ds">
      <formula>NOT(ISERROR(SEARCH("ds",CZ28)))</formula>
    </cfRule>
    <cfRule type="containsText" dxfId="1060" priority="932" operator="containsText" text="subobs">
      <formula>NOT(ISERROR(SEARCH("subobs",CZ28)))</formula>
    </cfRule>
    <cfRule type="containsText" dxfId="1059" priority="933" operator="containsText" text="Call">
      <formula>NOT(ISERROR(SEARCH("Call",CZ28)))</formula>
    </cfRule>
    <cfRule type="containsText" dxfId="1058" priority="960" operator="containsText" text="9ab">
      <formula>NOT(ISERROR(SEARCH("9ab",CZ28)))</formula>
    </cfRule>
    <cfRule type="cellIs" dxfId="1057" priority="961" stopIfTrue="1" operator="equal">
      <formula>"leave"</formula>
    </cfRule>
    <cfRule type="containsText" dxfId="1056" priority="962" operator="containsText" text="ds">
      <formula>NOT(ISERROR(SEARCH("ds",CZ28)))</formula>
    </cfRule>
    <cfRule type="containsText" dxfId="1055" priority="963" operator="containsText" text="subobs">
      <formula>NOT(ISERROR(SEARCH("subobs",CZ28)))</formula>
    </cfRule>
    <cfRule type="containsText" dxfId="1054" priority="964" operator="containsText" text="Call">
      <formula>NOT(ISERROR(SEARCH("Call",CZ28)))</formula>
    </cfRule>
  </conditionalFormatting>
  <conditionalFormatting sqref="CZ37:CZ42">
    <cfRule type="containsText" dxfId="1053" priority="699" operator="containsText" text="9ab">
      <formula>NOT(ISERROR(SEARCH("9ab",CZ37)))</formula>
    </cfRule>
    <cfRule type="cellIs" dxfId="1052" priority="700" stopIfTrue="1" operator="equal">
      <formula>"leave"</formula>
    </cfRule>
    <cfRule type="containsText" dxfId="1051" priority="701" operator="containsText" text="ds">
      <formula>NOT(ISERROR(SEARCH("ds",CZ37)))</formula>
    </cfRule>
    <cfRule type="containsText" dxfId="1050" priority="702" operator="containsText" text="subobs">
      <formula>NOT(ISERROR(SEARCH("subobs",CZ37)))</formula>
    </cfRule>
    <cfRule type="containsText" dxfId="1049" priority="703" operator="containsText" text="Call">
      <formula>NOT(ISERROR(SEARCH("Call",CZ37)))</formula>
    </cfRule>
    <cfRule type="containsText" dxfId="1048" priority="705" operator="containsText" text="9ab">
      <formula>NOT(ISERROR(SEARCH("9ab",CZ37)))</formula>
    </cfRule>
    <cfRule type="cellIs" dxfId="1047" priority="706" stopIfTrue="1" operator="equal">
      <formula>"leave"</formula>
    </cfRule>
    <cfRule type="containsText" dxfId="1046" priority="707" operator="containsText" text="ds">
      <formula>NOT(ISERROR(SEARCH("ds",CZ37)))</formula>
    </cfRule>
    <cfRule type="containsText" dxfId="1045" priority="708" operator="containsText" text="subobs">
      <formula>NOT(ISERROR(SEARCH("subobs",CZ37)))</formula>
    </cfRule>
    <cfRule type="containsText" dxfId="1044" priority="709" stopIfTrue="1" operator="containsText" text="(Call)">
      <formula>NOT(ISERROR(SEARCH("(Call)",CZ37)))</formula>
    </cfRule>
    <cfRule type="containsText" dxfId="1043" priority="711" operator="containsText" text="9ab">
      <formula>NOT(ISERROR(SEARCH("9ab",CZ37)))</formula>
    </cfRule>
    <cfRule type="cellIs" dxfId="1042" priority="712" stopIfTrue="1" operator="equal">
      <formula>"leave"</formula>
    </cfRule>
    <cfRule type="containsText" dxfId="1041" priority="713" operator="containsText" text="ds">
      <formula>NOT(ISERROR(SEARCH("ds",CZ37)))</formula>
    </cfRule>
    <cfRule type="containsText" dxfId="1040" priority="714" operator="containsText" text="subobs">
      <formula>NOT(ISERROR(SEARCH("subobs",CZ37)))</formula>
    </cfRule>
    <cfRule type="containsText" dxfId="1039" priority="715" operator="containsText" text="Call">
      <formula>NOT(ISERROR(SEARCH("Call",CZ37)))</formula>
    </cfRule>
    <cfRule type="containsText" dxfId="1038" priority="717" operator="containsText" text="9ab">
      <formula>NOT(ISERROR(SEARCH("9ab",CZ37)))</formula>
    </cfRule>
    <cfRule type="cellIs" dxfId="1037" priority="718" stopIfTrue="1" operator="equal">
      <formula>"leave"</formula>
    </cfRule>
    <cfRule type="containsText" dxfId="1036" priority="719" operator="containsText" text="ds">
      <formula>NOT(ISERROR(SEARCH("ds",CZ37)))</formula>
    </cfRule>
    <cfRule type="containsText" dxfId="1035" priority="720" operator="containsText" text="subobs">
      <formula>NOT(ISERROR(SEARCH("subobs",CZ37)))</formula>
    </cfRule>
    <cfRule type="containsText" dxfId="1034" priority="721" operator="containsText" text="Call">
      <formula>NOT(ISERROR(SEARCH("Call",CZ37)))</formula>
    </cfRule>
    <cfRule type="containsText" dxfId="1033" priority="723" operator="containsText" text="9ab">
      <formula>NOT(ISERROR(SEARCH("9ab",CZ37)))</formula>
    </cfRule>
    <cfRule type="cellIs" dxfId="1032" priority="724" stopIfTrue="1" operator="equal">
      <formula>"leave"</formula>
    </cfRule>
    <cfRule type="containsText" dxfId="1031" priority="725" operator="containsText" text="ds">
      <formula>NOT(ISERROR(SEARCH("ds",CZ37)))</formula>
    </cfRule>
    <cfRule type="containsText" dxfId="1030" priority="726" operator="containsText" text="subobs">
      <formula>NOT(ISERROR(SEARCH("subobs",CZ37)))</formula>
    </cfRule>
    <cfRule type="containsText" dxfId="1029" priority="727" operator="containsText" text="Call">
      <formula>NOT(ISERROR(SEARCH("Call",CZ37)))</formula>
    </cfRule>
    <cfRule type="containsText" dxfId="1028" priority="731" operator="containsText" text="9ab">
      <formula>NOT(ISERROR(SEARCH("9ab",CZ37)))</formula>
    </cfRule>
    <cfRule type="cellIs" dxfId="1027" priority="732" stopIfTrue="1" operator="equal">
      <formula>"leave"</formula>
    </cfRule>
    <cfRule type="containsText" dxfId="1026" priority="733" operator="containsText" text="ds">
      <formula>NOT(ISERROR(SEARCH("ds",CZ37)))</formula>
    </cfRule>
    <cfRule type="containsText" dxfId="1025" priority="734" operator="containsText" text="subobs">
      <formula>NOT(ISERROR(SEARCH("subobs",CZ37)))</formula>
    </cfRule>
    <cfRule type="containsText" dxfId="1024" priority="735" operator="containsText" text="Call">
      <formula>NOT(ISERROR(SEARCH("Call",CZ37)))</formula>
    </cfRule>
    <cfRule type="containsText" dxfId="1023" priority="738" operator="containsText" text="9ab">
      <formula>NOT(ISERROR(SEARCH("9ab",CZ37)))</formula>
    </cfRule>
    <cfRule type="cellIs" dxfId="1022" priority="739" stopIfTrue="1" operator="equal">
      <formula>"leave"</formula>
    </cfRule>
    <cfRule type="containsText" dxfId="1021" priority="740" operator="containsText" text="ds">
      <formula>NOT(ISERROR(SEARCH("ds",CZ37)))</formula>
    </cfRule>
    <cfRule type="containsText" dxfId="1020" priority="741" operator="containsText" text="subobs">
      <formula>NOT(ISERROR(SEARCH("subobs",CZ37)))</formula>
    </cfRule>
    <cfRule type="containsText" dxfId="1019" priority="742" stopIfTrue="1" operator="containsText" text="(Call)">
      <formula>NOT(ISERROR(SEARCH("(Call)",CZ37)))</formula>
    </cfRule>
  </conditionalFormatting>
  <conditionalFormatting sqref="CZ36:DA42">
    <cfRule type="containsText" dxfId="1018" priority="729" operator="containsText" text="b1">
      <formula>NOT(ISERROR(SEARCH("b1",CZ36)))</formula>
    </cfRule>
    <cfRule type="cellIs" dxfId="1017" priority="730" operator="equal">
      <formula>0</formula>
    </cfRule>
    <cfRule type="containsText" dxfId="1016" priority="737" stopIfTrue="1" operator="containsText" text="go">
      <formula>NOT(ISERROR(SEARCH("go",CZ36)))</formula>
    </cfRule>
    <cfRule type="cellIs" dxfId="1015" priority="744" operator="equal">
      <formula>"ps_cover"</formula>
    </cfRule>
    <cfRule type="containsText" dxfId="1014" priority="745" stopIfTrue="1" operator="containsText" text="9ab">
      <formula>NOT(ISERROR(SEARCH("9ab",CZ36)))</formula>
    </cfRule>
    <cfRule type="containsText" dxfId="1013" priority="746" stopIfTrue="1" operator="containsText" text="ds">
      <formula>NOT(ISERROR(SEARCH("ds",CZ36)))</formula>
    </cfRule>
    <cfRule type="containsText" dxfId="1012" priority="747" stopIfTrue="1" operator="containsText" text="subobs">
      <formula>NOT(ISERROR(SEARCH("subobs",CZ36)))</formula>
    </cfRule>
  </conditionalFormatting>
  <conditionalFormatting sqref="CZ36:DE42">
    <cfRule type="containsText" dxfId="1011" priority="691" operator="containsText" text="(Call)">
      <formula>NOT(ISERROR(SEARCH("(Call)",CZ36)))</formula>
    </cfRule>
  </conditionalFormatting>
  <conditionalFormatting sqref="DB36:DE42">
    <cfRule type="containsText" dxfId="1010" priority="692" operator="containsText" text="b1">
      <formula>NOT(ISERROR(SEARCH("b1",DB36)))</formula>
    </cfRule>
    <cfRule type="cellIs" dxfId="1009" priority="693" operator="equal">
      <formula>0</formula>
    </cfRule>
    <cfRule type="containsText" dxfId="1008" priority="694" stopIfTrue="1" operator="containsText" text="go">
      <formula>NOT(ISERROR(SEARCH("go",DB36)))</formula>
    </cfRule>
    <cfRule type="cellIs" dxfId="1007" priority="695" operator="equal">
      <formula>"ps_cover"</formula>
    </cfRule>
    <cfRule type="containsText" dxfId="1006" priority="696" stopIfTrue="1" operator="containsText" text="9ab">
      <formula>NOT(ISERROR(SEARCH("9ab",DB36)))</formula>
    </cfRule>
    <cfRule type="containsText" dxfId="1005" priority="697" stopIfTrue="1" operator="containsText" text="ds">
      <formula>NOT(ISERROR(SEARCH("ds",DB36)))</formula>
    </cfRule>
    <cfRule type="containsText" dxfId="1004" priority="698" stopIfTrue="1" operator="containsText" text="subobs">
      <formula>NOT(ISERROR(SEARCH("subobs",DB36)))</formula>
    </cfRule>
  </conditionalFormatting>
  <conditionalFormatting sqref="DF19:DL26">
    <cfRule type="cellIs" dxfId="1003" priority="1066" operator="equal">
      <formula>0</formula>
    </cfRule>
  </conditionalFormatting>
  <conditionalFormatting sqref="DF28:DL35">
    <cfRule type="cellIs" dxfId="1002" priority="904" operator="equal">
      <formula>0</formula>
    </cfRule>
  </conditionalFormatting>
  <conditionalFormatting sqref="DG19:DG25">
    <cfRule type="containsText" dxfId="1001" priority="1048" operator="containsText" text="9ab">
      <formula>NOT(ISERROR(SEARCH("9ab",DG19)))</formula>
    </cfRule>
    <cfRule type="cellIs" dxfId="1000" priority="1049" stopIfTrue="1" operator="equal">
      <formula>"leave"</formula>
    </cfRule>
    <cfRule type="containsText" dxfId="999" priority="1050" operator="containsText" text="ds">
      <formula>NOT(ISERROR(SEARCH("ds",DG19)))</formula>
    </cfRule>
    <cfRule type="containsText" dxfId="998" priority="1051" operator="containsText" text="subobs">
      <formula>NOT(ISERROR(SEARCH("subobs",DG19)))</formula>
    </cfRule>
    <cfRule type="containsText" dxfId="997" priority="1052" operator="containsText" text="Call">
      <formula>NOT(ISERROR(SEARCH("Call",DG19)))</formula>
    </cfRule>
    <cfRule type="containsText" dxfId="996" priority="1060" operator="containsText" text="9ab">
      <formula>NOT(ISERROR(SEARCH("9ab",DG19)))</formula>
    </cfRule>
    <cfRule type="cellIs" dxfId="995" priority="1061" stopIfTrue="1" operator="equal">
      <formula>"leave"</formula>
    </cfRule>
    <cfRule type="containsText" dxfId="994" priority="1062" operator="containsText" text="ds">
      <formula>NOT(ISERROR(SEARCH("ds",DG19)))</formula>
    </cfRule>
    <cfRule type="containsText" dxfId="993" priority="1063" operator="containsText" text="subobs">
      <formula>NOT(ISERROR(SEARCH("subobs",DG19)))</formula>
    </cfRule>
    <cfRule type="containsText" dxfId="992" priority="1064" operator="containsText" text="Call">
      <formula>NOT(ISERROR(SEARCH("Call",DG19)))</formula>
    </cfRule>
  </conditionalFormatting>
  <conditionalFormatting sqref="DG19:DG26">
    <cfRule type="containsText" dxfId="991" priority="1054" operator="containsText" text="9ab">
      <formula>NOT(ISERROR(SEARCH("9ab",DG19)))</formula>
    </cfRule>
    <cfRule type="cellIs" dxfId="990" priority="1055" stopIfTrue="1" operator="equal">
      <formula>"leave"</formula>
    </cfRule>
    <cfRule type="containsText" dxfId="989" priority="1056" operator="containsText" text="ds">
      <formula>NOT(ISERROR(SEARCH("ds",DG19)))</formula>
    </cfRule>
    <cfRule type="containsText" dxfId="988" priority="1057" operator="containsText" text="subobs">
      <formula>NOT(ISERROR(SEARCH("subobs",DG19)))</formula>
    </cfRule>
    <cfRule type="containsText" dxfId="987" priority="1058" stopIfTrue="1" operator="containsText" text="(Call)">
      <formula>NOT(ISERROR(SEARCH("(Call)",DG19)))</formula>
    </cfRule>
    <cfRule type="containsText" dxfId="986" priority="1067" operator="containsText" text="9ab">
      <formula>NOT(ISERROR(SEARCH("9ab",DG19)))</formula>
    </cfRule>
    <cfRule type="cellIs" dxfId="985" priority="1068" stopIfTrue="1" operator="equal">
      <formula>"leave"</formula>
    </cfRule>
    <cfRule type="containsText" dxfId="984" priority="1069" operator="containsText" text="ds">
      <formula>NOT(ISERROR(SEARCH("ds",DG19)))</formula>
    </cfRule>
    <cfRule type="containsText" dxfId="983" priority="1070" operator="containsText" text="subobs">
      <formula>NOT(ISERROR(SEARCH("subobs",DG19)))</formula>
    </cfRule>
    <cfRule type="containsText" dxfId="982" priority="1071" operator="containsText" text="Call">
      <formula>NOT(ISERROR(SEARCH("Call",DG19)))</formula>
    </cfRule>
  </conditionalFormatting>
  <conditionalFormatting sqref="DG28:DG33">
    <cfRule type="containsText" dxfId="981" priority="886" operator="containsText" text="9ab">
      <formula>NOT(ISERROR(SEARCH("9ab",DG28)))</formula>
    </cfRule>
    <cfRule type="cellIs" dxfId="980" priority="887" stopIfTrue="1" operator="equal">
      <formula>"leave"</formula>
    </cfRule>
    <cfRule type="containsText" dxfId="979" priority="888" operator="containsText" text="ds">
      <formula>NOT(ISERROR(SEARCH("ds",DG28)))</formula>
    </cfRule>
    <cfRule type="containsText" dxfId="978" priority="889" operator="containsText" text="subobs">
      <formula>NOT(ISERROR(SEARCH("subobs",DG28)))</formula>
    </cfRule>
    <cfRule type="containsText" dxfId="977" priority="890" operator="containsText" text="Call">
      <formula>NOT(ISERROR(SEARCH("Call",DG28)))</formula>
    </cfRule>
    <cfRule type="containsText" dxfId="976" priority="898" operator="containsText" text="9ab">
      <formula>NOT(ISERROR(SEARCH("9ab",DG28)))</formula>
    </cfRule>
    <cfRule type="cellIs" dxfId="975" priority="899" stopIfTrue="1" operator="equal">
      <formula>"leave"</formula>
    </cfRule>
    <cfRule type="containsText" dxfId="974" priority="900" operator="containsText" text="ds">
      <formula>NOT(ISERROR(SEARCH("ds",DG28)))</formula>
    </cfRule>
    <cfRule type="containsText" dxfId="973" priority="901" operator="containsText" text="subobs">
      <formula>NOT(ISERROR(SEARCH("subobs",DG28)))</formula>
    </cfRule>
    <cfRule type="containsText" dxfId="972" priority="902" operator="containsText" text="Call">
      <formula>NOT(ISERROR(SEARCH("Call",DG28)))</formula>
    </cfRule>
  </conditionalFormatting>
  <conditionalFormatting sqref="DG28:DG35">
    <cfRule type="containsText" dxfId="971" priority="892" operator="containsText" text="9ab">
      <formula>NOT(ISERROR(SEARCH("9ab",DG28)))</formula>
    </cfRule>
    <cfRule type="cellIs" dxfId="970" priority="893" stopIfTrue="1" operator="equal">
      <formula>"leave"</formula>
    </cfRule>
    <cfRule type="containsText" dxfId="969" priority="894" operator="containsText" text="ds">
      <formula>NOT(ISERROR(SEARCH("ds",DG28)))</formula>
    </cfRule>
    <cfRule type="containsText" dxfId="968" priority="895" operator="containsText" text="subobs">
      <formula>NOT(ISERROR(SEARCH("subobs",DG28)))</formula>
    </cfRule>
    <cfRule type="containsText" dxfId="967" priority="896" stopIfTrue="1" operator="containsText" text="(Call)">
      <formula>NOT(ISERROR(SEARCH("(Call)",DG28)))</formula>
    </cfRule>
    <cfRule type="containsText" dxfId="966" priority="905" operator="containsText" text="9ab">
      <formula>NOT(ISERROR(SEARCH("9ab",DG28)))</formula>
    </cfRule>
    <cfRule type="cellIs" dxfId="965" priority="906" stopIfTrue="1" operator="equal">
      <formula>"leave"</formula>
    </cfRule>
    <cfRule type="containsText" dxfId="964" priority="907" operator="containsText" text="ds">
      <formula>NOT(ISERROR(SEARCH("ds",DG28)))</formula>
    </cfRule>
    <cfRule type="containsText" dxfId="963" priority="908" operator="containsText" text="subobs">
      <formula>NOT(ISERROR(SEARCH("subobs",DG28)))</formula>
    </cfRule>
    <cfRule type="containsText" dxfId="962" priority="909" operator="containsText" text="Call">
      <formula>NOT(ISERROR(SEARCH("Call",DG28)))</formula>
    </cfRule>
  </conditionalFormatting>
  <conditionalFormatting sqref="DG37:DG42">
    <cfRule type="containsText" dxfId="961" priority="642" operator="containsText" text="9ab">
      <formula>NOT(ISERROR(SEARCH("9ab",DG37)))</formula>
    </cfRule>
    <cfRule type="cellIs" dxfId="960" priority="643" stopIfTrue="1" operator="equal">
      <formula>"leave"</formula>
    </cfRule>
    <cfRule type="containsText" dxfId="959" priority="644" operator="containsText" text="ds">
      <formula>NOT(ISERROR(SEARCH("ds",DG37)))</formula>
    </cfRule>
    <cfRule type="containsText" dxfId="958" priority="645" operator="containsText" text="subobs">
      <formula>NOT(ISERROR(SEARCH("subobs",DG37)))</formula>
    </cfRule>
    <cfRule type="containsText" dxfId="957" priority="646" operator="containsText" text="Call">
      <formula>NOT(ISERROR(SEARCH("Call",DG37)))</formula>
    </cfRule>
    <cfRule type="containsText" dxfId="956" priority="648" operator="containsText" text="9ab">
      <formula>NOT(ISERROR(SEARCH("9ab",DG37)))</formula>
    </cfRule>
    <cfRule type="cellIs" dxfId="955" priority="649" stopIfTrue="1" operator="equal">
      <formula>"leave"</formula>
    </cfRule>
    <cfRule type="containsText" dxfId="954" priority="650" operator="containsText" text="ds">
      <formula>NOT(ISERROR(SEARCH("ds",DG37)))</formula>
    </cfRule>
    <cfRule type="containsText" dxfId="953" priority="651" operator="containsText" text="subobs">
      <formula>NOT(ISERROR(SEARCH("subobs",DG37)))</formula>
    </cfRule>
    <cfRule type="containsText" dxfId="952" priority="652" stopIfTrue="1" operator="containsText" text="(Call)">
      <formula>NOT(ISERROR(SEARCH("(Call)",DG37)))</formula>
    </cfRule>
    <cfRule type="containsText" dxfId="951" priority="654" operator="containsText" text="9ab">
      <formula>NOT(ISERROR(SEARCH("9ab",DG37)))</formula>
    </cfRule>
    <cfRule type="cellIs" dxfId="950" priority="655" stopIfTrue="1" operator="equal">
      <formula>"leave"</formula>
    </cfRule>
    <cfRule type="containsText" dxfId="949" priority="656" operator="containsText" text="ds">
      <formula>NOT(ISERROR(SEARCH("ds",DG37)))</formula>
    </cfRule>
    <cfRule type="containsText" dxfId="948" priority="657" operator="containsText" text="subobs">
      <formula>NOT(ISERROR(SEARCH("subobs",DG37)))</formula>
    </cfRule>
    <cfRule type="containsText" dxfId="947" priority="658" operator="containsText" text="Call">
      <formula>NOT(ISERROR(SEARCH("Call",DG37)))</formula>
    </cfRule>
    <cfRule type="containsText" dxfId="946" priority="660" operator="containsText" text="9ab">
      <formula>NOT(ISERROR(SEARCH("9ab",DG37)))</formula>
    </cfRule>
    <cfRule type="cellIs" dxfId="945" priority="661" stopIfTrue="1" operator="equal">
      <formula>"leave"</formula>
    </cfRule>
    <cfRule type="containsText" dxfId="944" priority="662" operator="containsText" text="ds">
      <formula>NOT(ISERROR(SEARCH("ds",DG37)))</formula>
    </cfRule>
    <cfRule type="containsText" dxfId="943" priority="663" operator="containsText" text="subobs">
      <formula>NOT(ISERROR(SEARCH("subobs",DG37)))</formula>
    </cfRule>
    <cfRule type="containsText" dxfId="942" priority="664" operator="containsText" text="Call">
      <formula>NOT(ISERROR(SEARCH("Call",DG37)))</formula>
    </cfRule>
    <cfRule type="containsText" dxfId="941" priority="666" operator="containsText" text="9ab">
      <formula>NOT(ISERROR(SEARCH("9ab",DG37)))</formula>
    </cfRule>
    <cfRule type="cellIs" dxfId="940" priority="667" stopIfTrue="1" operator="equal">
      <formula>"leave"</formula>
    </cfRule>
    <cfRule type="containsText" dxfId="939" priority="668" operator="containsText" text="ds">
      <formula>NOT(ISERROR(SEARCH("ds",DG37)))</formula>
    </cfRule>
    <cfRule type="containsText" dxfId="938" priority="669" operator="containsText" text="subobs">
      <formula>NOT(ISERROR(SEARCH("subobs",DG37)))</formula>
    </cfRule>
    <cfRule type="containsText" dxfId="937" priority="670" operator="containsText" text="Call">
      <formula>NOT(ISERROR(SEARCH("Call",DG37)))</formula>
    </cfRule>
    <cfRule type="containsText" dxfId="936" priority="674" operator="containsText" text="9ab">
      <formula>NOT(ISERROR(SEARCH("9ab",DG37)))</formula>
    </cfRule>
    <cfRule type="cellIs" dxfId="935" priority="675" stopIfTrue="1" operator="equal">
      <formula>"leave"</formula>
    </cfRule>
    <cfRule type="containsText" dxfId="934" priority="676" operator="containsText" text="ds">
      <formula>NOT(ISERROR(SEARCH("ds",DG37)))</formula>
    </cfRule>
    <cfRule type="containsText" dxfId="933" priority="677" operator="containsText" text="subobs">
      <formula>NOT(ISERROR(SEARCH("subobs",DG37)))</formula>
    </cfRule>
    <cfRule type="containsText" dxfId="932" priority="678" operator="containsText" text="Call">
      <formula>NOT(ISERROR(SEARCH("Call",DG37)))</formula>
    </cfRule>
    <cfRule type="containsText" dxfId="931" priority="681" operator="containsText" text="9ab">
      <formula>NOT(ISERROR(SEARCH("9ab",DG37)))</formula>
    </cfRule>
    <cfRule type="cellIs" dxfId="930" priority="682" stopIfTrue="1" operator="equal">
      <formula>"leave"</formula>
    </cfRule>
    <cfRule type="containsText" dxfId="929" priority="683" operator="containsText" text="ds">
      <formula>NOT(ISERROR(SEARCH("ds",DG37)))</formula>
    </cfRule>
    <cfRule type="containsText" dxfId="928" priority="684" operator="containsText" text="subobs">
      <formula>NOT(ISERROR(SEARCH("subobs",DG37)))</formula>
    </cfRule>
    <cfRule type="containsText" dxfId="927" priority="685" stopIfTrue="1" operator="containsText" text="(Call)">
      <formula>NOT(ISERROR(SEARCH("(Call)",DG37)))</formula>
    </cfRule>
  </conditionalFormatting>
  <conditionalFormatting sqref="DG36:DH42">
    <cfRule type="containsText" dxfId="926" priority="672" operator="containsText" text="b1">
      <formula>NOT(ISERROR(SEARCH("b1",DG36)))</formula>
    </cfRule>
    <cfRule type="cellIs" dxfId="925" priority="673" operator="equal">
      <formula>0</formula>
    </cfRule>
    <cfRule type="containsText" dxfId="924" priority="680" stopIfTrue="1" operator="containsText" text="go">
      <formula>NOT(ISERROR(SEARCH("go",DG36)))</formula>
    </cfRule>
    <cfRule type="cellIs" dxfId="923" priority="687" operator="equal">
      <formula>"ps_cover"</formula>
    </cfRule>
    <cfRule type="containsText" dxfId="922" priority="688" stopIfTrue="1" operator="containsText" text="9ab">
      <formula>NOT(ISERROR(SEARCH("9ab",DG36)))</formula>
    </cfRule>
    <cfRule type="containsText" dxfId="921" priority="689" stopIfTrue="1" operator="containsText" text="ds">
      <formula>NOT(ISERROR(SEARCH("ds",DG36)))</formula>
    </cfRule>
    <cfRule type="containsText" dxfId="920" priority="690" stopIfTrue="1" operator="containsText" text="subobs">
      <formula>NOT(ISERROR(SEARCH("subobs",DG36)))</formula>
    </cfRule>
  </conditionalFormatting>
  <conditionalFormatting sqref="DG36:DL42">
    <cfRule type="containsText" dxfId="919" priority="634" operator="containsText" text="(Call)">
      <formula>NOT(ISERROR(SEARCH("(Call)",DG36)))</formula>
    </cfRule>
  </conditionalFormatting>
  <conditionalFormatting sqref="DH19:DL25">
    <cfRule type="cellIs" dxfId="918" priority="809" operator="equal">
      <formula>0</formula>
    </cfRule>
  </conditionalFormatting>
  <conditionalFormatting sqref="DI36:DL42">
    <cfRule type="containsText" dxfId="917" priority="635" operator="containsText" text="b1">
      <formula>NOT(ISERROR(SEARCH("b1",DI36)))</formula>
    </cfRule>
    <cfRule type="cellIs" dxfId="916" priority="636" operator="equal">
      <formula>0</formula>
    </cfRule>
    <cfRule type="containsText" dxfId="915" priority="637" stopIfTrue="1" operator="containsText" text="go">
      <formula>NOT(ISERROR(SEARCH("go",DI36)))</formula>
    </cfRule>
    <cfRule type="cellIs" dxfId="914" priority="638" operator="equal">
      <formula>"ps_cover"</formula>
    </cfRule>
    <cfRule type="containsText" dxfId="913" priority="639" stopIfTrue="1" operator="containsText" text="9ab">
      <formula>NOT(ISERROR(SEARCH("9ab",DI36)))</formula>
    </cfRule>
    <cfRule type="containsText" dxfId="912" priority="640" stopIfTrue="1" operator="containsText" text="ds">
      <formula>NOT(ISERROR(SEARCH("ds",DI36)))</formula>
    </cfRule>
    <cfRule type="containsText" dxfId="911" priority="641" stopIfTrue="1" operator="containsText" text="subobs">
      <formula>NOT(ISERROR(SEARCH("subobs",DI36)))</formula>
    </cfRule>
  </conditionalFormatting>
  <conditionalFormatting sqref="DM19:DS26">
    <cfRule type="cellIs" dxfId="910" priority="1041" operator="equal">
      <formula>0</formula>
    </cfRule>
  </conditionalFormatting>
  <conditionalFormatting sqref="DM28:DS35">
    <cfRule type="cellIs" dxfId="909" priority="879" operator="equal">
      <formula>0</formula>
    </cfRule>
  </conditionalFormatting>
  <conditionalFormatting sqref="DN19:DN25">
    <cfRule type="containsText" dxfId="908" priority="1023" operator="containsText" text="9ab">
      <formula>NOT(ISERROR(SEARCH("9ab",DN19)))</formula>
    </cfRule>
    <cfRule type="cellIs" dxfId="907" priority="1024" stopIfTrue="1" operator="equal">
      <formula>"leave"</formula>
    </cfRule>
    <cfRule type="containsText" dxfId="906" priority="1025" operator="containsText" text="ds">
      <formula>NOT(ISERROR(SEARCH("ds",DN19)))</formula>
    </cfRule>
    <cfRule type="containsText" dxfId="905" priority="1026" operator="containsText" text="subobs">
      <formula>NOT(ISERROR(SEARCH("subobs",DN19)))</formula>
    </cfRule>
    <cfRule type="containsText" dxfId="904" priority="1027" operator="containsText" text="Call">
      <formula>NOT(ISERROR(SEARCH("Call",DN19)))</formula>
    </cfRule>
    <cfRule type="containsText" dxfId="903" priority="1035" operator="containsText" text="9ab">
      <formula>NOT(ISERROR(SEARCH("9ab",DN19)))</formula>
    </cfRule>
    <cfRule type="cellIs" dxfId="902" priority="1036" stopIfTrue="1" operator="equal">
      <formula>"leave"</formula>
    </cfRule>
    <cfRule type="containsText" dxfId="901" priority="1037" operator="containsText" text="ds">
      <formula>NOT(ISERROR(SEARCH("ds",DN19)))</formula>
    </cfRule>
    <cfRule type="containsText" dxfId="900" priority="1038" operator="containsText" text="subobs">
      <formula>NOT(ISERROR(SEARCH("subobs",DN19)))</formula>
    </cfRule>
    <cfRule type="containsText" dxfId="899" priority="1039" operator="containsText" text="Call">
      <formula>NOT(ISERROR(SEARCH("Call",DN19)))</formula>
    </cfRule>
  </conditionalFormatting>
  <conditionalFormatting sqref="DN19:DN26">
    <cfRule type="containsText" dxfId="898" priority="1029" operator="containsText" text="9ab">
      <formula>NOT(ISERROR(SEARCH("9ab",DN19)))</formula>
    </cfRule>
    <cfRule type="cellIs" dxfId="897" priority="1030" stopIfTrue="1" operator="equal">
      <formula>"leave"</formula>
    </cfRule>
    <cfRule type="containsText" dxfId="896" priority="1031" operator="containsText" text="ds">
      <formula>NOT(ISERROR(SEARCH("ds",DN19)))</formula>
    </cfRule>
    <cfRule type="containsText" dxfId="895" priority="1032" operator="containsText" text="subobs">
      <formula>NOT(ISERROR(SEARCH("subobs",DN19)))</formula>
    </cfRule>
    <cfRule type="containsText" dxfId="894" priority="1033" stopIfTrue="1" operator="containsText" text="(Call)">
      <formula>NOT(ISERROR(SEARCH("(Call)",DN19)))</formula>
    </cfRule>
    <cfRule type="containsText" dxfId="893" priority="1042" operator="containsText" text="9ab">
      <formula>NOT(ISERROR(SEARCH("9ab",DN19)))</formula>
    </cfRule>
    <cfRule type="cellIs" dxfId="892" priority="1043" stopIfTrue="1" operator="equal">
      <formula>"leave"</formula>
    </cfRule>
    <cfRule type="containsText" dxfId="891" priority="1044" operator="containsText" text="ds">
      <formula>NOT(ISERROR(SEARCH("ds",DN19)))</formula>
    </cfRule>
    <cfRule type="containsText" dxfId="890" priority="1045" operator="containsText" text="subobs">
      <formula>NOT(ISERROR(SEARCH("subobs",DN19)))</formula>
    </cfRule>
    <cfRule type="containsText" dxfId="889" priority="1046" operator="containsText" text="Call">
      <formula>NOT(ISERROR(SEARCH("Call",DN19)))</formula>
    </cfRule>
  </conditionalFormatting>
  <conditionalFormatting sqref="DN28:DN33">
    <cfRule type="containsText" dxfId="888" priority="861" operator="containsText" text="9ab">
      <formula>NOT(ISERROR(SEARCH("9ab",DN28)))</formula>
    </cfRule>
    <cfRule type="cellIs" dxfId="887" priority="862" stopIfTrue="1" operator="equal">
      <formula>"leave"</formula>
    </cfRule>
    <cfRule type="containsText" dxfId="886" priority="863" operator="containsText" text="ds">
      <formula>NOT(ISERROR(SEARCH("ds",DN28)))</formula>
    </cfRule>
    <cfRule type="containsText" dxfId="885" priority="864" operator="containsText" text="subobs">
      <formula>NOT(ISERROR(SEARCH("subobs",DN28)))</formula>
    </cfRule>
    <cfRule type="containsText" dxfId="884" priority="865" operator="containsText" text="Call">
      <formula>NOT(ISERROR(SEARCH("Call",DN28)))</formula>
    </cfRule>
    <cfRule type="containsText" dxfId="883" priority="873" operator="containsText" text="9ab">
      <formula>NOT(ISERROR(SEARCH("9ab",DN28)))</formula>
    </cfRule>
    <cfRule type="cellIs" dxfId="882" priority="874" stopIfTrue="1" operator="equal">
      <formula>"leave"</formula>
    </cfRule>
    <cfRule type="containsText" dxfId="881" priority="875" operator="containsText" text="ds">
      <formula>NOT(ISERROR(SEARCH("ds",DN28)))</formula>
    </cfRule>
    <cfRule type="containsText" dxfId="880" priority="876" operator="containsText" text="subobs">
      <formula>NOT(ISERROR(SEARCH("subobs",DN28)))</formula>
    </cfRule>
    <cfRule type="containsText" dxfId="879" priority="877" operator="containsText" text="Call">
      <formula>NOT(ISERROR(SEARCH("Call",DN28)))</formula>
    </cfRule>
  </conditionalFormatting>
  <conditionalFormatting sqref="DN28:DN35">
    <cfRule type="containsText" dxfId="878" priority="867" operator="containsText" text="9ab">
      <formula>NOT(ISERROR(SEARCH("9ab",DN28)))</formula>
    </cfRule>
    <cfRule type="cellIs" dxfId="877" priority="868" stopIfTrue="1" operator="equal">
      <formula>"leave"</formula>
    </cfRule>
    <cfRule type="containsText" dxfId="876" priority="869" operator="containsText" text="ds">
      <formula>NOT(ISERROR(SEARCH("ds",DN28)))</formula>
    </cfRule>
    <cfRule type="containsText" dxfId="875" priority="870" operator="containsText" text="subobs">
      <formula>NOT(ISERROR(SEARCH("subobs",DN28)))</formula>
    </cfRule>
    <cfRule type="containsText" dxfId="874" priority="871" stopIfTrue="1" operator="containsText" text="(Call)">
      <formula>NOT(ISERROR(SEARCH("(Call)",DN28)))</formula>
    </cfRule>
    <cfRule type="containsText" dxfId="873" priority="880" operator="containsText" text="9ab">
      <formula>NOT(ISERROR(SEARCH("9ab",DN28)))</formula>
    </cfRule>
    <cfRule type="cellIs" dxfId="872" priority="881" stopIfTrue="1" operator="equal">
      <formula>"leave"</formula>
    </cfRule>
    <cfRule type="containsText" dxfId="871" priority="882" operator="containsText" text="ds">
      <formula>NOT(ISERROR(SEARCH("ds",DN28)))</formula>
    </cfRule>
    <cfRule type="containsText" dxfId="870" priority="883" operator="containsText" text="subobs">
      <formula>NOT(ISERROR(SEARCH("subobs",DN28)))</formula>
    </cfRule>
    <cfRule type="containsText" dxfId="869" priority="884" operator="containsText" text="Call">
      <formula>NOT(ISERROR(SEARCH("Call",DN28)))</formula>
    </cfRule>
  </conditionalFormatting>
  <conditionalFormatting sqref="DN37:DN42">
    <cfRule type="containsText" dxfId="868" priority="585" operator="containsText" text="9ab">
      <formula>NOT(ISERROR(SEARCH("9ab",DN37)))</formula>
    </cfRule>
    <cfRule type="cellIs" dxfId="867" priority="586" stopIfTrue="1" operator="equal">
      <formula>"leave"</formula>
    </cfRule>
    <cfRule type="containsText" dxfId="866" priority="587" operator="containsText" text="ds">
      <formula>NOT(ISERROR(SEARCH("ds",DN37)))</formula>
    </cfRule>
    <cfRule type="containsText" dxfId="865" priority="588" operator="containsText" text="subobs">
      <formula>NOT(ISERROR(SEARCH("subobs",DN37)))</formula>
    </cfRule>
    <cfRule type="containsText" dxfId="864" priority="589" operator="containsText" text="Call">
      <formula>NOT(ISERROR(SEARCH("Call",DN37)))</formula>
    </cfRule>
    <cfRule type="containsText" dxfId="863" priority="591" operator="containsText" text="9ab">
      <formula>NOT(ISERROR(SEARCH("9ab",DN37)))</formula>
    </cfRule>
    <cfRule type="cellIs" dxfId="862" priority="592" stopIfTrue="1" operator="equal">
      <formula>"leave"</formula>
    </cfRule>
    <cfRule type="containsText" dxfId="861" priority="593" operator="containsText" text="ds">
      <formula>NOT(ISERROR(SEARCH("ds",DN37)))</formula>
    </cfRule>
    <cfRule type="containsText" dxfId="860" priority="594" operator="containsText" text="subobs">
      <formula>NOT(ISERROR(SEARCH("subobs",DN37)))</formula>
    </cfRule>
    <cfRule type="containsText" dxfId="859" priority="595" stopIfTrue="1" operator="containsText" text="(Call)">
      <formula>NOT(ISERROR(SEARCH("(Call)",DN37)))</formula>
    </cfRule>
    <cfRule type="containsText" dxfId="858" priority="597" operator="containsText" text="9ab">
      <formula>NOT(ISERROR(SEARCH("9ab",DN37)))</formula>
    </cfRule>
    <cfRule type="cellIs" dxfId="857" priority="598" stopIfTrue="1" operator="equal">
      <formula>"leave"</formula>
    </cfRule>
    <cfRule type="containsText" dxfId="856" priority="599" operator="containsText" text="ds">
      <formula>NOT(ISERROR(SEARCH("ds",DN37)))</formula>
    </cfRule>
    <cfRule type="containsText" dxfId="855" priority="600" operator="containsText" text="subobs">
      <formula>NOT(ISERROR(SEARCH("subobs",DN37)))</formula>
    </cfRule>
    <cfRule type="containsText" dxfId="854" priority="601" operator="containsText" text="Call">
      <formula>NOT(ISERROR(SEARCH("Call",DN37)))</formula>
    </cfRule>
    <cfRule type="containsText" dxfId="853" priority="603" operator="containsText" text="9ab">
      <formula>NOT(ISERROR(SEARCH("9ab",DN37)))</formula>
    </cfRule>
    <cfRule type="cellIs" dxfId="852" priority="604" stopIfTrue="1" operator="equal">
      <formula>"leave"</formula>
    </cfRule>
    <cfRule type="containsText" dxfId="851" priority="605" operator="containsText" text="ds">
      <formula>NOT(ISERROR(SEARCH("ds",DN37)))</formula>
    </cfRule>
    <cfRule type="containsText" dxfId="850" priority="606" operator="containsText" text="subobs">
      <formula>NOT(ISERROR(SEARCH("subobs",DN37)))</formula>
    </cfRule>
    <cfRule type="containsText" dxfId="849" priority="607" operator="containsText" text="Call">
      <formula>NOT(ISERROR(SEARCH("Call",DN37)))</formula>
    </cfRule>
    <cfRule type="containsText" dxfId="848" priority="609" operator="containsText" text="9ab">
      <formula>NOT(ISERROR(SEARCH("9ab",DN37)))</formula>
    </cfRule>
    <cfRule type="cellIs" dxfId="847" priority="610" stopIfTrue="1" operator="equal">
      <formula>"leave"</formula>
    </cfRule>
    <cfRule type="containsText" dxfId="846" priority="611" operator="containsText" text="ds">
      <formula>NOT(ISERROR(SEARCH("ds",DN37)))</formula>
    </cfRule>
    <cfRule type="containsText" dxfId="845" priority="612" operator="containsText" text="subobs">
      <formula>NOT(ISERROR(SEARCH("subobs",DN37)))</formula>
    </cfRule>
    <cfRule type="containsText" dxfId="844" priority="613" operator="containsText" text="Call">
      <formula>NOT(ISERROR(SEARCH("Call",DN37)))</formula>
    </cfRule>
    <cfRule type="containsText" dxfId="843" priority="617" operator="containsText" text="9ab">
      <formula>NOT(ISERROR(SEARCH("9ab",DN37)))</formula>
    </cfRule>
    <cfRule type="cellIs" dxfId="842" priority="618" stopIfTrue="1" operator="equal">
      <formula>"leave"</formula>
    </cfRule>
    <cfRule type="containsText" dxfId="841" priority="619" operator="containsText" text="ds">
      <formula>NOT(ISERROR(SEARCH("ds",DN37)))</formula>
    </cfRule>
    <cfRule type="containsText" dxfId="840" priority="620" operator="containsText" text="subobs">
      <formula>NOT(ISERROR(SEARCH("subobs",DN37)))</formula>
    </cfRule>
    <cfRule type="containsText" dxfId="839" priority="621" operator="containsText" text="Call">
      <formula>NOT(ISERROR(SEARCH("Call",DN37)))</formula>
    </cfRule>
    <cfRule type="containsText" dxfId="838" priority="624" operator="containsText" text="9ab">
      <formula>NOT(ISERROR(SEARCH("9ab",DN37)))</formula>
    </cfRule>
    <cfRule type="cellIs" dxfId="837" priority="625" stopIfTrue="1" operator="equal">
      <formula>"leave"</formula>
    </cfRule>
    <cfRule type="containsText" dxfId="836" priority="626" operator="containsText" text="ds">
      <formula>NOT(ISERROR(SEARCH("ds",DN37)))</formula>
    </cfRule>
    <cfRule type="containsText" dxfId="835" priority="627" operator="containsText" text="subobs">
      <formula>NOT(ISERROR(SEARCH("subobs",DN37)))</formula>
    </cfRule>
    <cfRule type="containsText" dxfId="834" priority="628" stopIfTrue="1" operator="containsText" text="(Call)">
      <formula>NOT(ISERROR(SEARCH("(Call)",DN37)))</formula>
    </cfRule>
  </conditionalFormatting>
  <conditionalFormatting sqref="DN36:DO42">
    <cfRule type="containsText" dxfId="833" priority="615" operator="containsText" text="b1">
      <formula>NOT(ISERROR(SEARCH("b1",DN36)))</formula>
    </cfRule>
    <cfRule type="cellIs" dxfId="832" priority="616" operator="equal">
      <formula>0</formula>
    </cfRule>
    <cfRule type="containsText" dxfId="831" priority="623" stopIfTrue="1" operator="containsText" text="go">
      <formula>NOT(ISERROR(SEARCH("go",DN36)))</formula>
    </cfRule>
    <cfRule type="cellIs" dxfId="830" priority="630" operator="equal">
      <formula>"ps_cover"</formula>
    </cfRule>
    <cfRule type="containsText" dxfId="829" priority="631" stopIfTrue="1" operator="containsText" text="9ab">
      <formula>NOT(ISERROR(SEARCH("9ab",DN36)))</formula>
    </cfRule>
    <cfRule type="containsText" dxfId="828" priority="632" stopIfTrue="1" operator="containsText" text="ds">
      <formula>NOT(ISERROR(SEARCH("ds",DN36)))</formula>
    </cfRule>
    <cfRule type="containsText" dxfId="827" priority="633" stopIfTrue="1" operator="containsText" text="subobs">
      <formula>NOT(ISERROR(SEARCH("subobs",DN36)))</formula>
    </cfRule>
  </conditionalFormatting>
  <conditionalFormatting sqref="DN36:DS42">
    <cfRule type="containsText" dxfId="826" priority="577" operator="containsText" text="(Call)">
      <formula>NOT(ISERROR(SEARCH("(Call)",DN36)))</formula>
    </cfRule>
  </conditionalFormatting>
  <conditionalFormatting sqref="DO19:DS25">
    <cfRule type="cellIs" dxfId="825" priority="808" operator="equal">
      <formula>0</formula>
    </cfRule>
  </conditionalFormatting>
  <conditionalFormatting sqref="DP36:DS42">
    <cfRule type="containsText" dxfId="824" priority="578" operator="containsText" text="b1">
      <formula>NOT(ISERROR(SEARCH("b1",DP36)))</formula>
    </cfRule>
    <cfRule type="cellIs" dxfId="823" priority="579" operator="equal">
      <formula>0</formula>
    </cfRule>
    <cfRule type="containsText" dxfId="822" priority="580" stopIfTrue="1" operator="containsText" text="go">
      <formula>NOT(ISERROR(SEARCH("go",DP36)))</formula>
    </cfRule>
    <cfRule type="cellIs" dxfId="821" priority="581" operator="equal">
      <formula>"ps_cover"</formula>
    </cfRule>
    <cfRule type="containsText" dxfId="820" priority="582" stopIfTrue="1" operator="containsText" text="9ab">
      <formula>NOT(ISERROR(SEARCH("9ab",DP36)))</formula>
    </cfRule>
    <cfRule type="containsText" dxfId="819" priority="583" stopIfTrue="1" operator="containsText" text="ds">
      <formula>NOT(ISERROR(SEARCH("ds",DP36)))</formula>
    </cfRule>
    <cfRule type="containsText" dxfId="818" priority="584" stopIfTrue="1" operator="containsText" text="subobs">
      <formula>NOT(ISERROR(SEARCH("subobs",DP36)))</formula>
    </cfRule>
  </conditionalFormatting>
  <conditionalFormatting sqref="DT19:DZ26">
    <cfRule type="cellIs" dxfId="817" priority="1016" operator="equal">
      <formula>0</formula>
    </cfRule>
  </conditionalFormatting>
  <conditionalFormatting sqref="DT28:DZ35">
    <cfRule type="cellIs" dxfId="816" priority="854" operator="equal">
      <formula>0</formula>
    </cfRule>
  </conditionalFormatting>
  <conditionalFormatting sqref="DU19:DU25">
    <cfRule type="containsText" dxfId="815" priority="998" operator="containsText" text="9ab">
      <formula>NOT(ISERROR(SEARCH("9ab",DU19)))</formula>
    </cfRule>
    <cfRule type="cellIs" dxfId="814" priority="999" stopIfTrue="1" operator="equal">
      <formula>"leave"</formula>
    </cfRule>
    <cfRule type="containsText" dxfId="813" priority="1000" operator="containsText" text="ds">
      <formula>NOT(ISERROR(SEARCH("ds",DU19)))</formula>
    </cfRule>
    <cfRule type="containsText" dxfId="812" priority="1001" operator="containsText" text="subobs">
      <formula>NOT(ISERROR(SEARCH("subobs",DU19)))</formula>
    </cfRule>
    <cfRule type="containsText" dxfId="811" priority="1002" operator="containsText" text="Call">
      <formula>NOT(ISERROR(SEARCH("Call",DU19)))</formula>
    </cfRule>
    <cfRule type="containsText" dxfId="810" priority="1010" operator="containsText" text="9ab">
      <formula>NOT(ISERROR(SEARCH("9ab",DU19)))</formula>
    </cfRule>
    <cfRule type="cellIs" dxfId="809" priority="1011" stopIfTrue="1" operator="equal">
      <formula>"leave"</formula>
    </cfRule>
    <cfRule type="containsText" dxfId="808" priority="1012" operator="containsText" text="ds">
      <formula>NOT(ISERROR(SEARCH("ds",DU19)))</formula>
    </cfRule>
    <cfRule type="containsText" dxfId="807" priority="1013" operator="containsText" text="subobs">
      <formula>NOT(ISERROR(SEARCH("subobs",DU19)))</formula>
    </cfRule>
    <cfRule type="containsText" dxfId="806" priority="1014" operator="containsText" text="Call">
      <formula>NOT(ISERROR(SEARCH("Call",DU19)))</formula>
    </cfRule>
  </conditionalFormatting>
  <conditionalFormatting sqref="DU19:DU26">
    <cfRule type="containsText" dxfId="805" priority="1004" operator="containsText" text="9ab">
      <formula>NOT(ISERROR(SEARCH("9ab",DU19)))</formula>
    </cfRule>
    <cfRule type="cellIs" dxfId="804" priority="1005" stopIfTrue="1" operator="equal">
      <formula>"leave"</formula>
    </cfRule>
    <cfRule type="containsText" dxfId="803" priority="1006" operator="containsText" text="ds">
      <formula>NOT(ISERROR(SEARCH("ds",DU19)))</formula>
    </cfRule>
    <cfRule type="containsText" dxfId="802" priority="1007" operator="containsText" text="subobs">
      <formula>NOT(ISERROR(SEARCH("subobs",DU19)))</formula>
    </cfRule>
    <cfRule type="containsText" dxfId="801" priority="1008" stopIfTrue="1" operator="containsText" text="(Call)">
      <formula>NOT(ISERROR(SEARCH("(Call)",DU19)))</formula>
    </cfRule>
    <cfRule type="containsText" dxfId="800" priority="1017" operator="containsText" text="9ab">
      <formula>NOT(ISERROR(SEARCH("9ab",DU19)))</formula>
    </cfRule>
    <cfRule type="cellIs" dxfId="799" priority="1018" stopIfTrue="1" operator="equal">
      <formula>"leave"</formula>
    </cfRule>
    <cfRule type="containsText" dxfId="798" priority="1019" operator="containsText" text="ds">
      <formula>NOT(ISERROR(SEARCH("ds",DU19)))</formula>
    </cfRule>
    <cfRule type="containsText" dxfId="797" priority="1020" operator="containsText" text="subobs">
      <formula>NOT(ISERROR(SEARCH("subobs",DU19)))</formula>
    </cfRule>
    <cfRule type="containsText" dxfId="796" priority="1021" operator="containsText" text="Call">
      <formula>NOT(ISERROR(SEARCH("Call",DU19)))</formula>
    </cfRule>
  </conditionalFormatting>
  <conditionalFormatting sqref="DU28:DU33">
    <cfRule type="containsText" dxfId="795" priority="836" operator="containsText" text="9ab">
      <formula>NOT(ISERROR(SEARCH("9ab",DU28)))</formula>
    </cfRule>
    <cfRule type="cellIs" dxfId="794" priority="837" stopIfTrue="1" operator="equal">
      <formula>"leave"</formula>
    </cfRule>
    <cfRule type="containsText" dxfId="793" priority="838" operator="containsText" text="ds">
      <formula>NOT(ISERROR(SEARCH("ds",DU28)))</formula>
    </cfRule>
    <cfRule type="containsText" dxfId="792" priority="839" operator="containsText" text="subobs">
      <formula>NOT(ISERROR(SEARCH("subobs",DU28)))</formula>
    </cfRule>
    <cfRule type="containsText" dxfId="791" priority="840" operator="containsText" text="Call">
      <formula>NOT(ISERROR(SEARCH("Call",DU28)))</formula>
    </cfRule>
    <cfRule type="containsText" dxfId="790" priority="848" operator="containsText" text="9ab">
      <formula>NOT(ISERROR(SEARCH("9ab",DU28)))</formula>
    </cfRule>
    <cfRule type="cellIs" dxfId="789" priority="849" stopIfTrue="1" operator="equal">
      <formula>"leave"</formula>
    </cfRule>
    <cfRule type="containsText" dxfId="788" priority="850" operator="containsText" text="ds">
      <formula>NOT(ISERROR(SEARCH("ds",DU28)))</formula>
    </cfRule>
    <cfRule type="containsText" dxfId="787" priority="851" operator="containsText" text="subobs">
      <formula>NOT(ISERROR(SEARCH("subobs",DU28)))</formula>
    </cfRule>
    <cfRule type="containsText" dxfId="786" priority="852" operator="containsText" text="Call">
      <formula>NOT(ISERROR(SEARCH("Call",DU28)))</formula>
    </cfRule>
  </conditionalFormatting>
  <conditionalFormatting sqref="DU28:DU35">
    <cfRule type="containsText" dxfId="785" priority="842" operator="containsText" text="9ab">
      <formula>NOT(ISERROR(SEARCH("9ab",DU28)))</formula>
    </cfRule>
    <cfRule type="cellIs" dxfId="784" priority="843" stopIfTrue="1" operator="equal">
      <formula>"leave"</formula>
    </cfRule>
    <cfRule type="containsText" dxfId="783" priority="844" operator="containsText" text="ds">
      <formula>NOT(ISERROR(SEARCH("ds",DU28)))</formula>
    </cfRule>
    <cfRule type="containsText" dxfId="782" priority="845" operator="containsText" text="subobs">
      <formula>NOT(ISERROR(SEARCH("subobs",DU28)))</formula>
    </cfRule>
    <cfRule type="containsText" dxfId="781" priority="846" stopIfTrue="1" operator="containsText" text="(Call)">
      <formula>NOT(ISERROR(SEARCH("(Call)",DU28)))</formula>
    </cfRule>
    <cfRule type="containsText" dxfId="780" priority="855" operator="containsText" text="9ab">
      <formula>NOT(ISERROR(SEARCH("9ab",DU28)))</formula>
    </cfRule>
    <cfRule type="cellIs" dxfId="779" priority="856" stopIfTrue="1" operator="equal">
      <formula>"leave"</formula>
    </cfRule>
    <cfRule type="containsText" dxfId="778" priority="857" operator="containsText" text="ds">
      <formula>NOT(ISERROR(SEARCH("ds",DU28)))</formula>
    </cfRule>
    <cfRule type="containsText" dxfId="777" priority="858" operator="containsText" text="subobs">
      <formula>NOT(ISERROR(SEARCH("subobs",DU28)))</formula>
    </cfRule>
    <cfRule type="containsText" dxfId="776" priority="859" operator="containsText" text="Call">
      <formula>NOT(ISERROR(SEARCH("Call",DU28)))</formula>
    </cfRule>
  </conditionalFormatting>
  <conditionalFormatting sqref="DU37:DU42">
    <cfRule type="containsText" dxfId="775" priority="528" operator="containsText" text="9ab">
      <formula>NOT(ISERROR(SEARCH("9ab",DU37)))</formula>
    </cfRule>
    <cfRule type="cellIs" dxfId="774" priority="529" stopIfTrue="1" operator="equal">
      <formula>"leave"</formula>
    </cfRule>
    <cfRule type="containsText" dxfId="773" priority="530" operator="containsText" text="ds">
      <formula>NOT(ISERROR(SEARCH("ds",DU37)))</formula>
    </cfRule>
    <cfRule type="containsText" dxfId="772" priority="531" operator="containsText" text="subobs">
      <formula>NOT(ISERROR(SEARCH("subobs",DU37)))</formula>
    </cfRule>
    <cfRule type="containsText" dxfId="771" priority="532" operator="containsText" text="Call">
      <formula>NOT(ISERROR(SEARCH("Call",DU37)))</formula>
    </cfRule>
    <cfRule type="containsText" dxfId="770" priority="534" operator="containsText" text="9ab">
      <formula>NOT(ISERROR(SEARCH("9ab",DU37)))</formula>
    </cfRule>
    <cfRule type="cellIs" dxfId="769" priority="535" stopIfTrue="1" operator="equal">
      <formula>"leave"</formula>
    </cfRule>
    <cfRule type="containsText" dxfId="768" priority="536" operator="containsText" text="ds">
      <formula>NOT(ISERROR(SEARCH("ds",DU37)))</formula>
    </cfRule>
    <cfRule type="containsText" dxfId="767" priority="537" operator="containsText" text="subobs">
      <formula>NOT(ISERROR(SEARCH("subobs",DU37)))</formula>
    </cfRule>
    <cfRule type="containsText" dxfId="766" priority="538" stopIfTrue="1" operator="containsText" text="(Call)">
      <formula>NOT(ISERROR(SEARCH("(Call)",DU37)))</formula>
    </cfRule>
    <cfRule type="containsText" dxfId="765" priority="540" operator="containsText" text="9ab">
      <formula>NOT(ISERROR(SEARCH("9ab",DU37)))</formula>
    </cfRule>
    <cfRule type="cellIs" dxfId="764" priority="541" stopIfTrue="1" operator="equal">
      <formula>"leave"</formula>
    </cfRule>
    <cfRule type="containsText" dxfId="763" priority="542" operator="containsText" text="ds">
      <formula>NOT(ISERROR(SEARCH("ds",DU37)))</formula>
    </cfRule>
    <cfRule type="containsText" dxfId="762" priority="543" operator="containsText" text="subobs">
      <formula>NOT(ISERROR(SEARCH("subobs",DU37)))</formula>
    </cfRule>
    <cfRule type="containsText" dxfId="761" priority="544" operator="containsText" text="Call">
      <formula>NOT(ISERROR(SEARCH("Call",DU37)))</formula>
    </cfRule>
    <cfRule type="containsText" dxfId="760" priority="546" operator="containsText" text="9ab">
      <formula>NOT(ISERROR(SEARCH("9ab",DU37)))</formula>
    </cfRule>
    <cfRule type="cellIs" dxfId="759" priority="547" stopIfTrue="1" operator="equal">
      <formula>"leave"</formula>
    </cfRule>
    <cfRule type="containsText" dxfId="758" priority="548" operator="containsText" text="ds">
      <formula>NOT(ISERROR(SEARCH("ds",DU37)))</formula>
    </cfRule>
    <cfRule type="containsText" dxfId="757" priority="549" operator="containsText" text="subobs">
      <formula>NOT(ISERROR(SEARCH("subobs",DU37)))</formula>
    </cfRule>
    <cfRule type="containsText" dxfId="756" priority="550" operator="containsText" text="Call">
      <formula>NOT(ISERROR(SEARCH("Call",DU37)))</formula>
    </cfRule>
    <cfRule type="containsText" dxfId="755" priority="552" operator="containsText" text="9ab">
      <formula>NOT(ISERROR(SEARCH("9ab",DU37)))</formula>
    </cfRule>
    <cfRule type="cellIs" dxfId="754" priority="553" stopIfTrue="1" operator="equal">
      <formula>"leave"</formula>
    </cfRule>
    <cfRule type="containsText" dxfId="753" priority="554" operator="containsText" text="ds">
      <formula>NOT(ISERROR(SEARCH("ds",DU37)))</formula>
    </cfRule>
    <cfRule type="containsText" dxfId="752" priority="555" operator="containsText" text="subobs">
      <formula>NOT(ISERROR(SEARCH("subobs",DU37)))</formula>
    </cfRule>
    <cfRule type="containsText" dxfId="751" priority="556" operator="containsText" text="Call">
      <formula>NOT(ISERROR(SEARCH("Call",DU37)))</formula>
    </cfRule>
    <cfRule type="containsText" dxfId="750" priority="560" operator="containsText" text="9ab">
      <formula>NOT(ISERROR(SEARCH("9ab",DU37)))</formula>
    </cfRule>
    <cfRule type="cellIs" dxfId="749" priority="561" stopIfTrue="1" operator="equal">
      <formula>"leave"</formula>
    </cfRule>
    <cfRule type="containsText" dxfId="748" priority="562" operator="containsText" text="ds">
      <formula>NOT(ISERROR(SEARCH("ds",DU37)))</formula>
    </cfRule>
    <cfRule type="containsText" dxfId="747" priority="563" operator="containsText" text="subobs">
      <formula>NOT(ISERROR(SEARCH("subobs",DU37)))</formula>
    </cfRule>
    <cfRule type="containsText" dxfId="746" priority="564" operator="containsText" text="Call">
      <formula>NOT(ISERROR(SEARCH("Call",DU37)))</formula>
    </cfRule>
    <cfRule type="containsText" dxfId="745" priority="567" operator="containsText" text="9ab">
      <formula>NOT(ISERROR(SEARCH("9ab",DU37)))</formula>
    </cfRule>
    <cfRule type="cellIs" dxfId="744" priority="568" stopIfTrue="1" operator="equal">
      <formula>"leave"</formula>
    </cfRule>
    <cfRule type="containsText" dxfId="743" priority="569" operator="containsText" text="ds">
      <formula>NOT(ISERROR(SEARCH("ds",DU37)))</formula>
    </cfRule>
    <cfRule type="containsText" dxfId="742" priority="570" operator="containsText" text="subobs">
      <formula>NOT(ISERROR(SEARCH("subobs",DU37)))</formula>
    </cfRule>
    <cfRule type="containsText" dxfId="741" priority="571" stopIfTrue="1" operator="containsText" text="(Call)">
      <formula>NOT(ISERROR(SEARCH("(Call)",DU37)))</formula>
    </cfRule>
  </conditionalFormatting>
  <conditionalFormatting sqref="DU36:DV42">
    <cfRule type="containsText" dxfId="740" priority="558" operator="containsText" text="b1">
      <formula>NOT(ISERROR(SEARCH("b1",DU36)))</formula>
    </cfRule>
    <cfRule type="cellIs" dxfId="739" priority="559" operator="equal">
      <formula>0</formula>
    </cfRule>
    <cfRule type="containsText" dxfId="738" priority="566" stopIfTrue="1" operator="containsText" text="go">
      <formula>NOT(ISERROR(SEARCH("go",DU36)))</formula>
    </cfRule>
    <cfRule type="cellIs" dxfId="737" priority="573" operator="equal">
      <formula>"ps_cover"</formula>
    </cfRule>
    <cfRule type="containsText" dxfId="736" priority="574" stopIfTrue="1" operator="containsText" text="9ab">
      <formula>NOT(ISERROR(SEARCH("9ab",DU36)))</formula>
    </cfRule>
    <cfRule type="containsText" dxfId="735" priority="575" stopIfTrue="1" operator="containsText" text="ds">
      <formula>NOT(ISERROR(SEARCH("ds",DU36)))</formula>
    </cfRule>
    <cfRule type="containsText" dxfId="734" priority="576" stopIfTrue="1" operator="containsText" text="subobs">
      <formula>NOT(ISERROR(SEARCH("subobs",DU36)))</formula>
    </cfRule>
  </conditionalFormatting>
  <conditionalFormatting sqref="DU36:DZ42">
    <cfRule type="containsText" dxfId="733" priority="520" operator="containsText" text="(Call)">
      <formula>NOT(ISERROR(SEARCH("(Call)",DU36)))</formula>
    </cfRule>
  </conditionalFormatting>
  <conditionalFormatting sqref="DV19:DZ25">
    <cfRule type="cellIs" dxfId="732" priority="807" operator="equal">
      <formula>0</formula>
    </cfRule>
  </conditionalFormatting>
  <conditionalFormatting sqref="DW36:DZ42">
    <cfRule type="containsText" dxfId="731" priority="521" operator="containsText" text="b1">
      <formula>NOT(ISERROR(SEARCH("b1",DW36)))</formula>
    </cfRule>
    <cfRule type="cellIs" dxfId="730" priority="522" operator="equal">
      <formula>0</formula>
    </cfRule>
    <cfRule type="containsText" dxfId="729" priority="523" stopIfTrue="1" operator="containsText" text="go">
      <formula>NOT(ISERROR(SEARCH("go",DW36)))</formula>
    </cfRule>
    <cfRule type="cellIs" dxfId="728" priority="524" operator="equal">
      <formula>"ps_cover"</formula>
    </cfRule>
    <cfRule type="containsText" dxfId="727" priority="525" stopIfTrue="1" operator="containsText" text="9ab">
      <formula>NOT(ISERROR(SEARCH("9ab",DW36)))</formula>
    </cfRule>
    <cfRule type="containsText" dxfId="726" priority="526" stopIfTrue="1" operator="containsText" text="ds">
      <formula>NOT(ISERROR(SEARCH("ds",DW36)))</formula>
    </cfRule>
    <cfRule type="containsText" dxfId="725" priority="527" stopIfTrue="1" operator="containsText" text="subobs">
      <formula>NOT(ISERROR(SEARCH("subobs",DW36)))</formula>
    </cfRule>
  </conditionalFormatting>
  <conditionalFormatting sqref="EA19:EG26">
    <cfRule type="cellIs" dxfId="724" priority="991" operator="equal">
      <formula>0</formula>
    </cfRule>
  </conditionalFormatting>
  <conditionalFormatting sqref="EA28:EG35">
    <cfRule type="cellIs" dxfId="723" priority="829" operator="equal">
      <formula>0</formula>
    </cfRule>
  </conditionalFormatting>
  <conditionalFormatting sqref="EB19:EB25">
    <cfRule type="containsText" dxfId="722" priority="973" operator="containsText" text="9ab">
      <formula>NOT(ISERROR(SEARCH("9ab",EB19)))</formula>
    </cfRule>
    <cfRule type="cellIs" dxfId="721" priority="974" stopIfTrue="1" operator="equal">
      <formula>"leave"</formula>
    </cfRule>
    <cfRule type="containsText" dxfId="720" priority="975" operator="containsText" text="ds">
      <formula>NOT(ISERROR(SEARCH("ds",EB19)))</formula>
    </cfRule>
    <cfRule type="containsText" dxfId="719" priority="976" operator="containsText" text="subobs">
      <formula>NOT(ISERROR(SEARCH("subobs",EB19)))</formula>
    </cfRule>
    <cfRule type="containsText" dxfId="718" priority="977" operator="containsText" text="Call">
      <formula>NOT(ISERROR(SEARCH("Call",EB19)))</formula>
    </cfRule>
    <cfRule type="containsText" dxfId="717" priority="985" operator="containsText" text="9ab">
      <formula>NOT(ISERROR(SEARCH("9ab",EB19)))</formula>
    </cfRule>
    <cfRule type="cellIs" dxfId="716" priority="986" stopIfTrue="1" operator="equal">
      <formula>"leave"</formula>
    </cfRule>
    <cfRule type="containsText" dxfId="715" priority="987" operator="containsText" text="ds">
      <formula>NOT(ISERROR(SEARCH("ds",EB19)))</formula>
    </cfRule>
    <cfRule type="containsText" dxfId="714" priority="988" operator="containsText" text="subobs">
      <formula>NOT(ISERROR(SEARCH("subobs",EB19)))</formula>
    </cfRule>
    <cfRule type="containsText" dxfId="713" priority="989" operator="containsText" text="Call">
      <formula>NOT(ISERROR(SEARCH("Call",EB19)))</formula>
    </cfRule>
  </conditionalFormatting>
  <conditionalFormatting sqref="EB19:EB26">
    <cfRule type="containsText" dxfId="712" priority="979" operator="containsText" text="9ab">
      <formula>NOT(ISERROR(SEARCH("9ab",EB19)))</formula>
    </cfRule>
    <cfRule type="cellIs" dxfId="711" priority="980" stopIfTrue="1" operator="equal">
      <formula>"leave"</formula>
    </cfRule>
    <cfRule type="containsText" dxfId="710" priority="981" operator="containsText" text="ds">
      <formula>NOT(ISERROR(SEARCH("ds",EB19)))</formula>
    </cfRule>
    <cfRule type="containsText" dxfId="709" priority="982" operator="containsText" text="subobs">
      <formula>NOT(ISERROR(SEARCH("subobs",EB19)))</formula>
    </cfRule>
    <cfRule type="containsText" dxfId="708" priority="983" stopIfTrue="1" operator="containsText" text="(Call)">
      <formula>NOT(ISERROR(SEARCH("(Call)",EB19)))</formula>
    </cfRule>
    <cfRule type="containsText" dxfId="707" priority="992" operator="containsText" text="9ab">
      <formula>NOT(ISERROR(SEARCH("9ab",EB19)))</formula>
    </cfRule>
    <cfRule type="cellIs" dxfId="706" priority="993" stopIfTrue="1" operator="equal">
      <formula>"leave"</formula>
    </cfRule>
    <cfRule type="containsText" dxfId="705" priority="994" operator="containsText" text="ds">
      <formula>NOT(ISERROR(SEARCH("ds",EB19)))</formula>
    </cfRule>
    <cfRule type="containsText" dxfId="704" priority="995" operator="containsText" text="subobs">
      <formula>NOT(ISERROR(SEARCH("subobs",EB19)))</formula>
    </cfRule>
    <cfRule type="containsText" dxfId="703" priority="996" operator="containsText" text="Call">
      <formula>NOT(ISERROR(SEARCH("Call",EB19)))</formula>
    </cfRule>
  </conditionalFormatting>
  <conditionalFormatting sqref="EB28:EB33">
    <cfRule type="containsText" dxfId="702" priority="811" operator="containsText" text="9ab">
      <formula>NOT(ISERROR(SEARCH("9ab",EB28)))</formula>
    </cfRule>
    <cfRule type="cellIs" dxfId="701" priority="812" stopIfTrue="1" operator="equal">
      <formula>"leave"</formula>
    </cfRule>
    <cfRule type="containsText" dxfId="700" priority="813" operator="containsText" text="ds">
      <formula>NOT(ISERROR(SEARCH("ds",EB28)))</formula>
    </cfRule>
    <cfRule type="containsText" dxfId="699" priority="814" operator="containsText" text="subobs">
      <formula>NOT(ISERROR(SEARCH("subobs",EB28)))</formula>
    </cfRule>
    <cfRule type="containsText" dxfId="698" priority="815" operator="containsText" text="Call">
      <formula>NOT(ISERROR(SEARCH("Call",EB28)))</formula>
    </cfRule>
    <cfRule type="containsText" dxfId="697" priority="823" operator="containsText" text="9ab">
      <formula>NOT(ISERROR(SEARCH("9ab",EB28)))</formula>
    </cfRule>
    <cfRule type="cellIs" dxfId="696" priority="824" stopIfTrue="1" operator="equal">
      <formula>"leave"</formula>
    </cfRule>
    <cfRule type="containsText" dxfId="695" priority="825" operator="containsText" text="ds">
      <formula>NOT(ISERROR(SEARCH("ds",EB28)))</formula>
    </cfRule>
    <cfRule type="containsText" dxfId="694" priority="826" operator="containsText" text="subobs">
      <formula>NOT(ISERROR(SEARCH("subobs",EB28)))</formula>
    </cfRule>
    <cfRule type="containsText" dxfId="693" priority="827" operator="containsText" text="Call">
      <formula>NOT(ISERROR(SEARCH("Call",EB28)))</formula>
    </cfRule>
  </conditionalFormatting>
  <conditionalFormatting sqref="EB28:EB35">
    <cfRule type="containsText" dxfId="692" priority="817" operator="containsText" text="9ab">
      <formula>NOT(ISERROR(SEARCH("9ab",EB28)))</formula>
    </cfRule>
    <cfRule type="cellIs" dxfId="691" priority="818" stopIfTrue="1" operator="equal">
      <formula>"leave"</formula>
    </cfRule>
    <cfRule type="containsText" dxfId="690" priority="819" operator="containsText" text="ds">
      <formula>NOT(ISERROR(SEARCH("ds",EB28)))</formula>
    </cfRule>
    <cfRule type="containsText" dxfId="689" priority="820" operator="containsText" text="subobs">
      <formula>NOT(ISERROR(SEARCH("subobs",EB28)))</formula>
    </cfRule>
    <cfRule type="containsText" dxfId="688" priority="821" stopIfTrue="1" operator="containsText" text="(Call)">
      <formula>NOT(ISERROR(SEARCH("(Call)",EB28)))</formula>
    </cfRule>
    <cfRule type="containsText" dxfId="687" priority="830" operator="containsText" text="9ab">
      <formula>NOT(ISERROR(SEARCH("9ab",EB28)))</formula>
    </cfRule>
    <cfRule type="cellIs" dxfId="686" priority="831" stopIfTrue="1" operator="equal">
      <formula>"leave"</formula>
    </cfRule>
    <cfRule type="containsText" dxfId="685" priority="832" operator="containsText" text="ds">
      <formula>NOT(ISERROR(SEARCH("ds",EB28)))</formula>
    </cfRule>
    <cfRule type="containsText" dxfId="684" priority="833" operator="containsText" text="subobs">
      <formula>NOT(ISERROR(SEARCH("subobs",EB28)))</formula>
    </cfRule>
    <cfRule type="containsText" dxfId="683" priority="834" operator="containsText" text="Call">
      <formula>NOT(ISERROR(SEARCH("Call",EB28)))</formula>
    </cfRule>
  </conditionalFormatting>
  <conditionalFormatting sqref="EB37:EB42">
    <cfRule type="containsText" dxfId="682" priority="471" operator="containsText" text="9ab">
      <formula>NOT(ISERROR(SEARCH("9ab",EB37)))</formula>
    </cfRule>
    <cfRule type="cellIs" dxfId="681" priority="472" stopIfTrue="1" operator="equal">
      <formula>"leave"</formula>
    </cfRule>
    <cfRule type="containsText" dxfId="680" priority="473" operator="containsText" text="ds">
      <formula>NOT(ISERROR(SEARCH("ds",EB37)))</formula>
    </cfRule>
    <cfRule type="containsText" dxfId="679" priority="474" operator="containsText" text="subobs">
      <formula>NOT(ISERROR(SEARCH("subobs",EB37)))</formula>
    </cfRule>
    <cfRule type="containsText" dxfId="678" priority="475" operator="containsText" text="Call">
      <formula>NOT(ISERROR(SEARCH("Call",EB37)))</formula>
    </cfRule>
    <cfRule type="containsText" dxfId="677" priority="477" operator="containsText" text="9ab">
      <formula>NOT(ISERROR(SEARCH("9ab",EB37)))</formula>
    </cfRule>
    <cfRule type="cellIs" dxfId="676" priority="478" stopIfTrue="1" operator="equal">
      <formula>"leave"</formula>
    </cfRule>
    <cfRule type="containsText" dxfId="675" priority="479" operator="containsText" text="ds">
      <formula>NOT(ISERROR(SEARCH("ds",EB37)))</formula>
    </cfRule>
    <cfRule type="containsText" dxfId="674" priority="480" operator="containsText" text="subobs">
      <formula>NOT(ISERROR(SEARCH("subobs",EB37)))</formula>
    </cfRule>
    <cfRule type="containsText" dxfId="673" priority="481" stopIfTrue="1" operator="containsText" text="(Call)">
      <formula>NOT(ISERROR(SEARCH("(Call)",EB37)))</formula>
    </cfRule>
    <cfRule type="containsText" dxfId="672" priority="483" operator="containsText" text="9ab">
      <formula>NOT(ISERROR(SEARCH("9ab",EB37)))</formula>
    </cfRule>
    <cfRule type="cellIs" dxfId="671" priority="484" stopIfTrue="1" operator="equal">
      <formula>"leave"</formula>
    </cfRule>
    <cfRule type="containsText" dxfId="670" priority="485" operator="containsText" text="ds">
      <formula>NOT(ISERROR(SEARCH("ds",EB37)))</formula>
    </cfRule>
    <cfRule type="containsText" dxfId="669" priority="486" operator="containsText" text="subobs">
      <formula>NOT(ISERROR(SEARCH("subobs",EB37)))</formula>
    </cfRule>
    <cfRule type="containsText" dxfId="668" priority="487" operator="containsText" text="Call">
      <formula>NOT(ISERROR(SEARCH("Call",EB37)))</formula>
    </cfRule>
    <cfRule type="containsText" dxfId="667" priority="489" operator="containsText" text="9ab">
      <formula>NOT(ISERROR(SEARCH("9ab",EB37)))</formula>
    </cfRule>
    <cfRule type="cellIs" dxfId="666" priority="490" stopIfTrue="1" operator="equal">
      <formula>"leave"</formula>
    </cfRule>
    <cfRule type="containsText" dxfId="665" priority="491" operator="containsText" text="ds">
      <formula>NOT(ISERROR(SEARCH("ds",EB37)))</formula>
    </cfRule>
    <cfRule type="containsText" dxfId="664" priority="492" operator="containsText" text="subobs">
      <formula>NOT(ISERROR(SEARCH("subobs",EB37)))</formula>
    </cfRule>
    <cfRule type="containsText" dxfId="663" priority="493" operator="containsText" text="Call">
      <formula>NOT(ISERROR(SEARCH("Call",EB37)))</formula>
    </cfRule>
    <cfRule type="containsText" dxfId="662" priority="495" operator="containsText" text="9ab">
      <formula>NOT(ISERROR(SEARCH("9ab",EB37)))</formula>
    </cfRule>
    <cfRule type="cellIs" dxfId="661" priority="496" stopIfTrue="1" operator="equal">
      <formula>"leave"</formula>
    </cfRule>
    <cfRule type="containsText" dxfId="660" priority="497" operator="containsText" text="ds">
      <formula>NOT(ISERROR(SEARCH("ds",EB37)))</formula>
    </cfRule>
    <cfRule type="containsText" dxfId="659" priority="498" operator="containsText" text="subobs">
      <formula>NOT(ISERROR(SEARCH("subobs",EB37)))</formula>
    </cfRule>
    <cfRule type="containsText" dxfId="658" priority="499" operator="containsText" text="Call">
      <formula>NOT(ISERROR(SEARCH("Call",EB37)))</formula>
    </cfRule>
    <cfRule type="containsText" dxfId="657" priority="503" operator="containsText" text="9ab">
      <formula>NOT(ISERROR(SEARCH("9ab",EB37)))</formula>
    </cfRule>
    <cfRule type="cellIs" dxfId="656" priority="504" stopIfTrue="1" operator="equal">
      <formula>"leave"</formula>
    </cfRule>
    <cfRule type="containsText" dxfId="655" priority="505" operator="containsText" text="ds">
      <formula>NOT(ISERROR(SEARCH("ds",EB37)))</formula>
    </cfRule>
    <cfRule type="containsText" dxfId="654" priority="506" operator="containsText" text="subobs">
      <formula>NOT(ISERROR(SEARCH("subobs",EB37)))</formula>
    </cfRule>
    <cfRule type="containsText" dxfId="653" priority="507" operator="containsText" text="Call">
      <formula>NOT(ISERROR(SEARCH("Call",EB37)))</formula>
    </cfRule>
    <cfRule type="containsText" dxfId="652" priority="510" operator="containsText" text="9ab">
      <formula>NOT(ISERROR(SEARCH("9ab",EB37)))</formula>
    </cfRule>
    <cfRule type="cellIs" dxfId="651" priority="511" stopIfTrue="1" operator="equal">
      <formula>"leave"</formula>
    </cfRule>
    <cfRule type="containsText" dxfId="650" priority="512" operator="containsText" text="ds">
      <formula>NOT(ISERROR(SEARCH("ds",EB37)))</formula>
    </cfRule>
    <cfRule type="containsText" dxfId="649" priority="513" operator="containsText" text="subobs">
      <formula>NOT(ISERROR(SEARCH("subobs",EB37)))</formula>
    </cfRule>
    <cfRule type="containsText" dxfId="648" priority="514" stopIfTrue="1" operator="containsText" text="(Call)">
      <formula>NOT(ISERROR(SEARCH("(Call)",EB37)))</formula>
    </cfRule>
  </conditionalFormatting>
  <conditionalFormatting sqref="EB36:EC42">
    <cfRule type="containsText" dxfId="647" priority="501" operator="containsText" text="b1">
      <formula>NOT(ISERROR(SEARCH("b1",EB36)))</formula>
    </cfRule>
    <cfRule type="cellIs" dxfId="646" priority="502" operator="equal">
      <formula>0</formula>
    </cfRule>
    <cfRule type="containsText" dxfId="645" priority="509" stopIfTrue="1" operator="containsText" text="go">
      <formula>NOT(ISERROR(SEARCH("go",EB36)))</formula>
    </cfRule>
    <cfRule type="cellIs" dxfId="644" priority="516" operator="equal">
      <formula>"ps_cover"</formula>
    </cfRule>
    <cfRule type="containsText" dxfId="643" priority="517" stopIfTrue="1" operator="containsText" text="9ab">
      <formula>NOT(ISERROR(SEARCH("9ab",EB36)))</formula>
    </cfRule>
    <cfRule type="containsText" dxfId="642" priority="518" stopIfTrue="1" operator="containsText" text="ds">
      <formula>NOT(ISERROR(SEARCH("ds",EB36)))</formula>
    </cfRule>
    <cfRule type="containsText" dxfId="641" priority="519" stopIfTrue="1" operator="containsText" text="subobs">
      <formula>NOT(ISERROR(SEARCH("subobs",EB36)))</formula>
    </cfRule>
  </conditionalFormatting>
  <conditionalFormatting sqref="EB36:EG42">
    <cfRule type="containsText" dxfId="640" priority="463" operator="containsText" text="(Call)">
      <formula>NOT(ISERROR(SEARCH("(Call)",EB36)))</formula>
    </cfRule>
  </conditionalFormatting>
  <conditionalFormatting sqref="EC19:EG25">
    <cfRule type="cellIs" dxfId="639" priority="806" operator="equal">
      <formula>0</formula>
    </cfRule>
  </conditionalFormatting>
  <conditionalFormatting sqref="ED36:EG42">
    <cfRule type="containsText" dxfId="638" priority="464" operator="containsText" text="b1">
      <formula>NOT(ISERROR(SEARCH("b1",ED36)))</formula>
    </cfRule>
    <cfRule type="cellIs" dxfId="637" priority="465" operator="equal">
      <formula>0</formula>
    </cfRule>
    <cfRule type="containsText" dxfId="636" priority="466" stopIfTrue="1" operator="containsText" text="go">
      <formula>NOT(ISERROR(SEARCH("go",ED36)))</formula>
    </cfRule>
    <cfRule type="cellIs" dxfId="635" priority="467" operator="equal">
      <formula>"ps_cover"</formula>
    </cfRule>
    <cfRule type="containsText" dxfId="634" priority="468" stopIfTrue="1" operator="containsText" text="9ab">
      <formula>NOT(ISERROR(SEARCH("9ab",ED36)))</formula>
    </cfRule>
    <cfRule type="containsText" dxfId="633" priority="469" stopIfTrue="1" operator="containsText" text="ds">
      <formula>NOT(ISERROR(SEARCH("ds",ED36)))</formula>
    </cfRule>
    <cfRule type="containsText" dxfId="632" priority="470" stopIfTrue="1" operator="containsText" text="subobs">
      <formula>NOT(ISERROR(SEARCH("subobs",ED36)))</formula>
    </cfRule>
  </conditionalFormatting>
  <conditionalFormatting sqref="EH19:EH26">
    <cfRule type="cellIs" dxfId="631" priority="972" operator="equal">
      <formula>0</formula>
    </cfRule>
  </conditionalFormatting>
  <conditionalFormatting sqref="EH28:EH35">
    <cfRule type="cellIs" dxfId="630" priority="810" operator="equal">
      <formula>0</formula>
    </cfRule>
  </conditionalFormatting>
  <conditionalFormatting sqref="CT37:CX42">
    <cfRule type="containsText" dxfId="629" priority="456" operator="containsText" text="b1">
      <formula>NOT(ISERROR(SEARCH("b1",CT37)))</formula>
    </cfRule>
    <cfRule type="cellIs" dxfId="628" priority="457" operator="equal">
      <formula>0</formula>
    </cfRule>
    <cfRule type="containsText" dxfId="627" priority="458" stopIfTrue="1" operator="containsText" text="go">
      <formula>NOT(ISERROR(SEARCH("go",CT37)))</formula>
    </cfRule>
    <cfRule type="cellIs" dxfId="626" priority="459" operator="equal">
      <formula>"ps_cover"</formula>
    </cfRule>
    <cfRule type="containsText" dxfId="625" priority="460" stopIfTrue="1" operator="containsText" text="9ab">
      <formula>NOT(ISERROR(SEARCH("9ab",CT37)))</formula>
    </cfRule>
    <cfRule type="containsText" dxfId="624" priority="461" stopIfTrue="1" operator="containsText" text="ds">
      <formula>NOT(ISERROR(SEARCH("ds",CT37)))</formula>
    </cfRule>
    <cfRule type="containsText" dxfId="623" priority="462" stopIfTrue="1" operator="containsText" text="subobs">
      <formula>NOT(ISERROR(SEARCH("subobs",CT37)))</formula>
    </cfRule>
  </conditionalFormatting>
  <conditionalFormatting sqref="CT37:CX42">
    <cfRule type="containsText" dxfId="622" priority="448" operator="containsText" text="(Call)">
      <formula>NOT(ISERROR(SEARCH("(Call)",CT37)))</formula>
    </cfRule>
  </conditionalFormatting>
  <conditionalFormatting sqref="CU37:CX42">
    <cfRule type="containsText" dxfId="621" priority="449" operator="containsText" text="b1">
      <formula>NOT(ISERROR(SEARCH("b1",CU37)))</formula>
    </cfRule>
    <cfRule type="cellIs" dxfId="620" priority="450" operator="equal">
      <formula>0</formula>
    </cfRule>
    <cfRule type="containsText" dxfId="619" priority="451" stopIfTrue="1" operator="containsText" text="go">
      <formula>NOT(ISERROR(SEARCH("go",CU37)))</formula>
    </cfRule>
    <cfRule type="cellIs" dxfId="618" priority="452" operator="equal">
      <formula>"ps_cover"</formula>
    </cfRule>
    <cfRule type="containsText" dxfId="617" priority="453" stopIfTrue="1" operator="containsText" text="9ab">
      <formula>NOT(ISERROR(SEARCH("9ab",CU37)))</formula>
    </cfRule>
    <cfRule type="containsText" dxfId="616" priority="454" stopIfTrue="1" operator="containsText" text="ds">
      <formula>NOT(ISERROR(SEARCH("ds",CU37)))</formula>
    </cfRule>
    <cfRule type="containsText" dxfId="615" priority="455" stopIfTrue="1" operator="containsText" text="subobs">
      <formula>NOT(ISERROR(SEARCH("subobs",CU37)))</formula>
    </cfRule>
  </conditionalFormatting>
  <conditionalFormatting sqref="DA37:DE42">
    <cfRule type="containsText" dxfId="614" priority="441" operator="containsText" text="b1">
      <formula>NOT(ISERROR(SEARCH("b1",DA37)))</formula>
    </cfRule>
    <cfRule type="cellIs" dxfId="613" priority="442" operator="equal">
      <formula>0</formula>
    </cfRule>
    <cfRule type="containsText" dxfId="612" priority="443" stopIfTrue="1" operator="containsText" text="go">
      <formula>NOT(ISERROR(SEARCH("go",DA37)))</formula>
    </cfRule>
    <cfRule type="cellIs" dxfId="611" priority="444" operator="equal">
      <formula>"ps_cover"</formula>
    </cfRule>
    <cfRule type="containsText" dxfId="610" priority="445" stopIfTrue="1" operator="containsText" text="9ab">
      <formula>NOT(ISERROR(SEARCH("9ab",DA37)))</formula>
    </cfRule>
    <cfRule type="containsText" dxfId="609" priority="446" stopIfTrue="1" operator="containsText" text="ds">
      <formula>NOT(ISERROR(SEARCH("ds",DA37)))</formula>
    </cfRule>
    <cfRule type="containsText" dxfId="608" priority="447" stopIfTrue="1" operator="containsText" text="subobs">
      <formula>NOT(ISERROR(SEARCH("subobs",DA37)))</formula>
    </cfRule>
  </conditionalFormatting>
  <conditionalFormatting sqref="DA37:DE42">
    <cfRule type="containsText" dxfId="607" priority="433" operator="containsText" text="(Call)">
      <formula>NOT(ISERROR(SEARCH("(Call)",DA37)))</formula>
    </cfRule>
  </conditionalFormatting>
  <conditionalFormatting sqref="DB37:DE42">
    <cfRule type="containsText" dxfId="606" priority="434" operator="containsText" text="b1">
      <formula>NOT(ISERROR(SEARCH("b1",DB37)))</formula>
    </cfRule>
    <cfRule type="cellIs" dxfId="605" priority="435" operator="equal">
      <formula>0</formula>
    </cfRule>
    <cfRule type="containsText" dxfId="604" priority="436" stopIfTrue="1" operator="containsText" text="go">
      <formula>NOT(ISERROR(SEARCH("go",DB37)))</formula>
    </cfRule>
    <cfRule type="cellIs" dxfId="603" priority="437" operator="equal">
      <formula>"ps_cover"</formula>
    </cfRule>
    <cfRule type="containsText" dxfId="602" priority="438" stopIfTrue="1" operator="containsText" text="9ab">
      <formula>NOT(ISERROR(SEARCH("9ab",DB37)))</formula>
    </cfRule>
    <cfRule type="containsText" dxfId="601" priority="439" stopIfTrue="1" operator="containsText" text="ds">
      <formula>NOT(ISERROR(SEARCH("ds",DB37)))</formula>
    </cfRule>
    <cfRule type="containsText" dxfId="600" priority="440" stopIfTrue="1" operator="containsText" text="subobs">
      <formula>NOT(ISERROR(SEARCH("subobs",DB37)))</formula>
    </cfRule>
  </conditionalFormatting>
  <conditionalFormatting sqref="DH37:DL42">
    <cfRule type="containsText" dxfId="599" priority="426" operator="containsText" text="b1">
      <formula>NOT(ISERROR(SEARCH("b1",DH37)))</formula>
    </cfRule>
    <cfRule type="cellIs" dxfId="598" priority="427" operator="equal">
      <formula>0</formula>
    </cfRule>
    <cfRule type="containsText" dxfId="597" priority="428" stopIfTrue="1" operator="containsText" text="go">
      <formula>NOT(ISERROR(SEARCH("go",DH37)))</formula>
    </cfRule>
    <cfRule type="cellIs" dxfId="596" priority="429" operator="equal">
      <formula>"ps_cover"</formula>
    </cfRule>
    <cfRule type="containsText" dxfId="595" priority="430" stopIfTrue="1" operator="containsText" text="9ab">
      <formula>NOT(ISERROR(SEARCH("9ab",DH37)))</formula>
    </cfRule>
    <cfRule type="containsText" dxfId="594" priority="431" stopIfTrue="1" operator="containsText" text="ds">
      <formula>NOT(ISERROR(SEARCH("ds",DH37)))</formula>
    </cfRule>
    <cfRule type="containsText" dxfId="593" priority="432" stopIfTrue="1" operator="containsText" text="subobs">
      <formula>NOT(ISERROR(SEARCH("subobs",DH37)))</formula>
    </cfRule>
  </conditionalFormatting>
  <conditionalFormatting sqref="DH37:DL42">
    <cfRule type="containsText" dxfId="592" priority="418" operator="containsText" text="(Call)">
      <formula>NOT(ISERROR(SEARCH("(Call)",DH37)))</formula>
    </cfRule>
  </conditionalFormatting>
  <conditionalFormatting sqref="DI37:DL42">
    <cfRule type="containsText" dxfId="591" priority="419" operator="containsText" text="b1">
      <formula>NOT(ISERROR(SEARCH("b1",DI37)))</formula>
    </cfRule>
    <cfRule type="cellIs" dxfId="590" priority="420" operator="equal">
      <formula>0</formula>
    </cfRule>
    <cfRule type="containsText" dxfId="589" priority="421" stopIfTrue="1" operator="containsText" text="go">
      <formula>NOT(ISERROR(SEARCH("go",DI37)))</formula>
    </cfRule>
    <cfRule type="cellIs" dxfId="588" priority="422" operator="equal">
      <formula>"ps_cover"</formula>
    </cfRule>
    <cfRule type="containsText" dxfId="587" priority="423" stopIfTrue="1" operator="containsText" text="9ab">
      <formula>NOT(ISERROR(SEARCH("9ab",DI37)))</formula>
    </cfRule>
    <cfRule type="containsText" dxfId="586" priority="424" stopIfTrue="1" operator="containsText" text="ds">
      <formula>NOT(ISERROR(SEARCH("ds",DI37)))</formula>
    </cfRule>
    <cfRule type="containsText" dxfId="585" priority="425" stopIfTrue="1" operator="containsText" text="subobs">
      <formula>NOT(ISERROR(SEARCH("subobs",DI37)))</formula>
    </cfRule>
  </conditionalFormatting>
  <conditionalFormatting sqref="DO37:DS42">
    <cfRule type="containsText" dxfId="584" priority="411" operator="containsText" text="b1">
      <formula>NOT(ISERROR(SEARCH("b1",DO37)))</formula>
    </cfRule>
    <cfRule type="cellIs" dxfId="583" priority="412" operator="equal">
      <formula>0</formula>
    </cfRule>
    <cfRule type="containsText" dxfId="582" priority="413" stopIfTrue="1" operator="containsText" text="go">
      <formula>NOT(ISERROR(SEARCH("go",DO37)))</formula>
    </cfRule>
    <cfRule type="cellIs" dxfId="581" priority="414" operator="equal">
      <formula>"ps_cover"</formula>
    </cfRule>
    <cfRule type="containsText" dxfId="580" priority="415" stopIfTrue="1" operator="containsText" text="9ab">
      <formula>NOT(ISERROR(SEARCH("9ab",DO37)))</formula>
    </cfRule>
    <cfRule type="containsText" dxfId="579" priority="416" stopIfTrue="1" operator="containsText" text="ds">
      <formula>NOT(ISERROR(SEARCH("ds",DO37)))</formula>
    </cfRule>
    <cfRule type="containsText" dxfId="578" priority="417" stopIfTrue="1" operator="containsText" text="subobs">
      <formula>NOT(ISERROR(SEARCH("subobs",DO37)))</formula>
    </cfRule>
  </conditionalFormatting>
  <conditionalFormatting sqref="DO37:DS42">
    <cfRule type="containsText" dxfId="577" priority="403" operator="containsText" text="(Call)">
      <formula>NOT(ISERROR(SEARCH("(Call)",DO37)))</formula>
    </cfRule>
  </conditionalFormatting>
  <conditionalFormatting sqref="DP37:DS42">
    <cfRule type="containsText" dxfId="576" priority="404" operator="containsText" text="b1">
      <formula>NOT(ISERROR(SEARCH("b1",DP37)))</formula>
    </cfRule>
    <cfRule type="cellIs" dxfId="575" priority="405" operator="equal">
      <formula>0</formula>
    </cfRule>
    <cfRule type="containsText" dxfId="574" priority="406" stopIfTrue="1" operator="containsText" text="go">
      <formula>NOT(ISERROR(SEARCH("go",DP37)))</formula>
    </cfRule>
    <cfRule type="cellIs" dxfId="573" priority="407" operator="equal">
      <formula>"ps_cover"</formula>
    </cfRule>
    <cfRule type="containsText" dxfId="572" priority="408" stopIfTrue="1" operator="containsText" text="9ab">
      <formula>NOT(ISERROR(SEARCH("9ab",DP37)))</formula>
    </cfRule>
    <cfRule type="containsText" dxfId="571" priority="409" stopIfTrue="1" operator="containsText" text="ds">
      <formula>NOT(ISERROR(SEARCH("ds",DP37)))</formula>
    </cfRule>
    <cfRule type="containsText" dxfId="570" priority="410" stopIfTrue="1" operator="containsText" text="subobs">
      <formula>NOT(ISERROR(SEARCH("subobs",DP37)))</formula>
    </cfRule>
  </conditionalFormatting>
  <conditionalFormatting sqref="DV37:DZ42">
    <cfRule type="containsText" dxfId="569" priority="396" operator="containsText" text="b1">
      <formula>NOT(ISERROR(SEARCH("b1",DV37)))</formula>
    </cfRule>
    <cfRule type="cellIs" dxfId="568" priority="397" operator="equal">
      <formula>0</formula>
    </cfRule>
    <cfRule type="containsText" dxfId="567" priority="398" stopIfTrue="1" operator="containsText" text="go">
      <formula>NOT(ISERROR(SEARCH("go",DV37)))</formula>
    </cfRule>
    <cfRule type="cellIs" dxfId="566" priority="399" operator="equal">
      <formula>"ps_cover"</formula>
    </cfRule>
    <cfRule type="containsText" dxfId="565" priority="400" stopIfTrue="1" operator="containsText" text="9ab">
      <formula>NOT(ISERROR(SEARCH("9ab",DV37)))</formula>
    </cfRule>
    <cfRule type="containsText" dxfId="564" priority="401" stopIfTrue="1" operator="containsText" text="ds">
      <formula>NOT(ISERROR(SEARCH("ds",DV37)))</formula>
    </cfRule>
    <cfRule type="containsText" dxfId="563" priority="402" stopIfTrue="1" operator="containsText" text="subobs">
      <formula>NOT(ISERROR(SEARCH("subobs",DV37)))</formula>
    </cfRule>
  </conditionalFormatting>
  <conditionalFormatting sqref="DV37:DZ42">
    <cfRule type="containsText" dxfId="562" priority="388" operator="containsText" text="(Call)">
      <formula>NOT(ISERROR(SEARCH("(Call)",DV37)))</formula>
    </cfRule>
  </conditionalFormatting>
  <conditionalFormatting sqref="DW37:DZ42">
    <cfRule type="containsText" dxfId="561" priority="389" operator="containsText" text="b1">
      <formula>NOT(ISERROR(SEARCH("b1",DW37)))</formula>
    </cfRule>
    <cfRule type="cellIs" dxfId="560" priority="390" operator="equal">
      <formula>0</formula>
    </cfRule>
    <cfRule type="containsText" dxfId="559" priority="391" stopIfTrue="1" operator="containsText" text="go">
      <formula>NOT(ISERROR(SEARCH("go",DW37)))</formula>
    </cfRule>
    <cfRule type="cellIs" dxfId="558" priority="392" operator="equal">
      <formula>"ps_cover"</formula>
    </cfRule>
    <cfRule type="containsText" dxfId="557" priority="393" stopIfTrue="1" operator="containsText" text="9ab">
      <formula>NOT(ISERROR(SEARCH("9ab",DW37)))</formula>
    </cfRule>
    <cfRule type="containsText" dxfId="556" priority="394" stopIfTrue="1" operator="containsText" text="ds">
      <formula>NOT(ISERROR(SEARCH("ds",DW37)))</formula>
    </cfRule>
    <cfRule type="containsText" dxfId="555" priority="395" stopIfTrue="1" operator="containsText" text="subobs">
      <formula>NOT(ISERROR(SEARCH("subobs",DW37)))</formula>
    </cfRule>
  </conditionalFormatting>
  <conditionalFormatting sqref="EC37:EG42">
    <cfRule type="containsText" dxfId="554" priority="381" operator="containsText" text="b1">
      <formula>NOT(ISERROR(SEARCH("b1",EC37)))</formula>
    </cfRule>
    <cfRule type="cellIs" dxfId="553" priority="382" operator="equal">
      <formula>0</formula>
    </cfRule>
    <cfRule type="containsText" dxfId="552" priority="383" stopIfTrue="1" operator="containsText" text="go">
      <formula>NOT(ISERROR(SEARCH("go",EC37)))</formula>
    </cfRule>
    <cfRule type="cellIs" dxfId="551" priority="384" operator="equal">
      <formula>"ps_cover"</formula>
    </cfRule>
    <cfRule type="containsText" dxfId="550" priority="385" stopIfTrue="1" operator="containsText" text="9ab">
      <formula>NOT(ISERROR(SEARCH("9ab",EC37)))</formula>
    </cfRule>
    <cfRule type="containsText" dxfId="549" priority="386" stopIfTrue="1" operator="containsText" text="ds">
      <formula>NOT(ISERROR(SEARCH("ds",EC37)))</formula>
    </cfRule>
    <cfRule type="containsText" dxfId="548" priority="387" stopIfTrue="1" operator="containsText" text="subobs">
      <formula>NOT(ISERROR(SEARCH("subobs",EC37)))</formula>
    </cfRule>
  </conditionalFormatting>
  <conditionalFormatting sqref="EC37:EG42">
    <cfRule type="containsText" dxfId="547" priority="373" operator="containsText" text="(Call)">
      <formula>NOT(ISERROR(SEARCH("(Call)",EC37)))</formula>
    </cfRule>
  </conditionalFormatting>
  <conditionalFormatting sqref="ED37:EG42">
    <cfRule type="containsText" dxfId="546" priority="374" operator="containsText" text="b1">
      <formula>NOT(ISERROR(SEARCH("b1",ED37)))</formula>
    </cfRule>
    <cfRule type="cellIs" dxfId="545" priority="375" operator="equal">
      <formula>0</formula>
    </cfRule>
    <cfRule type="containsText" dxfId="544" priority="376" stopIfTrue="1" operator="containsText" text="go">
      <formula>NOT(ISERROR(SEARCH("go",ED37)))</formula>
    </cfRule>
    <cfRule type="cellIs" dxfId="543" priority="377" operator="equal">
      <formula>"ps_cover"</formula>
    </cfRule>
    <cfRule type="containsText" dxfId="542" priority="378" stopIfTrue="1" operator="containsText" text="9ab">
      <formula>NOT(ISERROR(SEARCH("9ab",ED37)))</formula>
    </cfRule>
    <cfRule type="containsText" dxfId="541" priority="379" stopIfTrue="1" operator="containsText" text="ds">
      <formula>NOT(ISERROR(SEARCH("ds",ED37)))</formula>
    </cfRule>
    <cfRule type="containsText" dxfId="540" priority="380" stopIfTrue="1" operator="containsText" text="subobs">
      <formula>NOT(ISERROR(SEARCH("subobs",ED37)))</formula>
    </cfRule>
  </conditionalFormatting>
  <conditionalFormatting sqref="CS25">
    <cfRule type="containsText" dxfId="539" priority="342" operator="containsText" text="9ab">
      <formula>NOT(ISERROR(SEARCH("9ab",CS25)))</formula>
    </cfRule>
    <cfRule type="cellIs" dxfId="538" priority="343" stopIfTrue="1" operator="equal">
      <formula>"leave"</formula>
    </cfRule>
    <cfRule type="containsText" dxfId="537" priority="344" operator="containsText" text="ds">
      <formula>NOT(ISERROR(SEARCH("ds",CS25)))</formula>
    </cfRule>
    <cfRule type="containsText" dxfId="536" priority="345" operator="containsText" text="subobs">
      <formula>NOT(ISERROR(SEARCH("subobs",CS25)))</formula>
    </cfRule>
    <cfRule type="containsText" dxfId="535" priority="346" operator="containsText" text="Call">
      <formula>NOT(ISERROR(SEARCH("Call",CS25)))</formula>
    </cfRule>
    <cfRule type="containsText" dxfId="534" priority="348" operator="containsText" text="9ab">
      <formula>NOT(ISERROR(SEARCH("9ab",CS25)))</formula>
    </cfRule>
    <cfRule type="cellIs" dxfId="533" priority="349" stopIfTrue="1" operator="equal">
      <formula>"leave"</formula>
    </cfRule>
    <cfRule type="containsText" dxfId="532" priority="350" operator="containsText" text="ds">
      <formula>NOT(ISERROR(SEARCH("ds",CS25)))</formula>
    </cfRule>
    <cfRule type="containsText" dxfId="531" priority="351" operator="containsText" text="subobs">
      <formula>NOT(ISERROR(SEARCH("subobs",CS25)))</formula>
    </cfRule>
    <cfRule type="containsText" dxfId="530" priority="352" stopIfTrue="1" operator="containsText" text="(Call)">
      <formula>NOT(ISERROR(SEARCH("(Call)",CS25)))</formula>
    </cfRule>
    <cfRule type="containsText" dxfId="529" priority="354" operator="containsText" text="9ab">
      <formula>NOT(ISERROR(SEARCH("9ab",CS25)))</formula>
    </cfRule>
    <cfRule type="cellIs" dxfId="528" priority="355" stopIfTrue="1" operator="equal">
      <formula>"leave"</formula>
    </cfRule>
    <cfRule type="containsText" dxfId="527" priority="356" operator="containsText" text="ds">
      <formula>NOT(ISERROR(SEARCH("ds",CS25)))</formula>
    </cfRule>
    <cfRule type="containsText" dxfId="526" priority="357" operator="containsText" text="subobs">
      <formula>NOT(ISERROR(SEARCH("subobs",CS25)))</formula>
    </cfRule>
    <cfRule type="containsText" dxfId="525" priority="358" operator="containsText" text="Call">
      <formula>NOT(ISERROR(SEARCH("Call",CS25)))</formula>
    </cfRule>
    <cfRule type="cellIs" dxfId="524" priority="360" operator="equal">
      <formula>0</formula>
    </cfRule>
    <cfRule type="containsText" dxfId="523" priority="361" operator="containsText" text="9ab">
      <formula>NOT(ISERROR(SEARCH("9ab",CS25)))</formula>
    </cfRule>
    <cfRule type="cellIs" dxfId="522" priority="362" stopIfTrue="1" operator="equal">
      <formula>"leave"</formula>
    </cfRule>
    <cfRule type="containsText" dxfId="521" priority="363" operator="containsText" text="ds">
      <formula>NOT(ISERROR(SEARCH("ds",CS25)))</formula>
    </cfRule>
    <cfRule type="containsText" dxfId="520" priority="364" operator="containsText" text="subobs">
      <formula>NOT(ISERROR(SEARCH("subobs",CS25)))</formula>
    </cfRule>
    <cfRule type="containsText" dxfId="519" priority="365" operator="containsText" text="Call">
      <formula>NOT(ISERROR(SEARCH("Call",CS25)))</formula>
    </cfRule>
  </conditionalFormatting>
  <conditionalFormatting sqref="CS25">
    <cfRule type="containsText" dxfId="518" priority="367" operator="containsText" text="9ab">
      <formula>NOT(ISERROR(SEARCH("9ab",CS25)))</formula>
    </cfRule>
    <cfRule type="cellIs" dxfId="517" priority="368" stopIfTrue="1" operator="equal">
      <formula>"leave"</formula>
    </cfRule>
    <cfRule type="containsText" dxfId="516" priority="369" operator="containsText" text="ds">
      <formula>NOT(ISERROR(SEARCH("ds",CS25)))</formula>
    </cfRule>
    <cfRule type="containsText" dxfId="515" priority="370" operator="containsText" text="subobs">
      <formula>NOT(ISERROR(SEARCH("subobs",CS25)))</formula>
    </cfRule>
    <cfRule type="containsText" dxfId="514" priority="371" operator="containsText" text="Call">
      <formula>NOT(ISERROR(SEARCH("Call",CS25)))</formula>
    </cfRule>
  </conditionalFormatting>
  <conditionalFormatting sqref="CZ25">
    <cfRule type="containsText" dxfId="513" priority="311" operator="containsText" text="9ab">
      <formula>NOT(ISERROR(SEARCH("9ab",CZ25)))</formula>
    </cfRule>
    <cfRule type="cellIs" dxfId="512" priority="312" stopIfTrue="1" operator="equal">
      <formula>"leave"</formula>
    </cfRule>
    <cfRule type="containsText" dxfId="511" priority="313" operator="containsText" text="ds">
      <formula>NOT(ISERROR(SEARCH("ds",CZ25)))</formula>
    </cfRule>
    <cfRule type="containsText" dxfId="510" priority="314" operator="containsText" text="subobs">
      <formula>NOT(ISERROR(SEARCH("subobs",CZ25)))</formula>
    </cfRule>
    <cfRule type="containsText" dxfId="509" priority="315" operator="containsText" text="Call">
      <formula>NOT(ISERROR(SEARCH("Call",CZ25)))</formula>
    </cfRule>
    <cfRule type="containsText" dxfId="508" priority="317" operator="containsText" text="9ab">
      <formula>NOT(ISERROR(SEARCH("9ab",CZ25)))</formula>
    </cfRule>
    <cfRule type="cellIs" dxfId="507" priority="318" stopIfTrue="1" operator="equal">
      <formula>"leave"</formula>
    </cfRule>
    <cfRule type="containsText" dxfId="506" priority="319" operator="containsText" text="ds">
      <formula>NOT(ISERROR(SEARCH("ds",CZ25)))</formula>
    </cfRule>
    <cfRule type="containsText" dxfId="505" priority="320" operator="containsText" text="subobs">
      <formula>NOT(ISERROR(SEARCH("subobs",CZ25)))</formula>
    </cfRule>
    <cfRule type="containsText" dxfId="504" priority="321" stopIfTrue="1" operator="containsText" text="(Call)">
      <formula>NOT(ISERROR(SEARCH("(Call)",CZ25)))</formula>
    </cfRule>
    <cfRule type="containsText" dxfId="503" priority="323" operator="containsText" text="9ab">
      <formula>NOT(ISERROR(SEARCH("9ab",CZ25)))</formula>
    </cfRule>
    <cfRule type="cellIs" dxfId="502" priority="324" stopIfTrue="1" operator="equal">
      <formula>"leave"</formula>
    </cfRule>
    <cfRule type="containsText" dxfId="501" priority="325" operator="containsText" text="ds">
      <formula>NOT(ISERROR(SEARCH("ds",CZ25)))</formula>
    </cfRule>
    <cfRule type="containsText" dxfId="500" priority="326" operator="containsText" text="subobs">
      <formula>NOT(ISERROR(SEARCH("subobs",CZ25)))</formula>
    </cfRule>
    <cfRule type="containsText" dxfId="499" priority="327" operator="containsText" text="Call">
      <formula>NOT(ISERROR(SEARCH("Call",CZ25)))</formula>
    </cfRule>
    <cfRule type="cellIs" dxfId="498" priority="329" operator="equal">
      <formula>0</formula>
    </cfRule>
    <cfRule type="containsText" dxfId="497" priority="330" operator="containsText" text="9ab">
      <formula>NOT(ISERROR(SEARCH("9ab",CZ25)))</formula>
    </cfRule>
    <cfRule type="cellIs" dxfId="496" priority="331" stopIfTrue="1" operator="equal">
      <formula>"leave"</formula>
    </cfRule>
    <cfRule type="containsText" dxfId="495" priority="332" operator="containsText" text="ds">
      <formula>NOT(ISERROR(SEARCH("ds",CZ25)))</formula>
    </cfRule>
    <cfRule type="containsText" dxfId="494" priority="333" operator="containsText" text="subobs">
      <formula>NOT(ISERROR(SEARCH("subobs",CZ25)))</formula>
    </cfRule>
    <cfRule type="containsText" dxfId="493" priority="334" operator="containsText" text="Call">
      <formula>NOT(ISERROR(SEARCH("Call",CZ25)))</formula>
    </cfRule>
  </conditionalFormatting>
  <conditionalFormatting sqref="CZ25">
    <cfRule type="containsText" dxfId="492" priority="336" operator="containsText" text="9ab">
      <formula>NOT(ISERROR(SEARCH("9ab",CZ25)))</formula>
    </cfRule>
    <cfRule type="cellIs" dxfId="491" priority="337" stopIfTrue="1" operator="equal">
      <formula>"leave"</formula>
    </cfRule>
    <cfRule type="containsText" dxfId="490" priority="338" operator="containsText" text="ds">
      <formula>NOT(ISERROR(SEARCH("ds",CZ25)))</formula>
    </cfRule>
    <cfRule type="containsText" dxfId="489" priority="339" operator="containsText" text="subobs">
      <formula>NOT(ISERROR(SEARCH("subobs",CZ25)))</formula>
    </cfRule>
    <cfRule type="containsText" dxfId="488" priority="340" operator="containsText" text="Call">
      <formula>NOT(ISERROR(SEARCH("Call",CZ25)))</formula>
    </cfRule>
  </conditionalFormatting>
  <conditionalFormatting sqref="DG25">
    <cfRule type="containsText" dxfId="487" priority="280" operator="containsText" text="9ab">
      <formula>NOT(ISERROR(SEARCH("9ab",DG25)))</formula>
    </cfRule>
    <cfRule type="cellIs" dxfId="486" priority="281" stopIfTrue="1" operator="equal">
      <formula>"leave"</formula>
    </cfRule>
    <cfRule type="containsText" dxfId="485" priority="282" operator="containsText" text="ds">
      <formula>NOT(ISERROR(SEARCH("ds",DG25)))</formula>
    </cfRule>
    <cfRule type="containsText" dxfId="484" priority="283" operator="containsText" text="subobs">
      <formula>NOT(ISERROR(SEARCH("subobs",DG25)))</formula>
    </cfRule>
    <cfRule type="containsText" dxfId="483" priority="284" operator="containsText" text="Call">
      <formula>NOT(ISERROR(SEARCH("Call",DG25)))</formula>
    </cfRule>
    <cfRule type="containsText" dxfId="482" priority="286" operator="containsText" text="9ab">
      <formula>NOT(ISERROR(SEARCH("9ab",DG25)))</formula>
    </cfRule>
    <cfRule type="cellIs" dxfId="481" priority="287" stopIfTrue="1" operator="equal">
      <formula>"leave"</formula>
    </cfRule>
    <cfRule type="containsText" dxfId="480" priority="288" operator="containsText" text="ds">
      <formula>NOT(ISERROR(SEARCH("ds",DG25)))</formula>
    </cfRule>
    <cfRule type="containsText" dxfId="479" priority="289" operator="containsText" text="subobs">
      <formula>NOT(ISERROR(SEARCH("subobs",DG25)))</formula>
    </cfRule>
    <cfRule type="containsText" dxfId="478" priority="290" stopIfTrue="1" operator="containsText" text="(Call)">
      <formula>NOT(ISERROR(SEARCH("(Call)",DG25)))</formula>
    </cfRule>
    <cfRule type="containsText" dxfId="477" priority="292" operator="containsText" text="9ab">
      <formula>NOT(ISERROR(SEARCH("9ab",DG25)))</formula>
    </cfRule>
    <cfRule type="cellIs" dxfId="476" priority="293" stopIfTrue="1" operator="equal">
      <formula>"leave"</formula>
    </cfRule>
    <cfRule type="containsText" dxfId="475" priority="294" operator="containsText" text="ds">
      <formula>NOT(ISERROR(SEARCH("ds",DG25)))</formula>
    </cfRule>
    <cfRule type="containsText" dxfId="474" priority="295" operator="containsText" text="subobs">
      <formula>NOT(ISERROR(SEARCH("subobs",DG25)))</formula>
    </cfRule>
    <cfRule type="containsText" dxfId="473" priority="296" operator="containsText" text="Call">
      <formula>NOT(ISERROR(SEARCH("Call",DG25)))</formula>
    </cfRule>
    <cfRule type="cellIs" dxfId="472" priority="298" operator="equal">
      <formula>0</formula>
    </cfRule>
    <cfRule type="containsText" dxfId="471" priority="299" operator="containsText" text="9ab">
      <formula>NOT(ISERROR(SEARCH("9ab",DG25)))</formula>
    </cfRule>
    <cfRule type="cellIs" dxfId="470" priority="300" stopIfTrue="1" operator="equal">
      <formula>"leave"</formula>
    </cfRule>
    <cfRule type="containsText" dxfId="469" priority="301" operator="containsText" text="ds">
      <formula>NOT(ISERROR(SEARCH("ds",DG25)))</formula>
    </cfRule>
    <cfRule type="containsText" dxfId="468" priority="302" operator="containsText" text="subobs">
      <formula>NOT(ISERROR(SEARCH("subobs",DG25)))</formula>
    </cfRule>
    <cfRule type="containsText" dxfId="467" priority="303" operator="containsText" text="Call">
      <formula>NOT(ISERROR(SEARCH("Call",DG25)))</formula>
    </cfRule>
  </conditionalFormatting>
  <conditionalFormatting sqref="DG25">
    <cfRule type="containsText" dxfId="466" priority="305" operator="containsText" text="9ab">
      <formula>NOT(ISERROR(SEARCH("9ab",DG25)))</formula>
    </cfRule>
    <cfRule type="cellIs" dxfId="465" priority="306" stopIfTrue="1" operator="equal">
      <formula>"leave"</formula>
    </cfRule>
    <cfRule type="containsText" dxfId="464" priority="307" operator="containsText" text="ds">
      <formula>NOT(ISERROR(SEARCH("ds",DG25)))</formula>
    </cfRule>
    <cfRule type="containsText" dxfId="463" priority="308" operator="containsText" text="subobs">
      <formula>NOT(ISERROR(SEARCH("subobs",DG25)))</formula>
    </cfRule>
    <cfRule type="containsText" dxfId="462" priority="309" operator="containsText" text="Call">
      <formula>NOT(ISERROR(SEARCH("Call",DG25)))</formula>
    </cfRule>
  </conditionalFormatting>
  <conditionalFormatting sqref="DN25">
    <cfRule type="containsText" dxfId="461" priority="249" operator="containsText" text="9ab">
      <formula>NOT(ISERROR(SEARCH("9ab",DN25)))</formula>
    </cfRule>
    <cfRule type="cellIs" dxfId="460" priority="250" stopIfTrue="1" operator="equal">
      <formula>"leave"</formula>
    </cfRule>
    <cfRule type="containsText" dxfId="459" priority="251" operator="containsText" text="ds">
      <formula>NOT(ISERROR(SEARCH("ds",DN25)))</formula>
    </cfRule>
    <cfRule type="containsText" dxfId="458" priority="252" operator="containsText" text="subobs">
      <formula>NOT(ISERROR(SEARCH("subobs",DN25)))</formula>
    </cfRule>
    <cfRule type="containsText" dxfId="457" priority="253" operator="containsText" text="Call">
      <formula>NOT(ISERROR(SEARCH("Call",DN25)))</formula>
    </cfRule>
    <cfRule type="containsText" dxfId="456" priority="255" operator="containsText" text="9ab">
      <formula>NOT(ISERROR(SEARCH("9ab",DN25)))</formula>
    </cfRule>
    <cfRule type="cellIs" dxfId="455" priority="256" stopIfTrue="1" operator="equal">
      <formula>"leave"</formula>
    </cfRule>
    <cfRule type="containsText" dxfId="454" priority="257" operator="containsText" text="ds">
      <formula>NOT(ISERROR(SEARCH("ds",DN25)))</formula>
    </cfRule>
    <cfRule type="containsText" dxfId="453" priority="258" operator="containsText" text="subobs">
      <formula>NOT(ISERROR(SEARCH("subobs",DN25)))</formula>
    </cfRule>
    <cfRule type="containsText" dxfId="452" priority="259" stopIfTrue="1" operator="containsText" text="(Call)">
      <formula>NOT(ISERROR(SEARCH("(Call)",DN25)))</formula>
    </cfRule>
    <cfRule type="containsText" dxfId="451" priority="261" operator="containsText" text="9ab">
      <formula>NOT(ISERROR(SEARCH("9ab",DN25)))</formula>
    </cfRule>
    <cfRule type="cellIs" dxfId="450" priority="262" stopIfTrue="1" operator="equal">
      <formula>"leave"</formula>
    </cfRule>
    <cfRule type="containsText" dxfId="449" priority="263" operator="containsText" text="ds">
      <formula>NOT(ISERROR(SEARCH("ds",DN25)))</formula>
    </cfRule>
    <cfRule type="containsText" dxfId="448" priority="264" operator="containsText" text="subobs">
      <formula>NOT(ISERROR(SEARCH("subobs",DN25)))</formula>
    </cfRule>
    <cfRule type="containsText" dxfId="447" priority="265" operator="containsText" text="Call">
      <formula>NOT(ISERROR(SEARCH("Call",DN25)))</formula>
    </cfRule>
    <cfRule type="cellIs" dxfId="446" priority="267" operator="equal">
      <formula>0</formula>
    </cfRule>
    <cfRule type="containsText" dxfId="445" priority="268" operator="containsText" text="9ab">
      <formula>NOT(ISERROR(SEARCH("9ab",DN25)))</formula>
    </cfRule>
    <cfRule type="cellIs" dxfId="444" priority="269" stopIfTrue="1" operator="equal">
      <formula>"leave"</formula>
    </cfRule>
    <cfRule type="containsText" dxfId="443" priority="270" operator="containsText" text="ds">
      <formula>NOT(ISERROR(SEARCH("ds",DN25)))</formula>
    </cfRule>
    <cfRule type="containsText" dxfId="442" priority="271" operator="containsText" text="subobs">
      <formula>NOT(ISERROR(SEARCH("subobs",DN25)))</formula>
    </cfRule>
    <cfRule type="containsText" dxfId="441" priority="272" operator="containsText" text="Call">
      <formula>NOT(ISERROR(SEARCH("Call",DN25)))</formula>
    </cfRule>
  </conditionalFormatting>
  <conditionalFormatting sqref="DN25">
    <cfRule type="containsText" dxfId="440" priority="274" operator="containsText" text="9ab">
      <formula>NOT(ISERROR(SEARCH("9ab",DN25)))</formula>
    </cfRule>
    <cfRule type="cellIs" dxfId="439" priority="275" stopIfTrue="1" operator="equal">
      <formula>"leave"</formula>
    </cfRule>
    <cfRule type="containsText" dxfId="438" priority="276" operator="containsText" text="ds">
      <formula>NOT(ISERROR(SEARCH("ds",DN25)))</formula>
    </cfRule>
    <cfRule type="containsText" dxfId="437" priority="277" operator="containsText" text="subobs">
      <formula>NOT(ISERROR(SEARCH("subobs",DN25)))</formula>
    </cfRule>
    <cfRule type="containsText" dxfId="436" priority="278" operator="containsText" text="Call">
      <formula>NOT(ISERROR(SEARCH("Call",DN25)))</formula>
    </cfRule>
  </conditionalFormatting>
  <conditionalFormatting sqref="DU25">
    <cfRule type="containsText" dxfId="435" priority="218" operator="containsText" text="9ab">
      <formula>NOT(ISERROR(SEARCH("9ab",DU25)))</formula>
    </cfRule>
    <cfRule type="cellIs" dxfId="434" priority="219" stopIfTrue="1" operator="equal">
      <formula>"leave"</formula>
    </cfRule>
    <cfRule type="containsText" dxfId="433" priority="220" operator="containsText" text="ds">
      <formula>NOT(ISERROR(SEARCH("ds",DU25)))</formula>
    </cfRule>
    <cfRule type="containsText" dxfId="432" priority="221" operator="containsText" text="subobs">
      <formula>NOT(ISERROR(SEARCH("subobs",DU25)))</formula>
    </cfRule>
    <cfRule type="containsText" dxfId="431" priority="222" operator="containsText" text="Call">
      <formula>NOT(ISERROR(SEARCH("Call",DU25)))</formula>
    </cfRule>
    <cfRule type="containsText" dxfId="430" priority="224" operator="containsText" text="9ab">
      <formula>NOT(ISERROR(SEARCH("9ab",DU25)))</formula>
    </cfRule>
    <cfRule type="cellIs" dxfId="429" priority="225" stopIfTrue="1" operator="equal">
      <formula>"leave"</formula>
    </cfRule>
    <cfRule type="containsText" dxfId="428" priority="226" operator="containsText" text="ds">
      <formula>NOT(ISERROR(SEARCH("ds",DU25)))</formula>
    </cfRule>
    <cfRule type="containsText" dxfId="427" priority="227" operator="containsText" text="subobs">
      <formula>NOT(ISERROR(SEARCH("subobs",DU25)))</formula>
    </cfRule>
    <cfRule type="containsText" dxfId="426" priority="228" stopIfTrue="1" operator="containsText" text="(Call)">
      <formula>NOT(ISERROR(SEARCH("(Call)",DU25)))</formula>
    </cfRule>
    <cfRule type="containsText" dxfId="425" priority="230" operator="containsText" text="9ab">
      <formula>NOT(ISERROR(SEARCH("9ab",DU25)))</formula>
    </cfRule>
    <cfRule type="cellIs" dxfId="424" priority="231" stopIfTrue="1" operator="equal">
      <formula>"leave"</formula>
    </cfRule>
    <cfRule type="containsText" dxfId="423" priority="232" operator="containsText" text="ds">
      <formula>NOT(ISERROR(SEARCH("ds",DU25)))</formula>
    </cfRule>
    <cfRule type="containsText" dxfId="422" priority="233" operator="containsText" text="subobs">
      <formula>NOT(ISERROR(SEARCH("subobs",DU25)))</formula>
    </cfRule>
    <cfRule type="containsText" dxfId="421" priority="234" operator="containsText" text="Call">
      <formula>NOT(ISERROR(SEARCH("Call",DU25)))</formula>
    </cfRule>
    <cfRule type="cellIs" dxfId="420" priority="236" operator="equal">
      <formula>0</formula>
    </cfRule>
    <cfRule type="containsText" dxfId="419" priority="237" operator="containsText" text="9ab">
      <formula>NOT(ISERROR(SEARCH("9ab",DU25)))</formula>
    </cfRule>
    <cfRule type="cellIs" dxfId="418" priority="238" stopIfTrue="1" operator="equal">
      <formula>"leave"</formula>
    </cfRule>
    <cfRule type="containsText" dxfId="417" priority="239" operator="containsText" text="ds">
      <formula>NOT(ISERROR(SEARCH("ds",DU25)))</formula>
    </cfRule>
    <cfRule type="containsText" dxfId="416" priority="240" operator="containsText" text="subobs">
      <formula>NOT(ISERROR(SEARCH("subobs",DU25)))</formula>
    </cfRule>
    <cfRule type="containsText" dxfId="415" priority="241" operator="containsText" text="Call">
      <formula>NOT(ISERROR(SEARCH("Call",DU25)))</formula>
    </cfRule>
  </conditionalFormatting>
  <conditionalFormatting sqref="DU25">
    <cfRule type="containsText" dxfId="414" priority="243" operator="containsText" text="9ab">
      <formula>NOT(ISERROR(SEARCH("9ab",DU25)))</formula>
    </cfRule>
    <cfRule type="cellIs" dxfId="413" priority="244" stopIfTrue="1" operator="equal">
      <formula>"leave"</formula>
    </cfRule>
    <cfRule type="containsText" dxfId="412" priority="245" operator="containsText" text="ds">
      <formula>NOT(ISERROR(SEARCH("ds",DU25)))</formula>
    </cfRule>
    <cfRule type="containsText" dxfId="411" priority="246" operator="containsText" text="subobs">
      <formula>NOT(ISERROR(SEARCH("subobs",DU25)))</formula>
    </cfRule>
    <cfRule type="containsText" dxfId="410" priority="247" operator="containsText" text="Call">
      <formula>NOT(ISERROR(SEARCH("Call",DU25)))</formula>
    </cfRule>
  </conditionalFormatting>
  <conditionalFormatting sqref="EB25">
    <cfRule type="containsText" dxfId="409" priority="187" operator="containsText" text="9ab">
      <formula>NOT(ISERROR(SEARCH("9ab",EB25)))</formula>
    </cfRule>
    <cfRule type="cellIs" dxfId="408" priority="188" stopIfTrue="1" operator="equal">
      <formula>"leave"</formula>
    </cfRule>
    <cfRule type="containsText" dxfId="407" priority="189" operator="containsText" text="ds">
      <formula>NOT(ISERROR(SEARCH("ds",EB25)))</formula>
    </cfRule>
    <cfRule type="containsText" dxfId="406" priority="190" operator="containsText" text="subobs">
      <formula>NOT(ISERROR(SEARCH("subobs",EB25)))</formula>
    </cfRule>
    <cfRule type="containsText" dxfId="405" priority="191" operator="containsText" text="Call">
      <formula>NOT(ISERROR(SEARCH("Call",EB25)))</formula>
    </cfRule>
    <cfRule type="containsText" dxfId="404" priority="193" operator="containsText" text="9ab">
      <formula>NOT(ISERROR(SEARCH("9ab",EB25)))</formula>
    </cfRule>
    <cfRule type="cellIs" dxfId="403" priority="194" stopIfTrue="1" operator="equal">
      <formula>"leave"</formula>
    </cfRule>
    <cfRule type="containsText" dxfId="402" priority="195" operator="containsText" text="ds">
      <formula>NOT(ISERROR(SEARCH("ds",EB25)))</formula>
    </cfRule>
    <cfRule type="containsText" dxfId="401" priority="196" operator="containsText" text="subobs">
      <formula>NOT(ISERROR(SEARCH("subobs",EB25)))</formula>
    </cfRule>
    <cfRule type="containsText" dxfId="400" priority="197" stopIfTrue="1" operator="containsText" text="(Call)">
      <formula>NOT(ISERROR(SEARCH("(Call)",EB25)))</formula>
    </cfRule>
    <cfRule type="containsText" dxfId="399" priority="199" operator="containsText" text="9ab">
      <formula>NOT(ISERROR(SEARCH("9ab",EB25)))</formula>
    </cfRule>
    <cfRule type="cellIs" dxfId="398" priority="200" stopIfTrue="1" operator="equal">
      <formula>"leave"</formula>
    </cfRule>
    <cfRule type="containsText" dxfId="397" priority="201" operator="containsText" text="ds">
      <formula>NOT(ISERROR(SEARCH("ds",EB25)))</formula>
    </cfRule>
    <cfRule type="containsText" dxfId="396" priority="202" operator="containsText" text="subobs">
      <formula>NOT(ISERROR(SEARCH("subobs",EB25)))</formula>
    </cfRule>
    <cfRule type="containsText" dxfId="395" priority="203" operator="containsText" text="Call">
      <formula>NOT(ISERROR(SEARCH("Call",EB25)))</formula>
    </cfRule>
    <cfRule type="cellIs" dxfId="394" priority="205" operator="equal">
      <formula>0</formula>
    </cfRule>
    <cfRule type="containsText" dxfId="393" priority="206" operator="containsText" text="9ab">
      <formula>NOT(ISERROR(SEARCH("9ab",EB25)))</formula>
    </cfRule>
    <cfRule type="cellIs" dxfId="392" priority="207" stopIfTrue="1" operator="equal">
      <formula>"leave"</formula>
    </cfRule>
    <cfRule type="containsText" dxfId="391" priority="208" operator="containsText" text="ds">
      <formula>NOT(ISERROR(SEARCH("ds",EB25)))</formula>
    </cfRule>
    <cfRule type="containsText" dxfId="390" priority="209" operator="containsText" text="subobs">
      <formula>NOT(ISERROR(SEARCH("subobs",EB25)))</formula>
    </cfRule>
    <cfRule type="containsText" dxfId="389" priority="210" operator="containsText" text="Call">
      <formula>NOT(ISERROR(SEARCH("Call",EB25)))</formula>
    </cfRule>
  </conditionalFormatting>
  <conditionalFormatting sqref="EB25">
    <cfRule type="containsText" dxfId="388" priority="212" operator="containsText" text="9ab">
      <formula>NOT(ISERROR(SEARCH("9ab",EB25)))</formula>
    </cfRule>
    <cfRule type="cellIs" dxfId="387" priority="213" stopIfTrue="1" operator="equal">
      <formula>"leave"</formula>
    </cfRule>
    <cfRule type="containsText" dxfId="386" priority="214" operator="containsText" text="ds">
      <formula>NOT(ISERROR(SEARCH("ds",EB25)))</formula>
    </cfRule>
    <cfRule type="containsText" dxfId="385" priority="215" operator="containsText" text="subobs">
      <formula>NOT(ISERROR(SEARCH("subobs",EB25)))</formula>
    </cfRule>
    <cfRule type="containsText" dxfId="384" priority="216" operator="containsText" text="Call">
      <formula>NOT(ISERROR(SEARCH("Call",EB25)))</formula>
    </cfRule>
  </conditionalFormatting>
  <conditionalFormatting sqref="CS25">
    <cfRule type="containsText" dxfId="383" priority="156" operator="containsText" text="9ab">
      <formula>NOT(ISERROR(SEARCH("9ab",CS25)))</formula>
    </cfRule>
    <cfRule type="cellIs" dxfId="382" priority="157" stopIfTrue="1" operator="equal">
      <formula>"leave"</formula>
    </cfRule>
    <cfRule type="containsText" dxfId="381" priority="158" operator="containsText" text="ds">
      <formula>NOT(ISERROR(SEARCH("ds",CS25)))</formula>
    </cfRule>
    <cfRule type="containsText" dxfId="380" priority="159" operator="containsText" text="subobs">
      <formula>NOT(ISERROR(SEARCH("subobs",CS25)))</formula>
    </cfRule>
    <cfRule type="containsText" dxfId="379" priority="160" operator="containsText" text="Call">
      <formula>NOT(ISERROR(SEARCH("Call",CS25)))</formula>
    </cfRule>
    <cfRule type="containsText" dxfId="378" priority="162" operator="containsText" text="9ab">
      <formula>NOT(ISERROR(SEARCH("9ab",CS25)))</formula>
    </cfRule>
    <cfRule type="cellIs" dxfId="377" priority="163" stopIfTrue="1" operator="equal">
      <formula>"leave"</formula>
    </cfRule>
    <cfRule type="containsText" dxfId="376" priority="164" operator="containsText" text="ds">
      <formula>NOT(ISERROR(SEARCH("ds",CS25)))</formula>
    </cfRule>
    <cfRule type="containsText" dxfId="375" priority="165" operator="containsText" text="subobs">
      <formula>NOT(ISERROR(SEARCH("subobs",CS25)))</formula>
    </cfRule>
    <cfRule type="containsText" dxfId="374" priority="166" stopIfTrue="1" operator="containsText" text="(Call)">
      <formula>NOT(ISERROR(SEARCH("(Call)",CS25)))</formula>
    </cfRule>
    <cfRule type="containsText" dxfId="373" priority="168" operator="containsText" text="9ab">
      <formula>NOT(ISERROR(SEARCH("9ab",CS25)))</formula>
    </cfRule>
    <cfRule type="cellIs" dxfId="372" priority="169" stopIfTrue="1" operator="equal">
      <formula>"leave"</formula>
    </cfRule>
    <cfRule type="containsText" dxfId="371" priority="170" operator="containsText" text="ds">
      <formula>NOT(ISERROR(SEARCH("ds",CS25)))</formula>
    </cfRule>
    <cfRule type="containsText" dxfId="370" priority="171" operator="containsText" text="subobs">
      <formula>NOT(ISERROR(SEARCH("subobs",CS25)))</formula>
    </cfRule>
    <cfRule type="containsText" dxfId="369" priority="172" operator="containsText" text="Call">
      <formula>NOT(ISERROR(SEARCH("Call",CS25)))</formula>
    </cfRule>
    <cfRule type="cellIs" dxfId="368" priority="174" operator="equal">
      <formula>0</formula>
    </cfRule>
    <cfRule type="containsText" dxfId="367" priority="175" operator="containsText" text="9ab">
      <formula>NOT(ISERROR(SEARCH("9ab",CS25)))</formula>
    </cfRule>
    <cfRule type="cellIs" dxfId="366" priority="176" stopIfTrue="1" operator="equal">
      <formula>"leave"</formula>
    </cfRule>
    <cfRule type="containsText" dxfId="365" priority="177" operator="containsText" text="ds">
      <formula>NOT(ISERROR(SEARCH("ds",CS25)))</formula>
    </cfRule>
    <cfRule type="containsText" dxfId="364" priority="178" operator="containsText" text="subobs">
      <formula>NOT(ISERROR(SEARCH("subobs",CS25)))</formula>
    </cfRule>
    <cfRule type="containsText" dxfId="363" priority="179" operator="containsText" text="Call">
      <formula>NOT(ISERROR(SEARCH("Call",CS25)))</formula>
    </cfRule>
  </conditionalFormatting>
  <conditionalFormatting sqref="CS25">
    <cfRule type="containsText" dxfId="362" priority="181" operator="containsText" text="9ab">
      <formula>NOT(ISERROR(SEARCH("9ab",CS25)))</formula>
    </cfRule>
    <cfRule type="cellIs" dxfId="361" priority="182" stopIfTrue="1" operator="equal">
      <formula>"leave"</formula>
    </cfRule>
    <cfRule type="containsText" dxfId="360" priority="183" operator="containsText" text="ds">
      <formula>NOT(ISERROR(SEARCH("ds",CS25)))</formula>
    </cfRule>
    <cfRule type="containsText" dxfId="359" priority="184" operator="containsText" text="subobs">
      <formula>NOT(ISERROR(SEARCH("subobs",CS25)))</formula>
    </cfRule>
    <cfRule type="containsText" dxfId="358" priority="185" operator="containsText" text="Call">
      <formula>NOT(ISERROR(SEARCH("Call",CS25)))</formula>
    </cfRule>
  </conditionalFormatting>
  <conditionalFormatting sqref="CZ25">
    <cfRule type="containsText" dxfId="357" priority="125" operator="containsText" text="9ab">
      <formula>NOT(ISERROR(SEARCH("9ab",CZ25)))</formula>
    </cfRule>
    <cfRule type="cellIs" dxfId="356" priority="126" stopIfTrue="1" operator="equal">
      <formula>"leave"</formula>
    </cfRule>
    <cfRule type="containsText" dxfId="355" priority="127" operator="containsText" text="ds">
      <formula>NOT(ISERROR(SEARCH("ds",CZ25)))</formula>
    </cfRule>
    <cfRule type="containsText" dxfId="354" priority="128" operator="containsText" text="subobs">
      <formula>NOT(ISERROR(SEARCH("subobs",CZ25)))</formula>
    </cfRule>
    <cfRule type="containsText" dxfId="353" priority="129" operator="containsText" text="Call">
      <formula>NOT(ISERROR(SEARCH("Call",CZ25)))</formula>
    </cfRule>
    <cfRule type="containsText" dxfId="352" priority="131" operator="containsText" text="9ab">
      <formula>NOT(ISERROR(SEARCH("9ab",CZ25)))</formula>
    </cfRule>
    <cfRule type="cellIs" dxfId="351" priority="132" stopIfTrue="1" operator="equal">
      <formula>"leave"</formula>
    </cfRule>
    <cfRule type="containsText" dxfId="350" priority="133" operator="containsText" text="ds">
      <formula>NOT(ISERROR(SEARCH("ds",CZ25)))</formula>
    </cfRule>
    <cfRule type="containsText" dxfId="349" priority="134" operator="containsText" text="subobs">
      <formula>NOT(ISERROR(SEARCH("subobs",CZ25)))</formula>
    </cfRule>
    <cfRule type="containsText" dxfId="348" priority="135" stopIfTrue="1" operator="containsText" text="(Call)">
      <formula>NOT(ISERROR(SEARCH("(Call)",CZ25)))</formula>
    </cfRule>
    <cfRule type="containsText" dxfId="347" priority="137" operator="containsText" text="9ab">
      <formula>NOT(ISERROR(SEARCH("9ab",CZ25)))</formula>
    </cfRule>
    <cfRule type="cellIs" dxfId="346" priority="138" stopIfTrue="1" operator="equal">
      <formula>"leave"</formula>
    </cfRule>
    <cfRule type="containsText" dxfId="345" priority="139" operator="containsText" text="ds">
      <formula>NOT(ISERROR(SEARCH("ds",CZ25)))</formula>
    </cfRule>
    <cfRule type="containsText" dxfId="344" priority="140" operator="containsText" text="subobs">
      <formula>NOT(ISERROR(SEARCH("subobs",CZ25)))</formula>
    </cfRule>
    <cfRule type="containsText" dxfId="343" priority="141" operator="containsText" text="Call">
      <formula>NOT(ISERROR(SEARCH("Call",CZ25)))</formula>
    </cfRule>
    <cfRule type="cellIs" dxfId="342" priority="143" operator="equal">
      <formula>0</formula>
    </cfRule>
    <cfRule type="containsText" dxfId="341" priority="144" operator="containsText" text="9ab">
      <formula>NOT(ISERROR(SEARCH("9ab",CZ25)))</formula>
    </cfRule>
    <cfRule type="cellIs" dxfId="340" priority="145" stopIfTrue="1" operator="equal">
      <formula>"leave"</formula>
    </cfRule>
    <cfRule type="containsText" dxfId="339" priority="146" operator="containsText" text="ds">
      <formula>NOT(ISERROR(SEARCH("ds",CZ25)))</formula>
    </cfRule>
    <cfRule type="containsText" dxfId="338" priority="147" operator="containsText" text="subobs">
      <formula>NOT(ISERROR(SEARCH("subobs",CZ25)))</formula>
    </cfRule>
    <cfRule type="containsText" dxfId="337" priority="148" operator="containsText" text="Call">
      <formula>NOT(ISERROR(SEARCH("Call",CZ25)))</formula>
    </cfRule>
  </conditionalFormatting>
  <conditionalFormatting sqref="CZ25">
    <cfRule type="containsText" dxfId="336" priority="150" operator="containsText" text="9ab">
      <formula>NOT(ISERROR(SEARCH("9ab",CZ25)))</formula>
    </cfRule>
    <cfRule type="cellIs" dxfId="335" priority="151" stopIfTrue="1" operator="equal">
      <formula>"leave"</formula>
    </cfRule>
    <cfRule type="containsText" dxfId="334" priority="152" operator="containsText" text="ds">
      <formula>NOT(ISERROR(SEARCH("ds",CZ25)))</formula>
    </cfRule>
    <cfRule type="containsText" dxfId="333" priority="153" operator="containsText" text="subobs">
      <formula>NOT(ISERROR(SEARCH("subobs",CZ25)))</formula>
    </cfRule>
    <cfRule type="containsText" dxfId="332" priority="154" operator="containsText" text="Call">
      <formula>NOT(ISERROR(SEARCH("Call",CZ25)))</formula>
    </cfRule>
  </conditionalFormatting>
  <conditionalFormatting sqref="DG25">
    <cfRule type="containsText" dxfId="331" priority="94" operator="containsText" text="9ab">
      <formula>NOT(ISERROR(SEARCH("9ab",DG25)))</formula>
    </cfRule>
    <cfRule type="cellIs" dxfId="330" priority="95" stopIfTrue="1" operator="equal">
      <formula>"leave"</formula>
    </cfRule>
    <cfRule type="containsText" dxfId="329" priority="96" operator="containsText" text="ds">
      <formula>NOT(ISERROR(SEARCH("ds",DG25)))</formula>
    </cfRule>
    <cfRule type="containsText" dxfId="328" priority="97" operator="containsText" text="subobs">
      <formula>NOT(ISERROR(SEARCH("subobs",DG25)))</formula>
    </cfRule>
    <cfRule type="containsText" dxfId="327" priority="98" operator="containsText" text="Call">
      <formula>NOT(ISERROR(SEARCH("Call",DG25)))</formula>
    </cfRule>
    <cfRule type="containsText" dxfId="326" priority="100" operator="containsText" text="9ab">
      <formula>NOT(ISERROR(SEARCH("9ab",DG25)))</formula>
    </cfRule>
    <cfRule type="cellIs" dxfId="325" priority="101" stopIfTrue="1" operator="equal">
      <formula>"leave"</formula>
    </cfRule>
    <cfRule type="containsText" dxfId="324" priority="102" operator="containsText" text="ds">
      <formula>NOT(ISERROR(SEARCH("ds",DG25)))</formula>
    </cfRule>
    <cfRule type="containsText" dxfId="323" priority="103" operator="containsText" text="subobs">
      <formula>NOT(ISERROR(SEARCH("subobs",DG25)))</formula>
    </cfRule>
    <cfRule type="containsText" dxfId="322" priority="104" stopIfTrue="1" operator="containsText" text="(Call)">
      <formula>NOT(ISERROR(SEARCH("(Call)",DG25)))</formula>
    </cfRule>
    <cfRule type="containsText" dxfId="321" priority="106" operator="containsText" text="9ab">
      <formula>NOT(ISERROR(SEARCH("9ab",DG25)))</formula>
    </cfRule>
    <cfRule type="cellIs" dxfId="320" priority="107" stopIfTrue="1" operator="equal">
      <formula>"leave"</formula>
    </cfRule>
    <cfRule type="containsText" dxfId="319" priority="108" operator="containsText" text="ds">
      <formula>NOT(ISERROR(SEARCH("ds",DG25)))</formula>
    </cfRule>
    <cfRule type="containsText" dxfId="318" priority="109" operator="containsText" text="subobs">
      <formula>NOT(ISERROR(SEARCH("subobs",DG25)))</formula>
    </cfRule>
    <cfRule type="containsText" dxfId="317" priority="110" operator="containsText" text="Call">
      <formula>NOT(ISERROR(SEARCH("Call",DG25)))</formula>
    </cfRule>
    <cfRule type="cellIs" dxfId="316" priority="112" operator="equal">
      <formula>0</formula>
    </cfRule>
    <cfRule type="containsText" dxfId="315" priority="113" operator="containsText" text="9ab">
      <formula>NOT(ISERROR(SEARCH("9ab",DG25)))</formula>
    </cfRule>
    <cfRule type="cellIs" dxfId="314" priority="114" stopIfTrue="1" operator="equal">
      <formula>"leave"</formula>
    </cfRule>
    <cfRule type="containsText" dxfId="313" priority="115" operator="containsText" text="ds">
      <formula>NOT(ISERROR(SEARCH("ds",DG25)))</formula>
    </cfRule>
    <cfRule type="containsText" dxfId="312" priority="116" operator="containsText" text="subobs">
      <formula>NOT(ISERROR(SEARCH("subobs",DG25)))</formula>
    </cfRule>
    <cfRule type="containsText" dxfId="311" priority="117" operator="containsText" text="Call">
      <formula>NOT(ISERROR(SEARCH("Call",DG25)))</formula>
    </cfRule>
  </conditionalFormatting>
  <conditionalFormatting sqref="DG25">
    <cfRule type="containsText" dxfId="310" priority="119" operator="containsText" text="9ab">
      <formula>NOT(ISERROR(SEARCH("9ab",DG25)))</formula>
    </cfRule>
    <cfRule type="cellIs" dxfId="309" priority="120" stopIfTrue="1" operator="equal">
      <formula>"leave"</formula>
    </cfRule>
    <cfRule type="containsText" dxfId="308" priority="121" operator="containsText" text="ds">
      <formula>NOT(ISERROR(SEARCH("ds",DG25)))</formula>
    </cfRule>
    <cfRule type="containsText" dxfId="307" priority="122" operator="containsText" text="subobs">
      <formula>NOT(ISERROR(SEARCH("subobs",DG25)))</formula>
    </cfRule>
    <cfRule type="containsText" dxfId="306" priority="123" operator="containsText" text="Call">
      <formula>NOT(ISERROR(SEARCH("Call",DG25)))</formula>
    </cfRule>
  </conditionalFormatting>
  <conditionalFormatting sqref="DN25">
    <cfRule type="containsText" dxfId="305" priority="63" operator="containsText" text="9ab">
      <formula>NOT(ISERROR(SEARCH("9ab",DN25)))</formula>
    </cfRule>
    <cfRule type="cellIs" dxfId="304" priority="64" stopIfTrue="1" operator="equal">
      <formula>"leave"</formula>
    </cfRule>
    <cfRule type="containsText" dxfId="303" priority="65" operator="containsText" text="ds">
      <formula>NOT(ISERROR(SEARCH("ds",DN25)))</formula>
    </cfRule>
    <cfRule type="containsText" dxfId="302" priority="66" operator="containsText" text="subobs">
      <formula>NOT(ISERROR(SEARCH("subobs",DN25)))</formula>
    </cfRule>
    <cfRule type="containsText" dxfId="301" priority="67" operator="containsText" text="Call">
      <formula>NOT(ISERROR(SEARCH("Call",DN25)))</formula>
    </cfRule>
    <cfRule type="containsText" dxfId="300" priority="69" operator="containsText" text="9ab">
      <formula>NOT(ISERROR(SEARCH("9ab",DN25)))</formula>
    </cfRule>
    <cfRule type="cellIs" dxfId="299" priority="70" stopIfTrue="1" operator="equal">
      <formula>"leave"</formula>
    </cfRule>
    <cfRule type="containsText" dxfId="298" priority="71" operator="containsText" text="ds">
      <formula>NOT(ISERROR(SEARCH("ds",DN25)))</formula>
    </cfRule>
    <cfRule type="containsText" dxfId="297" priority="72" operator="containsText" text="subobs">
      <formula>NOT(ISERROR(SEARCH("subobs",DN25)))</formula>
    </cfRule>
    <cfRule type="containsText" dxfId="296" priority="73" stopIfTrue="1" operator="containsText" text="(Call)">
      <formula>NOT(ISERROR(SEARCH("(Call)",DN25)))</formula>
    </cfRule>
    <cfRule type="containsText" dxfId="295" priority="75" operator="containsText" text="9ab">
      <formula>NOT(ISERROR(SEARCH("9ab",DN25)))</formula>
    </cfRule>
    <cfRule type="cellIs" dxfId="294" priority="76" stopIfTrue="1" operator="equal">
      <formula>"leave"</formula>
    </cfRule>
    <cfRule type="containsText" dxfId="293" priority="77" operator="containsText" text="ds">
      <formula>NOT(ISERROR(SEARCH("ds",DN25)))</formula>
    </cfRule>
    <cfRule type="containsText" dxfId="292" priority="78" operator="containsText" text="subobs">
      <formula>NOT(ISERROR(SEARCH("subobs",DN25)))</formula>
    </cfRule>
    <cfRule type="containsText" dxfId="291" priority="79" operator="containsText" text="Call">
      <formula>NOT(ISERROR(SEARCH("Call",DN25)))</formula>
    </cfRule>
    <cfRule type="cellIs" dxfId="290" priority="81" operator="equal">
      <formula>0</formula>
    </cfRule>
    <cfRule type="containsText" dxfId="289" priority="82" operator="containsText" text="9ab">
      <formula>NOT(ISERROR(SEARCH("9ab",DN25)))</formula>
    </cfRule>
    <cfRule type="cellIs" dxfId="288" priority="83" stopIfTrue="1" operator="equal">
      <formula>"leave"</formula>
    </cfRule>
    <cfRule type="containsText" dxfId="287" priority="84" operator="containsText" text="ds">
      <formula>NOT(ISERROR(SEARCH("ds",DN25)))</formula>
    </cfRule>
    <cfRule type="containsText" dxfId="286" priority="85" operator="containsText" text="subobs">
      <formula>NOT(ISERROR(SEARCH("subobs",DN25)))</formula>
    </cfRule>
    <cfRule type="containsText" dxfId="285" priority="86" operator="containsText" text="Call">
      <formula>NOT(ISERROR(SEARCH("Call",DN25)))</formula>
    </cfRule>
  </conditionalFormatting>
  <conditionalFormatting sqref="DN25">
    <cfRule type="containsText" dxfId="284" priority="88" operator="containsText" text="9ab">
      <formula>NOT(ISERROR(SEARCH("9ab",DN25)))</formula>
    </cfRule>
    <cfRule type="cellIs" dxfId="283" priority="89" stopIfTrue="1" operator="equal">
      <formula>"leave"</formula>
    </cfRule>
    <cfRule type="containsText" dxfId="282" priority="90" operator="containsText" text="ds">
      <formula>NOT(ISERROR(SEARCH("ds",DN25)))</formula>
    </cfRule>
    <cfRule type="containsText" dxfId="281" priority="91" operator="containsText" text="subobs">
      <formula>NOT(ISERROR(SEARCH("subobs",DN25)))</formula>
    </cfRule>
    <cfRule type="containsText" dxfId="280" priority="92" operator="containsText" text="Call">
      <formula>NOT(ISERROR(SEARCH("Call",DN25)))</formula>
    </cfRule>
  </conditionalFormatting>
  <conditionalFormatting sqref="DU25">
    <cfRule type="containsText" dxfId="279" priority="32" operator="containsText" text="9ab">
      <formula>NOT(ISERROR(SEARCH("9ab",DU25)))</formula>
    </cfRule>
    <cfRule type="cellIs" dxfId="278" priority="33" stopIfTrue="1" operator="equal">
      <formula>"leave"</formula>
    </cfRule>
    <cfRule type="containsText" dxfId="277" priority="34" operator="containsText" text="ds">
      <formula>NOT(ISERROR(SEARCH("ds",DU25)))</formula>
    </cfRule>
    <cfRule type="containsText" dxfId="276" priority="35" operator="containsText" text="subobs">
      <formula>NOT(ISERROR(SEARCH("subobs",DU25)))</formula>
    </cfRule>
    <cfRule type="containsText" dxfId="275" priority="36" operator="containsText" text="Call">
      <formula>NOT(ISERROR(SEARCH("Call",DU25)))</formula>
    </cfRule>
    <cfRule type="containsText" dxfId="274" priority="38" operator="containsText" text="9ab">
      <formula>NOT(ISERROR(SEARCH("9ab",DU25)))</formula>
    </cfRule>
    <cfRule type="cellIs" dxfId="273" priority="39" stopIfTrue="1" operator="equal">
      <formula>"leave"</formula>
    </cfRule>
    <cfRule type="containsText" dxfId="272" priority="40" operator="containsText" text="ds">
      <formula>NOT(ISERROR(SEARCH("ds",DU25)))</formula>
    </cfRule>
    <cfRule type="containsText" dxfId="271" priority="41" operator="containsText" text="subobs">
      <formula>NOT(ISERROR(SEARCH("subobs",DU25)))</formula>
    </cfRule>
    <cfRule type="containsText" dxfId="270" priority="42" stopIfTrue="1" operator="containsText" text="(Call)">
      <formula>NOT(ISERROR(SEARCH("(Call)",DU25)))</formula>
    </cfRule>
    <cfRule type="containsText" dxfId="269" priority="44" operator="containsText" text="9ab">
      <formula>NOT(ISERROR(SEARCH("9ab",DU25)))</formula>
    </cfRule>
    <cfRule type="cellIs" dxfId="268" priority="45" stopIfTrue="1" operator="equal">
      <formula>"leave"</formula>
    </cfRule>
    <cfRule type="containsText" dxfId="267" priority="46" operator="containsText" text="ds">
      <formula>NOT(ISERROR(SEARCH("ds",DU25)))</formula>
    </cfRule>
    <cfRule type="containsText" dxfId="266" priority="47" operator="containsText" text="subobs">
      <formula>NOT(ISERROR(SEARCH("subobs",DU25)))</formula>
    </cfRule>
    <cfRule type="containsText" dxfId="265" priority="48" operator="containsText" text="Call">
      <formula>NOT(ISERROR(SEARCH("Call",DU25)))</formula>
    </cfRule>
    <cfRule type="cellIs" dxfId="264" priority="50" operator="equal">
      <formula>0</formula>
    </cfRule>
    <cfRule type="containsText" dxfId="263" priority="51" operator="containsText" text="9ab">
      <formula>NOT(ISERROR(SEARCH("9ab",DU25)))</formula>
    </cfRule>
    <cfRule type="cellIs" dxfId="262" priority="52" stopIfTrue="1" operator="equal">
      <formula>"leave"</formula>
    </cfRule>
    <cfRule type="containsText" dxfId="261" priority="53" operator="containsText" text="ds">
      <formula>NOT(ISERROR(SEARCH("ds",DU25)))</formula>
    </cfRule>
    <cfRule type="containsText" dxfId="260" priority="54" operator="containsText" text="subobs">
      <formula>NOT(ISERROR(SEARCH("subobs",DU25)))</formula>
    </cfRule>
    <cfRule type="containsText" dxfId="259" priority="55" operator="containsText" text="Call">
      <formula>NOT(ISERROR(SEARCH("Call",DU25)))</formula>
    </cfRule>
  </conditionalFormatting>
  <conditionalFormatting sqref="DU25">
    <cfRule type="containsText" dxfId="258" priority="57" operator="containsText" text="9ab">
      <formula>NOT(ISERROR(SEARCH("9ab",DU25)))</formula>
    </cfRule>
    <cfRule type="cellIs" dxfId="257" priority="58" stopIfTrue="1" operator="equal">
      <formula>"leave"</formula>
    </cfRule>
    <cfRule type="containsText" dxfId="256" priority="59" operator="containsText" text="ds">
      <formula>NOT(ISERROR(SEARCH("ds",DU25)))</formula>
    </cfRule>
    <cfRule type="containsText" dxfId="255" priority="60" operator="containsText" text="subobs">
      <formula>NOT(ISERROR(SEARCH("subobs",DU25)))</formula>
    </cfRule>
    <cfRule type="containsText" dxfId="254" priority="61" operator="containsText" text="Call">
      <formula>NOT(ISERROR(SEARCH("Call",DU25)))</formula>
    </cfRule>
  </conditionalFormatting>
  <conditionalFormatting sqref="EB25">
    <cfRule type="containsText" dxfId="253" priority="1" operator="containsText" text="9ab">
      <formula>NOT(ISERROR(SEARCH("9ab",EB25)))</formula>
    </cfRule>
    <cfRule type="cellIs" dxfId="252" priority="2" stopIfTrue="1" operator="equal">
      <formula>"leave"</formula>
    </cfRule>
    <cfRule type="containsText" dxfId="251" priority="3" operator="containsText" text="ds">
      <formula>NOT(ISERROR(SEARCH("ds",EB25)))</formula>
    </cfRule>
    <cfRule type="containsText" dxfId="250" priority="4" operator="containsText" text="subobs">
      <formula>NOT(ISERROR(SEARCH("subobs",EB25)))</formula>
    </cfRule>
    <cfRule type="containsText" dxfId="249" priority="5" operator="containsText" text="Call">
      <formula>NOT(ISERROR(SEARCH("Call",EB25)))</formula>
    </cfRule>
    <cfRule type="containsText" dxfId="248" priority="7" operator="containsText" text="9ab">
      <formula>NOT(ISERROR(SEARCH("9ab",EB25)))</formula>
    </cfRule>
    <cfRule type="cellIs" dxfId="247" priority="8" stopIfTrue="1" operator="equal">
      <formula>"leave"</formula>
    </cfRule>
    <cfRule type="containsText" dxfId="246" priority="9" operator="containsText" text="ds">
      <formula>NOT(ISERROR(SEARCH("ds",EB25)))</formula>
    </cfRule>
    <cfRule type="containsText" dxfId="245" priority="10" operator="containsText" text="subobs">
      <formula>NOT(ISERROR(SEARCH("subobs",EB25)))</formula>
    </cfRule>
    <cfRule type="containsText" dxfId="244" priority="11" stopIfTrue="1" operator="containsText" text="(Call)">
      <formula>NOT(ISERROR(SEARCH("(Call)",EB25)))</formula>
    </cfRule>
    <cfRule type="containsText" dxfId="243" priority="13" operator="containsText" text="9ab">
      <formula>NOT(ISERROR(SEARCH("9ab",EB25)))</formula>
    </cfRule>
    <cfRule type="cellIs" dxfId="242" priority="14" stopIfTrue="1" operator="equal">
      <formula>"leave"</formula>
    </cfRule>
    <cfRule type="containsText" dxfId="241" priority="15" operator="containsText" text="ds">
      <formula>NOT(ISERROR(SEARCH("ds",EB25)))</formula>
    </cfRule>
    <cfRule type="containsText" dxfId="240" priority="16" operator="containsText" text="subobs">
      <formula>NOT(ISERROR(SEARCH("subobs",EB25)))</formula>
    </cfRule>
    <cfRule type="containsText" dxfId="239" priority="17" operator="containsText" text="Call">
      <formula>NOT(ISERROR(SEARCH("Call",EB25)))</formula>
    </cfRule>
    <cfRule type="cellIs" dxfId="238" priority="19" operator="equal">
      <formula>0</formula>
    </cfRule>
    <cfRule type="containsText" dxfId="237" priority="20" operator="containsText" text="9ab">
      <formula>NOT(ISERROR(SEARCH("9ab",EB25)))</formula>
    </cfRule>
    <cfRule type="cellIs" dxfId="236" priority="21" stopIfTrue="1" operator="equal">
      <formula>"leave"</formula>
    </cfRule>
    <cfRule type="containsText" dxfId="235" priority="22" operator="containsText" text="ds">
      <formula>NOT(ISERROR(SEARCH("ds",EB25)))</formula>
    </cfRule>
    <cfRule type="containsText" dxfId="234" priority="23" operator="containsText" text="subobs">
      <formula>NOT(ISERROR(SEARCH("subobs",EB25)))</formula>
    </cfRule>
    <cfRule type="containsText" dxfId="233" priority="24" operator="containsText" text="Call">
      <formula>NOT(ISERROR(SEARCH("Call",EB25)))</formula>
    </cfRule>
  </conditionalFormatting>
  <conditionalFormatting sqref="EB25">
    <cfRule type="containsText" dxfId="232" priority="26" operator="containsText" text="9ab">
      <formula>NOT(ISERROR(SEARCH("9ab",EB25)))</formula>
    </cfRule>
    <cfRule type="cellIs" dxfId="231" priority="27" stopIfTrue="1" operator="equal">
      <formula>"leave"</formula>
    </cfRule>
    <cfRule type="containsText" dxfId="230" priority="28" operator="containsText" text="ds">
      <formula>NOT(ISERROR(SEARCH("ds",EB25)))</formula>
    </cfRule>
    <cfRule type="containsText" dxfId="229" priority="29" operator="containsText" text="subobs">
      <formula>NOT(ISERROR(SEARCH("subobs",EB25)))</formula>
    </cfRule>
    <cfRule type="containsText" dxfId="228" priority="30" operator="containsText" text="Call">
      <formula>NOT(ISERROR(SEARCH("Call",EB25)))</formula>
    </cfRule>
  </conditionalFormatting>
  <pageMargins left="0.75" right="0.75" top="1" bottom="1" header="0.5" footer="0.5"/>
  <pageSetup paperSize="9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lushInputsToModel">
                <anchor moveWithCells="1" sizeWithCells="1">
                  <from>
                    <xdr:col>3</xdr:col>
                    <xdr:colOff>228600</xdr:colOff>
                    <xdr:row>14</xdr:row>
                    <xdr:rowOff>76200</xdr:rowOff>
                  </from>
                  <to>
                    <xdr:col>5</xdr:col>
                    <xdr:colOff>393700</xdr:colOff>
                    <xdr:row>16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adOutputFromModel">
                <anchor moveWithCells="1" sizeWithCells="1">
                  <from>
                    <xdr:col>5</xdr:col>
                    <xdr:colOff>647700</xdr:colOff>
                    <xdr:row>14</xdr:row>
                    <xdr:rowOff>63500</xdr:rowOff>
                  </from>
                  <to>
                    <xdr:col>8</xdr:col>
                    <xdr:colOff>152400</xdr:colOff>
                    <xdr:row>16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635" operator="containsText" id="{61957C04-71F7-094E-9665-2861E1C450F2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641" operator="containsText" id="{2E6A716C-4374-D446-ADDC-722623748603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647" operator="containsText" id="{5A330C87-5F47-1C4E-A19C-57E4EDCA3D3C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654" operator="containsText" id="{621C500F-866D-2F4C-9F97-58CD1631DEF6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A19:A25</xm:sqref>
        </x14:conditionalFormatting>
        <x14:conditionalFormatting xmlns:xm="http://schemas.microsoft.com/office/excel/2006/main">
          <x14:cfRule type="containsText" priority="4205" operator="containsText" id="{0775F9B2-A437-B245-97E3-2156654ACCB3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A19:A25</xm:sqref>
        </x14:conditionalFormatting>
        <x14:conditionalFormatting xmlns:xm="http://schemas.microsoft.com/office/excel/2006/main">
          <x14:cfRule type="containsText" priority="4153" operator="containsText" id="{915D4C87-272A-3045-B1E0-B1A79E344015}">
            <xm:f>NOT(ISERROR(SEARCH("-",F19)))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179" operator="containsText" id="{F5C39F70-415F-6E4B-9C64-288DC5357AC4}">
            <xm:f>NOT(ISERROR(SEARCH("-",F19)))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F19:F25</xm:sqref>
        </x14:conditionalFormatting>
        <x14:conditionalFormatting xmlns:xm="http://schemas.microsoft.com/office/excel/2006/main">
          <x14:cfRule type="containsText" priority="4159" operator="containsText" id="{FA8BF08D-3798-5B44-BDB3-4F70092A182A}">
            <xm:f>NOT(ISERROR(SEARCH("-",F19)))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223" operator="containsText" id="{55FB8553-7950-FC4E-A007-E11CD5F118F8}">
            <xm:f>NOT(ISERROR(SEARCH("-",F19)))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F19:F26</xm:sqref>
        </x14:conditionalFormatting>
        <x14:conditionalFormatting xmlns:xm="http://schemas.microsoft.com/office/excel/2006/main">
          <x14:cfRule type="containsText" priority="3899" operator="containsText" id="{A165993B-95EF-6D48-959B-B5C4717D63AA}">
            <xm:f>NOT(ISERROR(SEARCH("-",F28)))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923" operator="containsText" id="{264DFDBB-1E81-1A47-9324-E54BB6B939B4}">
            <xm:f>NOT(ISERROR(SEARCH("-",F28)))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F28:F33</xm:sqref>
        </x14:conditionalFormatting>
        <x14:conditionalFormatting xmlns:xm="http://schemas.microsoft.com/office/excel/2006/main">
          <x14:cfRule type="containsText" priority="3905" operator="containsText" id="{283F1970-A9EE-5D41-87FB-22B930C00A1B}">
            <xm:f>NOT(ISERROR(SEARCH("-",F28)))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966" operator="containsText" id="{BDAD443B-4F34-6B42-A864-CEF1E819F38E}">
            <xm:f>NOT(ISERROR(SEARCH("-",F28)))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F28:F35</xm:sqref>
        </x14:conditionalFormatting>
        <x14:conditionalFormatting xmlns:xm="http://schemas.microsoft.com/office/excel/2006/main">
          <x14:cfRule type="containsText" priority="3452" operator="containsText" id="{E4802193-BB84-2D44-8BF1-96841C4A4F33}">
            <xm:f>NOT(ISERROR(SEARCH("-",F37)))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458" operator="containsText" id="{F20D2922-F6CC-984C-BCEC-621D25A94132}">
            <xm:f>NOT(ISERROR(SEARCH("-",F37)))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464" operator="containsText" id="{6442EA0A-4A59-604F-83DF-EB3EA1682658}">
            <xm:f>NOT(ISERROR(SEARCH("-",F37)))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470" operator="containsText" id="{7DCB52CE-9585-0644-AFA5-5475E2116FCF}">
            <xm:f>NOT(ISERROR(SEARCH("-",F37)))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476" operator="containsText" id="{AD95657B-A108-1C43-AFB1-94A6A29D1829}">
            <xm:f>NOT(ISERROR(SEARCH("-",F37)))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484" operator="containsText" id="{AF11E378-3620-C14E-BB36-12C77A05F7D0}">
            <xm:f>NOT(ISERROR(SEARCH("-",F37)))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491" operator="containsText" id="{D432C26C-DE79-764A-B468-02DE503BAA2B}">
            <xm:f>NOT(ISERROR(SEARCH("-",F37)))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F37:F42</xm:sqref>
        </x14:conditionalFormatting>
        <x14:conditionalFormatting xmlns:xm="http://schemas.microsoft.com/office/excel/2006/main">
          <x14:cfRule type="containsText" priority="4129" operator="containsText" id="{A2F405D8-EAB9-DD4D-95DD-443F5BB2A106}">
            <xm:f>NOT(ISERROR(SEARCH("-",M19)))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141" operator="containsText" id="{4342D060-2436-AC47-94D1-67B791D646E5}">
            <xm:f>NOT(ISERROR(SEARCH("-",M19)))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M19:M25</xm:sqref>
        </x14:conditionalFormatting>
        <x14:conditionalFormatting xmlns:xm="http://schemas.microsoft.com/office/excel/2006/main">
          <x14:cfRule type="containsText" priority="4135" operator="containsText" id="{DCA2B006-9805-9742-8CD6-E3A2BEE43EE7}">
            <xm:f>NOT(ISERROR(SEARCH("-",M19)))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147" operator="containsText" id="{6AB2E20E-D400-9143-AC89-5B9F154BC0C9}">
            <xm:f>NOT(ISERROR(SEARCH("-",M19)))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217" operator="containsText" id="{D2AE39F8-32A4-784E-B0E0-B09912A7A2C9}">
            <xm:f>NOT(ISERROR(SEARCH("-",M19)))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M19:M26</xm:sqref>
        </x14:conditionalFormatting>
        <x14:conditionalFormatting xmlns:xm="http://schemas.microsoft.com/office/excel/2006/main">
          <x14:cfRule type="containsText" priority="3875" operator="containsText" id="{E150C27B-1FEB-3E47-B599-FED1703BB4D2}">
            <xm:f>NOT(ISERROR(SEARCH("-",M28)))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887" operator="containsText" id="{D615B9E8-B6AE-EF41-9D0D-6EC121BE1CD0}">
            <xm:f>NOT(ISERROR(SEARCH("-",M28)))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M28:M33</xm:sqref>
        </x14:conditionalFormatting>
        <x14:conditionalFormatting xmlns:xm="http://schemas.microsoft.com/office/excel/2006/main">
          <x14:cfRule type="containsText" priority="3881" operator="containsText" id="{88CE2624-AEB4-6C43-A266-FFBE9B81FE1C}">
            <xm:f>NOT(ISERROR(SEARCH("-",M28)))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893" operator="containsText" id="{3890ADFA-A0E4-2A49-9D85-A3131724AA0B}">
            <xm:f>NOT(ISERROR(SEARCH("-",M28)))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960" operator="containsText" id="{B0CF1C5C-83D6-A845-8AB6-FE7AFA154314}">
            <xm:f>NOT(ISERROR(SEARCH("-",M28)))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M28:M35</xm:sqref>
        </x14:conditionalFormatting>
        <x14:conditionalFormatting xmlns:xm="http://schemas.microsoft.com/office/excel/2006/main">
          <x14:cfRule type="containsText" priority="3386" operator="containsText" id="{B26B4FA1-73C2-2449-95C3-7E0F3ADF074A}">
            <xm:f>NOT(ISERROR(SEARCH("-",M37)))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392" operator="containsText" id="{FA3C4F53-087A-8F44-92E8-AED125E3B6AB}">
            <xm:f>NOT(ISERROR(SEARCH("-",M37)))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398" operator="containsText" id="{52E1D5B5-903C-7240-B92D-6EAFD6A2C3B8}">
            <xm:f>NOT(ISERROR(SEARCH("-",M37)))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404" operator="containsText" id="{9EBFFA61-2A07-9F49-AD82-55823F73988E}">
            <xm:f>NOT(ISERROR(SEARCH("-",M37)))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410" operator="containsText" id="{E903A386-4C64-8C48-9908-591EE29882C8}">
            <xm:f>NOT(ISERROR(SEARCH("-",M37)))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418" operator="containsText" id="{59353037-1765-EC4B-AE44-FB22BD9A1BB2}">
            <xm:f>NOT(ISERROR(SEARCH("-",M37)))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425" operator="containsText" id="{8DC0A8F4-B4BF-4742-8ADA-13CF36423487}">
            <xm:f>NOT(ISERROR(SEARCH("-",M37)))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M37:M42</xm:sqref>
        </x14:conditionalFormatting>
        <x14:conditionalFormatting xmlns:xm="http://schemas.microsoft.com/office/excel/2006/main">
          <x14:cfRule type="containsText" priority="4105" operator="containsText" id="{9D02D169-B382-2F42-8845-2BA8250BA25D}">
            <xm:f>NOT(ISERROR(SEARCH("-",T19)))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117" operator="containsText" id="{9138764B-475C-B948-85A5-E4D37ADC6AFC}">
            <xm:f>NOT(ISERROR(SEARCH("-",T19)))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T19:T25</xm:sqref>
        </x14:conditionalFormatting>
        <x14:conditionalFormatting xmlns:xm="http://schemas.microsoft.com/office/excel/2006/main">
          <x14:cfRule type="containsText" priority="4111" operator="containsText" id="{50B11688-837D-834B-8A2C-D8E917126B46}">
            <xm:f>NOT(ISERROR(SEARCH("-",T19)))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123" operator="containsText" id="{16781534-4BAA-B244-8F13-6CE5318CD26A}">
            <xm:f>NOT(ISERROR(SEARCH("-",T19)))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211" operator="containsText" id="{82B46465-28DD-304D-A3D0-CB20CAAA5229}">
            <xm:f>NOT(ISERROR(SEARCH("-",T19)))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T19:T26</xm:sqref>
        </x14:conditionalFormatting>
        <x14:conditionalFormatting xmlns:xm="http://schemas.microsoft.com/office/excel/2006/main">
          <x14:cfRule type="containsText" priority="3851" operator="containsText" id="{CE3E711F-6841-D546-B513-7FDC2F86BD5A}">
            <xm:f>NOT(ISERROR(SEARCH("-",T28)))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863" operator="containsText" id="{233F4898-5CD8-FB4E-9D6D-76568E294E50}">
            <xm:f>NOT(ISERROR(SEARCH("-",T28)))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T28:T33</xm:sqref>
        </x14:conditionalFormatting>
        <x14:conditionalFormatting xmlns:xm="http://schemas.microsoft.com/office/excel/2006/main">
          <x14:cfRule type="containsText" priority="3857" operator="containsText" id="{09B2F151-412B-6C4D-8F10-7FB079CD9C06}">
            <xm:f>NOT(ISERROR(SEARCH("-",T28)))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869" operator="containsText" id="{980C8734-5557-E245-9D98-5E4ED71FD5C9}">
            <xm:f>NOT(ISERROR(SEARCH("-",T28)))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954" operator="containsText" id="{C8ACC9EE-1DA3-1E41-9986-34D87DAF0466}">
            <xm:f>NOT(ISERROR(SEARCH("-",T28)))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T28:T35</xm:sqref>
        </x14:conditionalFormatting>
        <x14:conditionalFormatting xmlns:xm="http://schemas.microsoft.com/office/excel/2006/main">
          <x14:cfRule type="containsText" priority="3320" operator="containsText" id="{1351CFE2-8E4D-5648-9287-5A75AE22C276}">
            <xm:f>NOT(ISERROR(SEARCH("-",T37)))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326" operator="containsText" id="{02D492E4-DC51-E04B-ACB0-56B6308D4610}">
            <xm:f>NOT(ISERROR(SEARCH("-",T37)))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332" operator="containsText" id="{D7424679-B26A-A74F-9DEF-B4C39F7FD654}">
            <xm:f>NOT(ISERROR(SEARCH("-",T37)))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338" operator="containsText" id="{CC3B0D6D-57F6-334D-897A-2FAD23C6F9CB}">
            <xm:f>NOT(ISERROR(SEARCH("-",T37)))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344" operator="containsText" id="{91FBCBFC-9599-C54C-BDCF-B307229BE72B}">
            <xm:f>NOT(ISERROR(SEARCH("-",T37)))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352" operator="containsText" id="{0920051C-F3FC-E842-9935-D367D2D996BC}">
            <xm:f>NOT(ISERROR(SEARCH("-",T37)))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359" operator="containsText" id="{FF755D50-0BDA-7641-8345-5F14A193E77A}">
            <xm:f>NOT(ISERROR(SEARCH("-",T37)))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T37:T42</xm:sqref>
        </x14:conditionalFormatting>
        <x14:conditionalFormatting xmlns:xm="http://schemas.microsoft.com/office/excel/2006/main">
          <x14:cfRule type="containsText" priority="4080" operator="containsText" id="{64469900-0F9C-AD47-B36B-3A0841E0B538}">
            <xm:f>NOT(ISERROR(SEARCH("-",AA19)))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092" operator="containsText" id="{EEC37EA6-9A9B-C547-99CB-98A3750AF729}">
            <xm:f>NOT(ISERROR(SEARCH("-",AA19)))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AA19:AA25</xm:sqref>
        </x14:conditionalFormatting>
        <x14:conditionalFormatting xmlns:xm="http://schemas.microsoft.com/office/excel/2006/main">
          <x14:cfRule type="containsText" priority="4086" operator="containsText" id="{62478129-E638-7049-B6FA-F52625D5DD1F}">
            <xm:f>NOT(ISERROR(SEARCH("-",AA19)))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099" operator="containsText" id="{EC55F808-6D64-194D-906A-262AF539476E}">
            <xm:f>NOT(ISERROR(SEARCH("-",AA19)))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AA19:AA26</xm:sqref>
        </x14:conditionalFormatting>
        <x14:conditionalFormatting xmlns:xm="http://schemas.microsoft.com/office/excel/2006/main">
          <x14:cfRule type="containsText" priority="3826" operator="containsText" id="{C3AD1F7F-B062-8149-8649-84F41913173B}">
            <xm:f>NOT(ISERROR(SEARCH("-",AA28)))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838" operator="containsText" id="{C52A404D-F252-5645-ADF4-2314AEFFDD64}">
            <xm:f>NOT(ISERROR(SEARCH("-",AA28)))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AA28:AA33</xm:sqref>
        </x14:conditionalFormatting>
        <x14:conditionalFormatting xmlns:xm="http://schemas.microsoft.com/office/excel/2006/main">
          <x14:cfRule type="containsText" priority="3832" operator="containsText" id="{5F2F5D06-BBA2-B249-AC0D-DC5084D3896F}">
            <xm:f>NOT(ISERROR(SEARCH("-",AA28)))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845" operator="containsText" id="{C9AC5143-B66D-D240-A80B-5AFB3230E218}">
            <xm:f>NOT(ISERROR(SEARCH("-",AA28)))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AA28:AA35</xm:sqref>
        </x14:conditionalFormatting>
        <x14:conditionalFormatting xmlns:xm="http://schemas.microsoft.com/office/excel/2006/main">
          <x14:cfRule type="containsText" priority="3254" operator="containsText" id="{ECE15F49-7F19-A548-992D-4A4C7A204200}">
            <xm:f>NOT(ISERROR(SEARCH("-",AA37)))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260" operator="containsText" id="{F2FD0A83-C140-B745-9C0F-90D7441E1394}">
            <xm:f>NOT(ISERROR(SEARCH("-",AA37)))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266" operator="containsText" id="{1B9076B6-DB8B-0D45-A44D-79B701F52828}">
            <xm:f>NOT(ISERROR(SEARCH("-",AA37)))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272" operator="containsText" id="{DCB61030-6E73-8143-997E-C35323726CBE}">
            <xm:f>NOT(ISERROR(SEARCH("-",AA37)))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278" operator="containsText" id="{108A9C4D-BB41-9D4D-BF74-07362A7582D4}">
            <xm:f>NOT(ISERROR(SEARCH("-",AA37)))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286" operator="containsText" id="{F1DC9278-2A7D-6043-93DB-B060F609B8F0}">
            <xm:f>NOT(ISERROR(SEARCH("-",AA37)))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293" operator="containsText" id="{E999DBA1-AA14-B546-8609-5FEDC4EB7EE7}">
            <xm:f>NOT(ISERROR(SEARCH("-",AA37)))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AA37:AA42</xm:sqref>
        </x14:conditionalFormatting>
        <x14:conditionalFormatting xmlns:xm="http://schemas.microsoft.com/office/excel/2006/main">
          <x14:cfRule type="containsText" priority="4055" operator="containsText" id="{B8B3DB7D-B9F9-9D43-AEF8-E0A57F817296}">
            <xm:f>NOT(ISERROR(SEARCH("-",AH19)))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067" operator="containsText" id="{74FE21C0-ED03-AC4F-ABAE-9200BCAB92BF}">
            <xm:f>NOT(ISERROR(SEARCH("-",AH19)))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AH19:AH25</xm:sqref>
        </x14:conditionalFormatting>
        <x14:conditionalFormatting xmlns:xm="http://schemas.microsoft.com/office/excel/2006/main">
          <x14:cfRule type="containsText" priority="4061" operator="containsText" id="{10D08A9F-B7CE-A540-8E3D-E3C7924FC955}">
            <xm:f>NOT(ISERROR(SEARCH("-",AH19)))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074" operator="containsText" id="{2B6DCB4A-A736-E640-ADBB-90542E34617D}">
            <xm:f>NOT(ISERROR(SEARCH("-",AH19)))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AH19:AH26</xm:sqref>
        </x14:conditionalFormatting>
        <x14:conditionalFormatting xmlns:xm="http://schemas.microsoft.com/office/excel/2006/main">
          <x14:cfRule type="containsText" priority="3801" operator="containsText" id="{F1F9C8E8-9B3C-8445-AB78-9FF675B70DC9}">
            <xm:f>NOT(ISERROR(SEARCH("-",AH28)))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813" operator="containsText" id="{7EDDDFAD-A71D-8241-B136-7BF8F72F5B6B}">
            <xm:f>NOT(ISERROR(SEARCH("-",AH28)))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AH28:AH33</xm:sqref>
        </x14:conditionalFormatting>
        <x14:conditionalFormatting xmlns:xm="http://schemas.microsoft.com/office/excel/2006/main">
          <x14:cfRule type="containsText" priority="3807" operator="containsText" id="{E257BE3F-3DAC-B54D-AC60-0C7010DF67A4}">
            <xm:f>NOT(ISERROR(SEARCH("-",AH28)))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820" operator="containsText" id="{E31C9E90-5198-E740-BCC8-5783F56079E5}">
            <xm:f>NOT(ISERROR(SEARCH("-",AH28)))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AH28:AH35</xm:sqref>
        </x14:conditionalFormatting>
        <x14:conditionalFormatting xmlns:xm="http://schemas.microsoft.com/office/excel/2006/main">
          <x14:cfRule type="containsText" priority="3188" operator="containsText" id="{698A4CBC-972B-DD4F-845E-E39E53E13D67}">
            <xm:f>NOT(ISERROR(SEARCH("-",AH37)))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194" operator="containsText" id="{0AC3087A-581E-BF4D-8086-D79B2D726EA0}">
            <xm:f>NOT(ISERROR(SEARCH("-",AH37)))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200" operator="containsText" id="{1D711C5C-ED50-6F44-8D35-F0DC432203FB}">
            <xm:f>NOT(ISERROR(SEARCH("-",AH37)))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206" operator="containsText" id="{2B63F29B-6491-9A4F-8C7B-6B2B171DBE69}">
            <xm:f>NOT(ISERROR(SEARCH("-",AH37)))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212" operator="containsText" id="{870BD74A-E13D-764E-B46B-8A630F364DB7}">
            <xm:f>NOT(ISERROR(SEARCH("-",AH37)))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220" operator="containsText" id="{ECE0796C-1129-8549-88EE-90348AB41EB7}">
            <xm:f>NOT(ISERROR(SEARCH("-",AH37)))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227" operator="containsText" id="{368AF28D-176A-6244-A410-93453086C301}">
            <xm:f>NOT(ISERROR(SEARCH("-",AH37)))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AH37:AH42</xm:sqref>
        </x14:conditionalFormatting>
        <x14:conditionalFormatting xmlns:xm="http://schemas.microsoft.com/office/excel/2006/main">
          <x14:cfRule type="containsText" priority="4030" operator="containsText" id="{21D94809-5AB1-5341-A23C-EB469EC4C2D6}">
            <xm:f>NOT(ISERROR(SEARCH("-",AO19)))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042" operator="containsText" id="{A82800F8-81C3-B841-A645-D06B30D24791}">
            <xm:f>NOT(ISERROR(SEARCH("-",AO19)))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AO19:AO25</xm:sqref>
        </x14:conditionalFormatting>
        <x14:conditionalFormatting xmlns:xm="http://schemas.microsoft.com/office/excel/2006/main">
          <x14:cfRule type="containsText" priority="4036" operator="containsText" id="{2060623D-5F5F-7145-BCA9-3490485E8932}">
            <xm:f>NOT(ISERROR(SEARCH("-",AO19)))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049" operator="containsText" id="{B816C4AB-85A7-B74C-952D-60AEA71FC9C0}">
            <xm:f>NOT(ISERROR(SEARCH("-",AO19)))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AO19:AO26</xm:sqref>
        </x14:conditionalFormatting>
        <x14:conditionalFormatting xmlns:xm="http://schemas.microsoft.com/office/excel/2006/main">
          <x14:cfRule type="containsText" priority="3776" operator="containsText" id="{7958657E-A77B-D641-B71A-F84CC52EAC7A}">
            <xm:f>NOT(ISERROR(SEARCH("-",AO28)))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788" operator="containsText" id="{E5E304A2-3681-8746-8B6C-AB564787526A}">
            <xm:f>NOT(ISERROR(SEARCH("-",AO28)))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AO28:AO33</xm:sqref>
        </x14:conditionalFormatting>
        <x14:conditionalFormatting xmlns:xm="http://schemas.microsoft.com/office/excel/2006/main">
          <x14:cfRule type="containsText" priority="3782" operator="containsText" id="{2F00F749-2037-5541-AAD5-050796566690}">
            <xm:f>NOT(ISERROR(SEARCH("-",AO28)))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795" operator="containsText" id="{8BD17A97-9FAD-0149-9FAB-A6AE875C5376}">
            <xm:f>NOT(ISERROR(SEARCH("-",AO28)))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AO28:AO35</xm:sqref>
        </x14:conditionalFormatting>
        <x14:conditionalFormatting xmlns:xm="http://schemas.microsoft.com/office/excel/2006/main">
          <x14:cfRule type="containsText" priority="3122" operator="containsText" id="{83F5107E-43E4-1447-9F05-F0E15E13910A}">
            <xm:f>NOT(ISERROR(SEARCH("-",AO37)))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128" operator="containsText" id="{83452A41-AE04-A349-ABD5-8E9B2DC36919}">
            <xm:f>NOT(ISERROR(SEARCH("-",AO37)))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134" operator="containsText" id="{805774E1-D4B5-1D4C-B77F-B738B792A692}">
            <xm:f>NOT(ISERROR(SEARCH("-",AO37)))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140" operator="containsText" id="{A494E311-D5E4-9245-8D5E-95ACDA24E8B5}">
            <xm:f>NOT(ISERROR(SEARCH("-",AO37)))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146" operator="containsText" id="{C9145498-8C8B-E042-9365-1D711A06991D}">
            <xm:f>NOT(ISERROR(SEARCH("-",AO37)))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154" operator="containsText" id="{DDBD19FD-2BD3-1B46-BE85-0DD9DDD30DF4}">
            <xm:f>NOT(ISERROR(SEARCH("-",AO37)))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161" operator="containsText" id="{29C284F7-B374-304B-9E5C-DBD1946B6E29}">
            <xm:f>NOT(ISERROR(SEARCH("-",AO37)))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AO37:AO42</xm:sqref>
        </x14:conditionalFormatting>
        <x14:conditionalFormatting xmlns:xm="http://schemas.microsoft.com/office/excel/2006/main">
          <x14:cfRule type="containsText" priority="4005" operator="containsText" id="{760314DA-A647-FC47-8F5A-8E1A12464923}">
            <xm:f>NOT(ISERROR(SEARCH("-",AV19)))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017" operator="containsText" id="{406B011A-8001-0D44-9655-A12B1E8FA743}">
            <xm:f>NOT(ISERROR(SEARCH("-",AV19)))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AV19:AV25</xm:sqref>
        </x14:conditionalFormatting>
        <x14:conditionalFormatting xmlns:xm="http://schemas.microsoft.com/office/excel/2006/main">
          <x14:cfRule type="containsText" priority="4011" operator="containsText" id="{8A578161-B1ED-BC4B-9BE1-E356BFE15B83}">
            <xm:f>NOT(ISERROR(SEARCH("-",AV19)))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024" operator="containsText" id="{3B239A98-9B77-2B41-843F-609289CEAAE9}">
            <xm:f>NOT(ISERROR(SEARCH("-",AV19)))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AV19:AV26</xm:sqref>
        </x14:conditionalFormatting>
        <x14:conditionalFormatting xmlns:xm="http://schemas.microsoft.com/office/excel/2006/main">
          <x14:cfRule type="containsText" priority="3751" operator="containsText" id="{FA28BAE6-4DCF-2346-A452-455F8354BD19}">
            <xm:f>NOT(ISERROR(SEARCH("-",AV28)))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763" operator="containsText" id="{A74AF64B-7BB5-1443-A68F-C19E74E619A8}">
            <xm:f>NOT(ISERROR(SEARCH("-",AV28)))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AV28:AV33</xm:sqref>
        </x14:conditionalFormatting>
        <x14:conditionalFormatting xmlns:xm="http://schemas.microsoft.com/office/excel/2006/main">
          <x14:cfRule type="containsText" priority="3757" operator="containsText" id="{913C9A6D-6F80-D84B-9328-4C5F621B16CE}">
            <xm:f>NOT(ISERROR(SEARCH("-",AV28)))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770" operator="containsText" id="{CE1031F5-F267-8949-A810-D64D770A1F94}">
            <xm:f>NOT(ISERROR(SEARCH("-",AV28)))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AV28:AV35</xm:sqref>
        </x14:conditionalFormatting>
        <x14:conditionalFormatting xmlns:xm="http://schemas.microsoft.com/office/excel/2006/main">
          <x14:cfRule type="containsText" priority="3056" operator="containsText" id="{882BD9F7-4F1F-BB45-B57A-135316D9D884}">
            <xm:f>NOT(ISERROR(SEARCH("-",AV37)))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062" operator="containsText" id="{391F7257-E97A-BA4D-BDB6-2B6651671D30}">
            <xm:f>NOT(ISERROR(SEARCH("-",AV37)))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068" operator="containsText" id="{78ABBD37-7A1E-704B-8991-D5B0CB76355A}">
            <xm:f>NOT(ISERROR(SEARCH("-",AV37)))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074" operator="containsText" id="{7C9406CE-B013-7B44-8936-46C36D34A9A5}">
            <xm:f>NOT(ISERROR(SEARCH("-",AV37)))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080" operator="containsText" id="{6CB6D13C-F335-B447-8EAB-DDA8C3374B54}">
            <xm:f>NOT(ISERROR(SEARCH("-",AV37)))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088" operator="containsText" id="{22ABD372-E4CF-3F48-91C4-CEF96128F0A0}">
            <xm:f>NOT(ISERROR(SEARCH("-",AV37)))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095" operator="containsText" id="{0CA5AE23-934E-584F-B282-3B240A323D5C}">
            <xm:f>NOT(ISERROR(SEARCH("-",AV37)))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AV37:AV42</xm:sqref>
        </x14:conditionalFormatting>
        <x14:conditionalFormatting xmlns:xm="http://schemas.microsoft.com/office/excel/2006/main">
          <x14:cfRule type="containsText" priority="2924" operator="containsText" id="{3A292C57-26BF-E341-97D5-CBA5E9A85700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930" operator="containsText" id="{EBF9419A-ADCF-D04B-80C6-7CFCEBA12C08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936" operator="containsText" id="{6F94B4B1-14B3-7342-8EB3-E58C8BB00854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942" operator="containsText" id="{EF687780-00F6-EB40-9E01-0E21F92D1464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948" operator="containsText" id="{AC6820AB-CB5F-9A4A-91DD-CF6BFD15EEC9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956" operator="containsText" id="{8426090D-6E8F-0B47-94D3-1A46AF12839A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963" operator="containsText" id="{E5B4F1BF-B792-7842-88F9-4AEAF775F6D2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A37:A42</xm:sqref>
        </x14:conditionalFormatting>
        <x14:conditionalFormatting xmlns:xm="http://schemas.microsoft.com/office/excel/2006/main">
          <x14:cfRule type="containsText" priority="2723" operator="containsText" id="{06ACD99F-37E6-C14B-B8C8-24CB4910E6D5}">
            <xm:f>NOT(ISERROR(SEARCH("-",F25)))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729" operator="containsText" id="{DB18A5AD-50D5-9846-92E8-8F8E000A2B12}">
            <xm:f>NOT(ISERROR(SEARCH("-",F25)))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735" operator="containsText" id="{C4F716D5-1D61-5C4F-A8D9-2B295F5101A4}">
            <xm:f>NOT(ISERROR(SEARCH("-",F25)))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742" operator="containsText" id="{6F397BE1-5A28-4347-B988-471BB8DC9205}">
            <xm:f>NOT(ISERROR(SEARCH("-",F25)))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F25</xm:sqref>
        </x14:conditionalFormatting>
        <x14:conditionalFormatting xmlns:xm="http://schemas.microsoft.com/office/excel/2006/main">
          <x14:cfRule type="containsText" priority="2748" operator="containsText" id="{83E6643C-B036-D847-8535-0320E6494FF6}">
            <xm:f>NOT(ISERROR(SEARCH("-",F25)))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F25</xm:sqref>
        </x14:conditionalFormatting>
        <x14:conditionalFormatting xmlns:xm="http://schemas.microsoft.com/office/excel/2006/main">
          <x14:cfRule type="containsText" priority="2692" operator="containsText" id="{86AEE68E-7798-3547-A68A-EBEF8CF00183}">
            <xm:f>NOT(ISERROR(SEARCH("-",M25)))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698" operator="containsText" id="{4ACFD884-95CD-BE46-875B-559479B9657C}">
            <xm:f>NOT(ISERROR(SEARCH("-",M25)))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704" operator="containsText" id="{8AE6F855-2544-7141-9573-5D5B0AC31254}">
            <xm:f>NOT(ISERROR(SEARCH("-",M25)))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711" operator="containsText" id="{06AA0C16-6FFB-6C4B-B033-E0C4CF0A5E3E}">
            <xm:f>NOT(ISERROR(SEARCH("-",M25)))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M25</xm:sqref>
        </x14:conditionalFormatting>
        <x14:conditionalFormatting xmlns:xm="http://schemas.microsoft.com/office/excel/2006/main">
          <x14:cfRule type="containsText" priority="2717" operator="containsText" id="{CB77CE49-A114-1342-80D4-911AE5EE0EC1}">
            <xm:f>NOT(ISERROR(SEARCH("-",M25)))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M25</xm:sqref>
        </x14:conditionalFormatting>
        <x14:conditionalFormatting xmlns:xm="http://schemas.microsoft.com/office/excel/2006/main">
          <x14:cfRule type="containsText" priority="2661" operator="containsText" id="{2049CD4C-2730-B044-AC88-7413A1BFCB08}">
            <xm:f>NOT(ISERROR(SEARCH("-",T25)))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667" operator="containsText" id="{E7C9CC7C-4333-B740-BFE1-9F3880F637E9}">
            <xm:f>NOT(ISERROR(SEARCH("-",T25)))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673" operator="containsText" id="{F36FCF6D-5C2A-004D-BB9D-DEC5B1DEC645}">
            <xm:f>NOT(ISERROR(SEARCH("-",T25)))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680" operator="containsText" id="{4B1969A0-1E48-0343-A308-C7721986D701}">
            <xm:f>NOT(ISERROR(SEARCH("-",T25)))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T25</xm:sqref>
        </x14:conditionalFormatting>
        <x14:conditionalFormatting xmlns:xm="http://schemas.microsoft.com/office/excel/2006/main">
          <x14:cfRule type="containsText" priority="2686" operator="containsText" id="{F7536F11-7116-7347-9D87-372D474DF24D}">
            <xm:f>NOT(ISERROR(SEARCH("-",T25)))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T25</xm:sqref>
        </x14:conditionalFormatting>
        <x14:conditionalFormatting xmlns:xm="http://schemas.microsoft.com/office/excel/2006/main">
          <x14:cfRule type="containsText" priority="2630" operator="containsText" id="{ADC7FC9A-014A-D74A-AF1F-8B88FE625F05}">
            <xm:f>NOT(ISERROR(SEARCH("-",AA25)))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636" operator="containsText" id="{3F7FDC64-F2EE-094D-A835-E9670CFEA5E7}">
            <xm:f>NOT(ISERROR(SEARCH("-",AA25)))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642" operator="containsText" id="{6C5CAF2C-3EA5-2A40-B995-6E285198AEDF}">
            <xm:f>NOT(ISERROR(SEARCH("-",AA25)))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649" operator="containsText" id="{82B76E31-EB37-4747-BB1F-F99FAC7C953C}">
            <xm:f>NOT(ISERROR(SEARCH("-",AA25)))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AA25</xm:sqref>
        </x14:conditionalFormatting>
        <x14:conditionalFormatting xmlns:xm="http://schemas.microsoft.com/office/excel/2006/main">
          <x14:cfRule type="containsText" priority="2655" operator="containsText" id="{FBB02A02-E2FD-0845-A9E1-196469A63386}">
            <xm:f>NOT(ISERROR(SEARCH("-",AA25)))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AA25</xm:sqref>
        </x14:conditionalFormatting>
        <x14:conditionalFormatting xmlns:xm="http://schemas.microsoft.com/office/excel/2006/main">
          <x14:cfRule type="containsText" priority="2599" operator="containsText" id="{E99D2B71-3F47-D146-A2FD-FD9A4BDAD377}">
            <xm:f>NOT(ISERROR(SEARCH("-",AH25)))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605" operator="containsText" id="{DF4ADC97-115B-724F-BD7F-F20A62672B12}">
            <xm:f>NOT(ISERROR(SEARCH("-",AH25)))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611" operator="containsText" id="{697E717D-D8CC-7C44-9C28-63B65B8D2F13}">
            <xm:f>NOT(ISERROR(SEARCH("-",AH25)))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618" operator="containsText" id="{B0F636C1-DA26-D84E-B283-8BA2C7281433}">
            <xm:f>NOT(ISERROR(SEARCH("-",AH25)))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AH25</xm:sqref>
        </x14:conditionalFormatting>
        <x14:conditionalFormatting xmlns:xm="http://schemas.microsoft.com/office/excel/2006/main">
          <x14:cfRule type="containsText" priority="2624" operator="containsText" id="{E365F052-6664-1B4A-888D-8972273AC378}">
            <xm:f>NOT(ISERROR(SEARCH("-",AH25)))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AH25</xm:sqref>
        </x14:conditionalFormatting>
        <x14:conditionalFormatting xmlns:xm="http://schemas.microsoft.com/office/excel/2006/main">
          <x14:cfRule type="containsText" priority="2568" operator="containsText" id="{1C7A0CC4-EF72-E54F-AEBD-8C292D956454}">
            <xm:f>NOT(ISERROR(SEARCH("-",AO25)))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574" operator="containsText" id="{7A7EA47F-1DD5-214E-B4CC-0E4310D9B908}">
            <xm:f>NOT(ISERROR(SEARCH("-",AO25)))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580" operator="containsText" id="{60B90633-8DAE-2840-8EAD-0E5B0F1EB57D}">
            <xm:f>NOT(ISERROR(SEARCH("-",AO25)))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587" operator="containsText" id="{69DF87B2-3962-7E42-B7E0-D95C33DE52BE}">
            <xm:f>NOT(ISERROR(SEARCH("-",AO25)))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AO25</xm:sqref>
        </x14:conditionalFormatting>
        <x14:conditionalFormatting xmlns:xm="http://schemas.microsoft.com/office/excel/2006/main">
          <x14:cfRule type="containsText" priority="2593" operator="containsText" id="{A42E6329-A346-8542-AB62-A02C2D34E06D}">
            <xm:f>NOT(ISERROR(SEARCH("-",AO25)))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AO25</xm:sqref>
        </x14:conditionalFormatting>
        <x14:conditionalFormatting xmlns:xm="http://schemas.microsoft.com/office/excel/2006/main">
          <x14:cfRule type="containsText" priority="2537" operator="containsText" id="{3C37326F-59A1-8743-A5A2-90EA1DF8252B}">
            <xm:f>NOT(ISERROR(SEARCH("-",AV25)))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543" operator="containsText" id="{1E754CAE-B646-9748-97CA-96E02F86F86A}">
            <xm:f>NOT(ISERROR(SEARCH("-",AV25)))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549" operator="containsText" id="{B7D88E95-1A41-F645-88A5-5189F39E6687}">
            <xm:f>NOT(ISERROR(SEARCH("-",AV25)))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556" operator="containsText" id="{60B97586-5C52-B94B-9511-31E842643708}">
            <xm:f>NOT(ISERROR(SEARCH("-",AV25)))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AV25</xm:sqref>
        </x14:conditionalFormatting>
        <x14:conditionalFormatting xmlns:xm="http://schemas.microsoft.com/office/excel/2006/main">
          <x14:cfRule type="containsText" priority="2562" operator="containsText" id="{B01A0600-C9E2-8144-8913-ABEB523C3453}">
            <xm:f>NOT(ISERROR(SEARCH("-",AV25)))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AV25</xm:sqref>
        </x14:conditionalFormatting>
        <x14:conditionalFormatting xmlns:xm="http://schemas.microsoft.com/office/excel/2006/main">
          <x14:cfRule type="containsText" priority="2475" operator="containsText" id="{B96B4C3D-745B-A44E-A00C-07B2A8C0F446}">
            <xm:f>NOT(ISERROR(SEARCH("-",F25)))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81" operator="containsText" id="{20855AC1-F57E-824C-93F1-ACEC8E680130}">
            <xm:f>NOT(ISERROR(SEARCH("-",F25)))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87" operator="containsText" id="{484C276D-7ADB-4A48-9D28-92068BBB9E6D}">
            <xm:f>NOT(ISERROR(SEARCH("-",F25)))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94" operator="containsText" id="{36793F1E-C9D8-944E-87ED-18242CF57F8D}">
            <xm:f>NOT(ISERROR(SEARCH("-",F25)))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F25</xm:sqref>
        </x14:conditionalFormatting>
        <x14:conditionalFormatting xmlns:xm="http://schemas.microsoft.com/office/excel/2006/main">
          <x14:cfRule type="containsText" priority="2500" operator="containsText" id="{39B6B56C-95C7-644B-95B1-60025A8BC5E8}">
            <xm:f>NOT(ISERROR(SEARCH("-",F25)))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F25</xm:sqref>
        </x14:conditionalFormatting>
        <x14:conditionalFormatting xmlns:xm="http://schemas.microsoft.com/office/excel/2006/main">
          <x14:cfRule type="containsText" priority="2444" operator="containsText" id="{1911CEFA-F990-F848-A0DB-A146035D54A0}">
            <xm:f>NOT(ISERROR(SEARCH("-",M25)))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50" operator="containsText" id="{6487B169-3046-0342-976A-ADCBF94AB053}">
            <xm:f>NOT(ISERROR(SEARCH("-",M25)))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56" operator="containsText" id="{9FD1426D-D140-004B-B51B-5EBEACA92E1F}">
            <xm:f>NOT(ISERROR(SEARCH("-",M25)))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63" operator="containsText" id="{C29A840E-33B4-744B-AD43-496D22A3452F}">
            <xm:f>NOT(ISERROR(SEARCH("-",M25)))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M25</xm:sqref>
        </x14:conditionalFormatting>
        <x14:conditionalFormatting xmlns:xm="http://schemas.microsoft.com/office/excel/2006/main">
          <x14:cfRule type="containsText" priority="2469" operator="containsText" id="{AFC38845-7872-2D42-A231-46D284F9BB1A}">
            <xm:f>NOT(ISERROR(SEARCH("-",M25)))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M25</xm:sqref>
        </x14:conditionalFormatting>
        <x14:conditionalFormatting xmlns:xm="http://schemas.microsoft.com/office/excel/2006/main">
          <x14:cfRule type="containsText" priority="2413" operator="containsText" id="{77037F45-7F76-5C4A-BBFE-899698CE5AB3}">
            <xm:f>NOT(ISERROR(SEARCH("-",T25)))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19" operator="containsText" id="{847B17BE-D81E-9546-867E-F4982D01D627}">
            <xm:f>NOT(ISERROR(SEARCH("-",T25)))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25" operator="containsText" id="{8FA097D3-9020-CF4B-878A-28F8FFBE2E44}">
            <xm:f>NOT(ISERROR(SEARCH("-",T25)))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32" operator="containsText" id="{EF8D4132-CAE1-CA4E-B0D3-0A9AF2C5FE6E}">
            <xm:f>NOT(ISERROR(SEARCH("-",T25)))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T25</xm:sqref>
        </x14:conditionalFormatting>
        <x14:conditionalFormatting xmlns:xm="http://schemas.microsoft.com/office/excel/2006/main">
          <x14:cfRule type="containsText" priority="2438" operator="containsText" id="{09D13964-FBF2-CB41-901D-85B76AA52D7D}">
            <xm:f>NOT(ISERROR(SEARCH("-",T25)))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T25</xm:sqref>
        </x14:conditionalFormatting>
        <x14:conditionalFormatting xmlns:xm="http://schemas.microsoft.com/office/excel/2006/main">
          <x14:cfRule type="containsText" priority="2382" operator="containsText" id="{D151283F-FF3D-954D-8847-011FB1CFD997}">
            <xm:f>NOT(ISERROR(SEARCH("-",AA25)))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388" operator="containsText" id="{1A87D4EF-E750-7746-AA23-3AE96F967D3F}">
            <xm:f>NOT(ISERROR(SEARCH("-",AA25)))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394" operator="containsText" id="{149770A7-43B9-4645-A6E2-28C008438794}">
            <xm:f>NOT(ISERROR(SEARCH("-",AA25)))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01" operator="containsText" id="{B9972409-5FD5-BF4B-BC3B-DB6EC195B007}">
            <xm:f>NOT(ISERROR(SEARCH("-",AA25)))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AA25</xm:sqref>
        </x14:conditionalFormatting>
        <x14:conditionalFormatting xmlns:xm="http://schemas.microsoft.com/office/excel/2006/main">
          <x14:cfRule type="containsText" priority="2407" operator="containsText" id="{97CF07AA-CC36-4A4F-A415-A9F2995D5041}">
            <xm:f>NOT(ISERROR(SEARCH("-",AA25)))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AA25</xm:sqref>
        </x14:conditionalFormatting>
        <x14:conditionalFormatting xmlns:xm="http://schemas.microsoft.com/office/excel/2006/main">
          <x14:cfRule type="containsText" priority="2351" operator="containsText" id="{6F5892A6-86B1-4A4B-B6A0-F25A76BED0D6}">
            <xm:f>NOT(ISERROR(SEARCH("-",AH25)))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357" operator="containsText" id="{ECAF214B-C8F5-D54B-8DD1-507143E92472}">
            <xm:f>NOT(ISERROR(SEARCH("-",AH25)))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363" operator="containsText" id="{B04AF3C5-F665-704B-BD66-65A02B90925F}">
            <xm:f>NOT(ISERROR(SEARCH("-",AH25)))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370" operator="containsText" id="{C0B3280B-A74C-F948-ADC1-9E9958E9D696}">
            <xm:f>NOT(ISERROR(SEARCH("-",AH25)))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AH25</xm:sqref>
        </x14:conditionalFormatting>
        <x14:conditionalFormatting xmlns:xm="http://schemas.microsoft.com/office/excel/2006/main">
          <x14:cfRule type="containsText" priority="2376" operator="containsText" id="{0BC979B2-C3D7-B14D-9320-D36151F00496}">
            <xm:f>NOT(ISERROR(SEARCH("-",AH25)))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AH25</xm:sqref>
        </x14:conditionalFormatting>
        <x14:conditionalFormatting xmlns:xm="http://schemas.microsoft.com/office/excel/2006/main">
          <x14:cfRule type="containsText" priority="2320" operator="containsText" id="{51C009AE-3AED-154C-A4C1-41E1F740EF02}">
            <xm:f>NOT(ISERROR(SEARCH("-",AO25)))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326" operator="containsText" id="{096D0445-CA86-0848-BF01-4B34B557D57C}">
            <xm:f>NOT(ISERROR(SEARCH("-",AO25)))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332" operator="containsText" id="{02E37CBC-3482-3246-816E-BA4D1F924F1E}">
            <xm:f>NOT(ISERROR(SEARCH("-",AO25)))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339" operator="containsText" id="{4944C05D-71C4-BC46-BA69-53349DF55C91}">
            <xm:f>NOT(ISERROR(SEARCH("-",AO25)))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AO25</xm:sqref>
        </x14:conditionalFormatting>
        <x14:conditionalFormatting xmlns:xm="http://schemas.microsoft.com/office/excel/2006/main">
          <x14:cfRule type="containsText" priority="2345" operator="containsText" id="{37B8DBD1-2CBB-614D-854D-E50A42029874}">
            <xm:f>NOT(ISERROR(SEARCH("-",AO25)))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AO25</xm:sqref>
        </x14:conditionalFormatting>
        <x14:conditionalFormatting xmlns:xm="http://schemas.microsoft.com/office/excel/2006/main">
          <x14:cfRule type="containsText" priority="2289" operator="containsText" id="{2627B276-790B-CB41-A41B-D8F9A46F1289}">
            <xm:f>NOT(ISERROR(SEARCH("-",AV25)))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295" operator="containsText" id="{CA230E86-3290-044F-938C-0EE971E0DBC0}">
            <xm:f>NOT(ISERROR(SEARCH("-",AV25)))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301" operator="containsText" id="{F78B6257-71FF-7047-B07A-6B114460E40B}">
            <xm:f>NOT(ISERROR(SEARCH("-",AV25)))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308" operator="containsText" id="{E6608A6E-74DB-D74F-8679-469629E7E857}">
            <xm:f>NOT(ISERROR(SEARCH("-",AV25)))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AV25</xm:sqref>
        </x14:conditionalFormatting>
        <x14:conditionalFormatting xmlns:xm="http://schemas.microsoft.com/office/excel/2006/main">
          <x14:cfRule type="containsText" priority="2314" operator="containsText" id="{5E5624B9-E489-FE49-887E-EB6AD694F518}">
            <xm:f>NOT(ISERROR(SEARCH("-",AV25)))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AV25</xm:sqref>
        </x14:conditionalFormatting>
        <x14:conditionalFormatting xmlns:xm="http://schemas.microsoft.com/office/excel/2006/main">
          <x14:cfRule type="containsText" priority="2241" operator="containsText" id="{4848F9BE-6B40-1E46-A493-30F6FD65DEFF}">
            <xm:f>NOT(ISERROR(SEARCH("-",BC19)))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253" operator="containsText" id="{45BC292E-61ED-7742-9B24-88DCF5049778}">
            <xm:f>NOT(ISERROR(SEARCH("-",BC19)))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BC19:BC25</xm:sqref>
        </x14:conditionalFormatting>
        <x14:conditionalFormatting xmlns:xm="http://schemas.microsoft.com/office/excel/2006/main">
          <x14:cfRule type="containsText" priority="2247" operator="containsText" id="{49344D8D-3160-E841-9BDB-00F1DEAAA4E1}">
            <xm:f>NOT(ISERROR(SEARCH("-",BC19)))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259" operator="containsText" id="{927FC23B-F3FB-DB48-8437-CC9BFCB2EAC3}">
            <xm:f>NOT(ISERROR(SEARCH("-",BC19)))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271" operator="containsText" id="{E6FF2555-2F9B-1149-937D-E61F78F0A2C1}">
            <xm:f>NOT(ISERROR(SEARCH("-",BC19)))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BC19:BC26</xm:sqref>
        </x14:conditionalFormatting>
        <x14:conditionalFormatting xmlns:xm="http://schemas.microsoft.com/office/excel/2006/main">
          <x14:cfRule type="containsText" priority="2079" operator="containsText" id="{F21614E4-F4C6-B043-88E1-CFD995A77D57}">
            <xm:f>NOT(ISERROR(SEARCH("-",BC28)))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091" operator="containsText" id="{67DCDECD-C483-314E-8508-2B2F1A74B4AE}">
            <xm:f>NOT(ISERROR(SEARCH("-",BC28)))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BC28:BC33</xm:sqref>
        </x14:conditionalFormatting>
        <x14:conditionalFormatting xmlns:xm="http://schemas.microsoft.com/office/excel/2006/main">
          <x14:cfRule type="containsText" priority="2085" operator="containsText" id="{A08B06B1-B2A0-DA47-BB83-0FB7A6B705FE}">
            <xm:f>NOT(ISERROR(SEARCH("-",BC28)))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097" operator="containsText" id="{D173728E-954B-AB4A-B014-987208EED7BA}">
            <xm:f>NOT(ISERROR(SEARCH("-",BC28)))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110" operator="containsText" id="{5432BE6C-982C-A243-AF68-50341CB83B25}">
            <xm:f>NOT(ISERROR(SEARCH("-",BC28)))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BC28:BC35</xm:sqref>
        </x14:conditionalFormatting>
        <x14:conditionalFormatting xmlns:xm="http://schemas.microsoft.com/office/excel/2006/main">
          <x14:cfRule type="containsText" priority="1901" operator="containsText" id="{F6725560-1B29-924D-9A95-E83456D04DBB}">
            <xm:f>NOT(ISERROR(SEARCH("-",BC37)))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07" operator="containsText" id="{83D5A4BB-484D-C24A-8EF9-8A8D6FF9F4DD}">
            <xm:f>NOT(ISERROR(SEARCH("-",BC37)))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13" operator="containsText" id="{7C735577-5C4D-5F42-864F-9A9B7DAE2050}">
            <xm:f>NOT(ISERROR(SEARCH("-",BC37)))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19" operator="containsText" id="{93C04E64-4E7B-7543-8ACD-B976DBDA54DC}">
            <xm:f>NOT(ISERROR(SEARCH("-",BC37)))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25" operator="containsText" id="{677CCD4E-5C5D-6741-A02B-73E121EAFF5E}">
            <xm:f>NOT(ISERROR(SEARCH("-",BC37)))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33" operator="containsText" id="{2CF8F0E0-89FC-F44E-B10C-EF613F14C205}">
            <xm:f>NOT(ISERROR(SEARCH("-",BC37)))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40" operator="containsText" id="{84FA7F5C-A2C2-1D4F-BF69-CECCFA70843E}">
            <xm:f>NOT(ISERROR(SEARCH("-",BC37)))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BC37:BC42</xm:sqref>
        </x14:conditionalFormatting>
        <x14:conditionalFormatting xmlns:xm="http://schemas.microsoft.com/office/excel/2006/main">
          <x14:cfRule type="containsText" priority="2217" operator="containsText" id="{973721B6-9D9A-E646-8E29-D094814D62C8}">
            <xm:f>NOT(ISERROR(SEARCH("-",BJ19)))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229" operator="containsText" id="{2B7D6B92-F613-BD46-86B3-D20D9CBC3F24}">
            <xm:f>NOT(ISERROR(SEARCH("-",BJ19)))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BJ19:BJ25</xm:sqref>
        </x14:conditionalFormatting>
        <x14:conditionalFormatting xmlns:xm="http://schemas.microsoft.com/office/excel/2006/main">
          <x14:cfRule type="containsText" priority="2223" operator="containsText" id="{E17FD9BB-8435-7C4C-BA1D-5A4D46426A52}">
            <xm:f>NOT(ISERROR(SEARCH("-",BJ19)))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235" operator="containsText" id="{D5FC9012-1CCB-BD47-A6F2-3E4CE52A5DA7}">
            <xm:f>NOT(ISERROR(SEARCH("-",BJ19)))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265" operator="containsText" id="{6006A299-F4C2-254E-8DF2-7A8F552E9E7F}">
            <xm:f>NOT(ISERROR(SEARCH("-",BJ19)))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BJ19:BJ26</xm:sqref>
        </x14:conditionalFormatting>
        <x14:conditionalFormatting xmlns:xm="http://schemas.microsoft.com/office/excel/2006/main">
          <x14:cfRule type="containsText" priority="2055" operator="containsText" id="{5569C2D8-BC32-094C-BA8A-F73AC4866E63}">
            <xm:f>NOT(ISERROR(SEARCH("-",BJ28)))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067" operator="containsText" id="{E735407C-453B-664F-939E-69A1B51898CC}">
            <xm:f>NOT(ISERROR(SEARCH("-",BJ28)))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BJ28:BJ33</xm:sqref>
        </x14:conditionalFormatting>
        <x14:conditionalFormatting xmlns:xm="http://schemas.microsoft.com/office/excel/2006/main">
          <x14:cfRule type="containsText" priority="2061" operator="containsText" id="{BCEC7077-7D78-B24D-8FB4-C2E4FB1A3BBE}">
            <xm:f>NOT(ISERROR(SEARCH("-",BJ28)))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073" operator="containsText" id="{F48875C0-8036-C24A-9A54-3AE0A96DEDA4}">
            <xm:f>NOT(ISERROR(SEARCH("-",BJ28)))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104" operator="containsText" id="{21672142-2E49-3342-A2DD-3BE0E55AF089}">
            <xm:f>NOT(ISERROR(SEARCH("-",BJ28)))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BJ28:BJ35</xm:sqref>
        </x14:conditionalFormatting>
        <x14:conditionalFormatting xmlns:xm="http://schemas.microsoft.com/office/excel/2006/main">
          <x14:cfRule type="containsText" priority="1844" operator="containsText" id="{5DF046EA-C4AD-B945-8015-3536B2401D7B}">
            <xm:f>NOT(ISERROR(SEARCH("-",BJ37)))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50" operator="containsText" id="{51A0B951-D6B2-1C40-B4FB-3CB56EDE2E9A}">
            <xm:f>NOT(ISERROR(SEARCH("-",BJ37)))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56" operator="containsText" id="{968280F5-136C-F644-B60F-BBC5245B1853}">
            <xm:f>NOT(ISERROR(SEARCH("-",BJ37)))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62" operator="containsText" id="{B993704A-7CD4-864E-8420-A2C9C81D5575}">
            <xm:f>NOT(ISERROR(SEARCH("-",BJ37)))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68" operator="containsText" id="{10FE3877-2705-5D49-A005-779103D747D0}">
            <xm:f>NOT(ISERROR(SEARCH("-",BJ37)))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76" operator="containsText" id="{8812A0FE-A2B7-7A40-AEDE-D3B0AEE3E671}">
            <xm:f>NOT(ISERROR(SEARCH("-",BJ37)))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83" operator="containsText" id="{6DB841FD-AB9A-0540-8F23-3932DAB7DB95}">
            <xm:f>NOT(ISERROR(SEARCH("-",BJ37)))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BJ37:BJ42</xm:sqref>
        </x14:conditionalFormatting>
        <x14:conditionalFormatting xmlns:xm="http://schemas.microsoft.com/office/excel/2006/main">
          <x14:cfRule type="containsText" priority="2192" operator="containsText" id="{47AD11BA-0F07-7F44-B725-A7834E852FBE}">
            <xm:f>NOT(ISERROR(SEARCH("-",BQ19)))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204" operator="containsText" id="{6C88A164-8C88-014B-BB68-B81C3A3852BB}">
            <xm:f>NOT(ISERROR(SEARCH("-",BQ19)))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BQ19:BQ25</xm:sqref>
        </x14:conditionalFormatting>
        <x14:conditionalFormatting xmlns:xm="http://schemas.microsoft.com/office/excel/2006/main">
          <x14:cfRule type="containsText" priority="2198" operator="containsText" id="{97E22795-A8C6-D743-B8B1-0B1C300FD160}">
            <xm:f>NOT(ISERROR(SEARCH("-",BQ19)))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211" operator="containsText" id="{033849D3-4C5A-3546-B512-43D3E01F2FF9}">
            <xm:f>NOT(ISERROR(SEARCH("-",BQ19)))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BQ19:BQ26</xm:sqref>
        </x14:conditionalFormatting>
        <x14:conditionalFormatting xmlns:xm="http://schemas.microsoft.com/office/excel/2006/main">
          <x14:cfRule type="containsText" priority="2030" operator="containsText" id="{67B36C7C-7B8D-AC43-931B-0752E9EBA525}">
            <xm:f>NOT(ISERROR(SEARCH("-",BQ28)))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042" operator="containsText" id="{419EE2D1-670D-D947-8BF5-2865F8309904}">
            <xm:f>NOT(ISERROR(SEARCH("-",BQ28)))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BQ28:BQ33</xm:sqref>
        </x14:conditionalFormatting>
        <x14:conditionalFormatting xmlns:xm="http://schemas.microsoft.com/office/excel/2006/main">
          <x14:cfRule type="containsText" priority="2036" operator="containsText" id="{531AA4EC-EA89-8448-8B01-329DE3B0FF62}">
            <xm:f>NOT(ISERROR(SEARCH("-",BQ28)))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049" operator="containsText" id="{18A465A7-948F-DA4F-BF09-8300C7E55232}">
            <xm:f>NOT(ISERROR(SEARCH("-",BQ28)))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BQ28:BQ35</xm:sqref>
        </x14:conditionalFormatting>
        <x14:conditionalFormatting xmlns:xm="http://schemas.microsoft.com/office/excel/2006/main">
          <x14:cfRule type="containsText" priority="1787" operator="containsText" id="{C1A9558E-3618-694C-9AAB-9B7769BB77D3}">
            <xm:f>NOT(ISERROR(SEARCH("-",BQ37)))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93" operator="containsText" id="{0237C9EC-10FD-414D-9B5A-230E9A41F508}">
            <xm:f>NOT(ISERROR(SEARCH("-",BQ37)))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99" operator="containsText" id="{4447B642-22E5-EE4F-90B8-CF2AA6C14A5B}">
            <xm:f>NOT(ISERROR(SEARCH("-",BQ37)))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05" operator="containsText" id="{C6BE4EA3-601F-A143-B6AA-A9888907EF3A}">
            <xm:f>NOT(ISERROR(SEARCH("-",BQ37)))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11" operator="containsText" id="{305ECF23-717A-C44D-ADC5-6C8C1EE2B436}">
            <xm:f>NOT(ISERROR(SEARCH("-",BQ37)))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19" operator="containsText" id="{0BCD3E90-A890-5044-8EC6-3F3B146B5B12}">
            <xm:f>NOT(ISERROR(SEARCH("-",BQ37)))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26" operator="containsText" id="{8235CD2D-55AC-D44F-B1B7-DB1F7A41170A}">
            <xm:f>NOT(ISERROR(SEARCH("-",BQ37)))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BQ37:BQ42</xm:sqref>
        </x14:conditionalFormatting>
        <x14:conditionalFormatting xmlns:xm="http://schemas.microsoft.com/office/excel/2006/main">
          <x14:cfRule type="containsText" priority="2167" operator="containsText" id="{9B95FADB-CA30-514B-B0C0-6898EBF08BF3}">
            <xm:f>NOT(ISERROR(SEARCH("-",BX19)))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179" operator="containsText" id="{50C4EC17-D33D-054E-AF7A-7F95E7EEAF4F}">
            <xm:f>NOT(ISERROR(SEARCH("-",BX19)))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BX19:BX25</xm:sqref>
        </x14:conditionalFormatting>
        <x14:conditionalFormatting xmlns:xm="http://schemas.microsoft.com/office/excel/2006/main">
          <x14:cfRule type="containsText" priority="2173" operator="containsText" id="{9B4660C2-E03E-5144-9DAF-92683235BAB8}">
            <xm:f>NOT(ISERROR(SEARCH("-",BX19)))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186" operator="containsText" id="{64952804-2372-3F42-A956-D570622C6526}">
            <xm:f>NOT(ISERROR(SEARCH("-",BX19)))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BX19:BX26</xm:sqref>
        </x14:conditionalFormatting>
        <x14:conditionalFormatting xmlns:xm="http://schemas.microsoft.com/office/excel/2006/main">
          <x14:cfRule type="containsText" priority="2005" operator="containsText" id="{BB384501-4C27-B447-81DF-735ABEE8099D}">
            <xm:f>NOT(ISERROR(SEARCH("-",BX28)))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017" operator="containsText" id="{4178284E-99F5-BE45-BB0E-0511616CE5DB}">
            <xm:f>NOT(ISERROR(SEARCH("-",BX28)))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BX28:BX33</xm:sqref>
        </x14:conditionalFormatting>
        <x14:conditionalFormatting xmlns:xm="http://schemas.microsoft.com/office/excel/2006/main">
          <x14:cfRule type="containsText" priority="2011" operator="containsText" id="{942E3310-E7EA-8D4C-BA99-EE9DDAB38C79}">
            <xm:f>NOT(ISERROR(SEARCH("-",BX28)))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024" operator="containsText" id="{530B711E-0831-4B49-98EC-5EB3158C8FD2}">
            <xm:f>NOT(ISERROR(SEARCH("-",BX28)))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BX28:BX35</xm:sqref>
        </x14:conditionalFormatting>
        <x14:conditionalFormatting xmlns:xm="http://schemas.microsoft.com/office/excel/2006/main">
          <x14:cfRule type="containsText" priority="1730" operator="containsText" id="{4E32B645-9A8D-F148-A28D-938DDA1B2FB0}">
            <xm:f>NOT(ISERROR(SEARCH("-",BX37)))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36" operator="containsText" id="{A276D7E5-A3D1-254F-9242-5A09FD96D0D1}">
            <xm:f>NOT(ISERROR(SEARCH("-",BX37)))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42" operator="containsText" id="{8D68B83D-2EFF-6849-9728-DED8DA2EB57A}">
            <xm:f>NOT(ISERROR(SEARCH("-",BX37)))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48" operator="containsText" id="{DAF038E2-C16B-EB49-AEBF-FFD25387026E}">
            <xm:f>NOT(ISERROR(SEARCH("-",BX37)))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54" operator="containsText" id="{0555473C-EEA0-F348-8026-4DC6CCE03CFE}">
            <xm:f>NOT(ISERROR(SEARCH("-",BX37)))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62" operator="containsText" id="{B6DBD771-AFEB-3E40-8C3A-981669D1F5C7}">
            <xm:f>NOT(ISERROR(SEARCH("-",BX37)))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69" operator="containsText" id="{221AEDE1-D66E-CE40-89F7-3723E7790C16}">
            <xm:f>NOT(ISERROR(SEARCH("-",BX37)))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BX37:BX42</xm:sqref>
        </x14:conditionalFormatting>
        <x14:conditionalFormatting xmlns:xm="http://schemas.microsoft.com/office/excel/2006/main">
          <x14:cfRule type="containsText" priority="2142" operator="containsText" id="{45284312-7DAE-2A4F-8C19-19704A652BF7}">
            <xm:f>NOT(ISERROR(SEARCH("-",CE19)))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154" operator="containsText" id="{CB5B9B37-BCED-EF49-85F4-62C72748A614}">
            <xm:f>NOT(ISERROR(SEARCH("-",CE19)))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CE19:CE25</xm:sqref>
        </x14:conditionalFormatting>
        <x14:conditionalFormatting xmlns:xm="http://schemas.microsoft.com/office/excel/2006/main">
          <x14:cfRule type="containsText" priority="2148" operator="containsText" id="{DE59CA01-EDD2-3E46-9A78-8BC3211F7FE8}">
            <xm:f>NOT(ISERROR(SEARCH("-",CE19)))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161" operator="containsText" id="{D9BAF656-559B-8B46-99CE-20D70E8CBE47}">
            <xm:f>NOT(ISERROR(SEARCH("-",CE19)))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CE19:CE26</xm:sqref>
        </x14:conditionalFormatting>
        <x14:conditionalFormatting xmlns:xm="http://schemas.microsoft.com/office/excel/2006/main">
          <x14:cfRule type="containsText" priority="1980" operator="containsText" id="{1C5A7BBA-706F-6349-921B-4B57AD745202}">
            <xm:f>NOT(ISERROR(SEARCH("-",CE28)))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92" operator="containsText" id="{C5516775-8325-F843-89D8-F9258F073BA4}">
            <xm:f>NOT(ISERROR(SEARCH("-",CE28)))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CE28:CE33</xm:sqref>
        </x14:conditionalFormatting>
        <x14:conditionalFormatting xmlns:xm="http://schemas.microsoft.com/office/excel/2006/main">
          <x14:cfRule type="containsText" priority="1986" operator="containsText" id="{360C69CA-70EB-B447-9123-70B0D8253915}">
            <xm:f>NOT(ISERROR(SEARCH("-",CE28)))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99" operator="containsText" id="{7B3BF767-2DA2-924F-8188-94EECB16022E}">
            <xm:f>NOT(ISERROR(SEARCH("-",CE28)))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CE28:CE35</xm:sqref>
        </x14:conditionalFormatting>
        <x14:conditionalFormatting xmlns:xm="http://schemas.microsoft.com/office/excel/2006/main">
          <x14:cfRule type="containsText" priority="1673" operator="containsText" id="{56B80C4D-6418-E34E-84E2-A21F2F7ADC97}">
            <xm:f>NOT(ISERROR(SEARCH("-",CE37)))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79" operator="containsText" id="{1A667B24-120F-7E47-B13A-0231E181CC0B}">
            <xm:f>NOT(ISERROR(SEARCH("-",CE37)))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85" operator="containsText" id="{406C8DB5-1533-B44B-A3B8-506777C220BE}">
            <xm:f>NOT(ISERROR(SEARCH("-",CE37)))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91" operator="containsText" id="{156D943F-FF4D-6740-A9FB-0701B8B54C4F}">
            <xm:f>NOT(ISERROR(SEARCH("-",CE37)))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97" operator="containsText" id="{756C3447-5BC2-3A41-885C-7154E1120547}">
            <xm:f>NOT(ISERROR(SEARCH("-",CE37)))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05" operator="containsText" id="{8AE4E667-C566-654E-9EA9-2F5CF041F061}">
            <xm:f>NOT(ISERROR(SEARCH("-",CE37)))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12" operator="containsText" id="{67BC56C8-E33B-8B49-8C35-CB42671AB86E}">
            <xm:f>NOT(ISERROR(SEARCH("-",CE37)))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CE37:CE42</xm:sqref>
        </x14:conditionalFormatting>
        <x14:conditionalFormatting xmlns:xm="http://schemas.microsoft.com/office/excel/2006/main">
          <x14:cfRule type="containsText" priority="2117" operator="containsText" id="{1A8ACB4E-607A-B842-8115-7D15448CD546}">
            <xm:f>NOT(ISERROR(SEARCH("-",CL19)))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129" operator="containsText" id="{39880809-C484-9549-9BB5-BCBBB96241F0}">
            <xm:f>NOT(ISERROR(SEARCH("-",CL19)))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CL19:CL25</xm:sqref>
        </x14:conditionalFormatting>
        <x14:conditionalFormatting xmlns:xm="http://schemas.microsoft.com/office/excel/2006/main">
          <x14:cfRule type="containsText" priority="2123" operator="containsText" id="{87DE5DDA-9A45-5143-8286-7A38C7284848}">
            <xm:f>NOT(ISERROR(SEARCH("-",CL19)))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136" operator="containsText" id="{3619327D-50D8-D746-B66B-1987C8AEE0F8}">
            <xm:f>NOT(ISERROR(SEARCH("-",CL19)))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CL19:CL26</xm:sqref>
        </x14:conditionalFormatting>
        <x14:conditionalFormatting xmlns:xm="http://schemas.microsoft.com/office/excel/2006/main">
          <x14:cfRule type="containsText" priority="1955" operator="containsText" id="{EE200957-9DCC-394D-B2AC-D58E0C396C1D}">
            <xm:f>NOT(ISERROR(SEARCH("-",CL28)))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67" operator="containsText" id="{69A50418-3291-A74B-8D4D-BD8E8C84D9DB}">
            <xm:f>NOT(ISERROR(SEARCH("-",CL28)))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CL28:CL33</xm:sqref>
        </x14:conditionalFormatting>
        <x14:conditionalFormatting xmlns:xm="http://schemas.microsoft.com/office/excel/2006/main">
          <x14:cfRule type="containsText" priority="1961" operator="containsText" id="{2D77857A-5A89-A246-85AA-7B9B3867DF5F}">
            <xm:f>NOT(ISERROR(SEARCH("-",CL28)))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74" operator="containsText" id="{4486578D-BBC1-FB40-A154-FD9FE7080BDC}">
            <xm:f>NOT(ISERROR(SEARCH("-",CL28)))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CL28:CL35</xm:sqref>
        </x14:conditionalFormatting>
        <x14:conditionalFormatting xmlns:xm="http://schemas.microsoft.com/office/excel/2006/main">
          <x14:cfRule type="containsText" priority="1616" operator="containsText" id="{A859284A-04BA-5045-B828-1818E1F792B0}">
            <xm:f>NOT(ISERROR(SEARCH("-",CL37)))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22" operator="containsText" id="{CC6FB810-A6F1-DD47-AE4B-67E9A922BDEC}">
            <xm:f>NOT(ISERROR(SEARCH("-",CL37)))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28" operator="containsText" id="{00AEECB5-B694-1046-80D5-7D8D08F355DA}">
            <xm:f>NOT(ISERROR(SEARCH("-",CL37)))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34" operator="containsText" id="{46584D21-2BB1-3C45-8153-AB5045D8345B}">
            <xm:f>NOT(ISERROR(SEARCH("-",CL37)))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40" operator="containsText" id="{32040BA3-8548-BA48-8C30-81CC5D0DB7C4}">
            <xm:f>NOT(ISERROR(SEARCH("-",CL37)))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48" operator="containsText" id="{983F4660-FA4F-A44B-B806-D19AAACFA95A}">
            <xm:f>NOT(ISERROR(SEARCH("-",CL37)))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55" operator="containsText" id="{79E2AE02-2564-AA43-B81D-09533ACC0727}">
            <xm:f>NOT(ISERROR(SEARCH("-",CL37)))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CL37:CL42</xm:sqref>
        </x14:conditionalFormatting>
        <x14:conditionalFormatting xmlns:xm="http://schemas.microsoft.com/office/excel/2006/main">
          <x14:cfRule type="containsText" priority="1487" operator="containsText" id="{69EB4FF8-7D87-164D-A364-7041157478AB}">
            <xm:f>NOT(ISERROR(SEARCH("-",BC25)))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93" operator="containsText" id="{59DD9DC6-D3CA-334B-BA16-BC87F007F749}">
            <xm:f>NOT(ISERROR(SEARCH("-",BC25)))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99" operator="containsText" id="{1077A737-7246-F240-A338-1BAD992A4577}">
            <xm:f>NOT(ISERROR(SEARCH("-",BC25)))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06" operator="containsText" id="{9C99D32A-70D3-F24C-A3AD-7082E0543923}">
            <xm:f>NOT(ISERROR(SEARCH("-",BC25)))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BC25</xm:sqref>
        </x14:conditionalFormatting>
        <x14:conditionalFormatting xmlns:xm="http://schemas.microsoft.com/office/excel/2006/main">
          <x14:cfRule type="containsText" priority="1512" operator="containsText" id="{CF1495D5-7466-174D-9565-E7D49BF5C528}">
            <xm:f>NOT(ISERROR(SEARCH("-",BC25)))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BC25</xm:sqref>
        </x14:conditionalFormatting>
        <x14:conditionalFormatting xmlns:xm="http://schemas.microsoft.com/office/excel/2006/main">
          <x14:cfRule type="containsText" priority="1456" operator="containsText" id="{CEF78040-701C-4C42-96C5-BED37157E56C}">
            <xm:f>NOT(ISERROR(SEARCH("-",BJ25)))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62" operator="containsText" id="{B3FE4CF1-2243-3A4D-9777-A09E81DE621D}">
            <xm:f>NOT(ISERROR(SEARCH("-",BJ25)))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68" operator="containsText" id="{5BFF5A99-B2DA-7344-B481-08A4C7B56017}">
            <xm:f>NOT(ISERROR(SEARCH("-",BJ25)))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75" operator="containsText" id="{7D9284B4-BE83-C64F-A22D-630844342C35}">
            <xm:f>NOT(ISERROR(SEARCH("-",BJ25)))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BJ25</xm:sqref>
        </x14:conditionalFormatting>
        <x14:conditionalFormatting xmlns:xm="http://schemas.microsoft.com/office/excel/2006/main">
          <x14:cfRule type="containsText" priority="1481" operator="containsText" id="{CA7ADC43-5E51-1D4E-8170-1C74F412F4C3}">
            <xm:f>NOT(ISERROR(SEARCH("-",BJ25)))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BJ25</xm:sqref>
        </x14:conditionalFormatting>
        <x14:conditionalFormatting xmlns:xm="http://schemas.microsoft.com/office/excel/2006/main">
          <x14:cfRule type="containsText" priority="1425" operator="containsText" id="{2E5F0D00-F7BD-1E4C-B65F-0B9BB322BF6A}">
            <xm:f>NOT(ISERROR(SEARCH("-",BQ25)))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31" operator="containsText" id="{25E7678B-64E4-494F-BC00-83D451456C90}">
            <xm:f>NOT(ISERROR(SEARCH("-",BQ25)))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37" operator="containsText" id="{A775D1DD-AF91-414E-83EA-9382B9C8B988}">
            <xm:f>NOT(ISERROR(SEARCH("-",BQ25)))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44" operator="containsText" id="{AB91F515-733B-D64A-BBA3-DF0A5A027437}">
            <xm:f>NOT(ISERROR(SEARCH("-",BQ25)))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BQ25</xm:sqref>
        </x14:conditionalFormatting>
        <x14:conditionalFormatting xmlns:xm="http://schemas.microsoft.com/office/excel/2006/main">
          <x14:cfRule type="containsText" priority="1450" operator="containsText" id="{1EB1FE7E-A431-9943-96BC-269BC5C3814B}">
            <xm:f>NOT(ISERROR(SEARCH("-",BQ25)))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BQ25</xm:sqref>
        </x14:conditionalFormatting>
        <x14:conditionalFormatting xmlns:xm="http://schemas.microsoft.com/office/excel/2006/main">
          <x14:cfRule type="containsText" priority="1394" operator="containsText" id="{83FB29BA-1FA8-7A47-A2E7-0B12F54D5ED0}">
            <xm:f>NOT(ISERROR(SEARCH("-",BX25)))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00" operator="containsText" id="{2981CE9C-0A8D-1C42-BB0E-68AE801D16A8}">
            <xm:f>NOT(ISERROR(SEARCH("-",BX25)))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06" operator="containsText" id="{CEECC8E4-39FA-584A-9FC7-7F9180C7A742}">
            <xm:f>NOT(ISERROR(SEARCH("-",BX25)))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13" operator="containsText" id="{3FDC618E-3AEF-8341-B186-06A908F6379F}">
            <xm:f>NOT(ISERROR(SEARCH("-",BX25)))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BX25</xm:sqref>
        </x14:conditionalFormatting>
        <x14:conditionalFormatting xmlns:xm="http://schemas.microsoft.com/office/excel/2006/main">
          <x14:cfRule type="containsText" priority="1419" operator="containsText" id="{1A7228B7-17C2-9F4B-BEDC-1A5DFA51E1BD}">
            <xm:f>NOT(ISERROR(SEARCH("-",BX25)))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BX25</xm:sqref>
        </x14:conditionalFormatting>
        <x14:conditionalFormatting xmlns:xm="http://schemas.microsoft.com/office/excel/2006/main">
          <x14:cfRule type="containsText" priority="1363" operator="containsText" id="{63956230-075D-0945-9A59-57EF81361728}">
            <xm:f>NOT(ISERROR(SEARCH("-",CE25)))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69" operator="containsText" id="{9BE49EB7-196E-4E45-B8E8-8CEF159F74F1}">
            <xm:f>NOT(ISERROR(SEARCH("-",CE25)))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75" operator="containsText" id="{7657BAC1-902F-A243-9385-5AE16B9C7BDB}">
            <xm:f>NOT(ISERROR(SEARCH("-",CE25)))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82" operator="containsText" id="{44785C86-9C07-0548-A416-6B0874F862CC}">
            <xm:f>NOT(ISERROR(SEARCH("-",CE25)))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CE25</xm:sqref>
        </x14:conditionalFormatting>
        <x14:conditionalFormatting xmlns:xm="http://schemas.microsoft.com/office/excel/2006/main">
          <x14:cfRule type="containsText" priority="1388" operator="containsText" id="{AB1A7152-6257-1349-AB19-3F6EED388D46}">
            <xm:f>NOT(ISERROR(SEARCH("-",CE25)))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CE25</xm:sqref>
        </x14:conditionalFormatting>
        <x14:conditionalFormatting xmlns:xm="http://schemas.microsoft.com/office/excel/2006/main">
          <x14:cfRule type="containsText" priority="1332" operator="containsText" id="{7DDFE94F-9277-9049-AFCC-179B4CD32075}">
            <xm:f>NOT(ISERROR(SEARCH("-",CL25)))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38" operator="containsText" id="{711B688D-9F82-A74C-BC7B-D639BDB12018}">
            <xm:f>NOT(ISERROR(SEARCH("-",CL25)))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44" operator="containsText" id="{4AC30339-A63B-9B45-A83E-7E541FF803BB}">
            <xm:f>NOT(ISERROR(SEARCH("-",CL25)))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51" operator="containsText" id="{6A2553BA-A98F-0C4C-A7E2-12F3D2367F75}">
            <xm:f>NOT(ISERROR(SEARCH("-",CL25)))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CL25</xm:sqref>
        </x14:conditionalFormatting>
        <x14:conditionalFormatting xmlns:xm="http://schemas.microsoft.com/office/excel/2006/main">
          <x14:cfRule type="containsText" priority="1357" operator="containsText" id="{56AE6C08-0DEA-F846-9EC3-E3EB72C78C31}">
            <xm:f>NOT(ISERROR(SEARCH("-",CL25)))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CL25</xm:sqref>
        </x14:conditionalFormatting>
        <x14:conditionalFormatting xmlns:xm="http://schemas.microsoft.com/office/excel/2006/main">
          <x14:cfRule type="containsText" priority="1301" operator="containsText" id="{F0C38500-63C7-7B40-94C8-D05F96BBDB18}">
            <xm:f>NOT(ISERROR(SEARCH("-",BC25)))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07" operator="containsText" id="{4C0D15CF-871C-ED45-9422-79F9A7939EB3}">
            <xm:f>NOT(ISERROR(SEARCH("-",BC25)))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13" operator="containsText" id="{28B1B031-448F-784A-B68F-C25AADAF891C}">
            <xm:f>NOT(ISERROR(SEARCH("-",BC25)))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20" operator="containsText" id="{2DBC7239-33DB-7C41-91DB-CFA2227BD1D1}">
            <xm:f>NOT(ISERROR(SEARCH("-",BC25)))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BC25</xm:sqref>
        </x14:conditionalFormatting>
        <x14:conditionalFormatting xmlns:xm="http://schemas.microsoft.com/office/excel/2006/main">
          <x14:cfRule type="containsText" priority="1326" operator="containsText" id="{642AA88D-73F3-1B47-914A-3C4985FDE542}">
            <xm:f>NOT(ISERROR(SEARCH("-",BC25)))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BC25</xm:sqref>
        </x14:conditionalFormatting>
        <x14:conditionalFormatting xmlns:xm="http://schemas.microsoft.com/office/excel/2006/main">
          <x14:cfRule type="containsText" priority="1270" operator="containsText" id="{1D6B52B2-0F30-5D42-863C-5D113DCC013C}">
            <xm:f>NOT(ISERROR(SEARCH("-",BJ25)))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76" operator="containsText" id="{B355D932-7E36-5B4F-8A6A-24F9D369A425}">
            <xm:f>NOT(ISERROR(SEARCH("-",BJ25)))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82" operator="containsText" id="{33C603A9-216D-D64B-A0EA-48C7BB67A386}">
            <xm:f>NOT(ISERROR(SEARCH("-",BJ25)))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89" operator="containsText" id="{7778D6F2-8F0A-6C4C-BCF3-98181C3DCDCC}">
            <xm:f>NOT(ISERROR(SEARCH("-",BJ25)))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BJ25</xm:sqref>
        </x14:conditionalFormatting>
        <x14:conditionalFormatting xmlns:xm="http://schemas.microsoft.com/office/excel/2006/main">
          <x14:cfRule type="containsText" priority="1295" operator="containsText" id="{35778262-81C8-BA43-ADE5-CDAC3FC86853}">
            <xm:f>NOT(ISERROR(SEARCH("-",BJ25)))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BJ25</xm:sqref>
        </x14:conditionalFormatting>
        <x14:conditionalFormatting xmlns:xm="http://schemas.microsoft.com/office/excel/2006/main">
          <x14:cfRule type="containsText" priority="1239" operator="containsText" id="{F1797F90-18F1-884F-92F2-7B293DA8F8F4}">
            <xm:f>NOT(ISERROR(SEARCH("-",BQ25)))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45" operator="containsText" id="{56D4477C-46EF-B847-AABE-4F0D91464324}">
            <xm:f>NOT(ISERROR(SEARCH("-",BQ25)))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51" operator="containsText" id="{F9F021A1-AB12-ED4E-A08E-EA6E9138E3CD}">
            <xm:f>NOT(ISERROR(SEARCH("-",BQ25)))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58" operator="containsText" id="{CB27048F-3A82-094E-AE76-CF36305947A2}">
            <xm:f>NOT(ISERROR(SEARCH("-",BQ25)))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BQ25</xm:sqref>
        </x14:conditionalFormatting>
        <x14:conditionalFormatting xmlns:xm="http://schemas.microsoft.com/office/excel/2006/main">
          <x14:cfRule type="containsText" priority="1264" operator="containsText" id="{58A6F5EF-FAD5-8347-AAB1-15BEB216650E}">
            <xm:f>NOT(ISERROR(SEARCH("-",BQ25)))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BQ25</xm:sqref>
        </x14:conditionalFormatting>
        <x14:conditionalFormatting xmlns:xm="http://schemas.microsoft.com/office/excel/2006/main">
          <x14:cfRule type="containsText" priority="1208" operator="containsText" id="{DFD235D4-55D3-7945-80A5-7BF41A61214D}">
            <xm:f>NOT(ISERROR(SEARCH("-",BX25)))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14" operator="containsText" id="{D25AD660-D8F9-D440-B56A-F2A52CBFF2F2}">
            <xm:f>NOT(ISERROR(SEARCH("-",BX25)))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20" operator="containsText" id="{3B704EBE-AAA8-EE4D-9E95-A3F999F8C589}">
            <xm:f>NOT(ISERROR(SEARCH("-",BX25)))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27" operator="containsText" id="{00ACE72B-3A2A-A34D-BC55-EA6DF8998073}">
            <xm:f>NOT(ISERROR(SEARCH("-",BX25)))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BX25</xm:sqref>
        </x14:conditionalFormatting>
        <x14:conditionalFormatting xmlns:xm="http://schemas.microsoft.com/office/excel/2006/main">
          <x14:cfRule type="containsText" priority="1233" operator="containsText" id="{6FEA500B-8D59-C345-B4E2-71F9A6979212}">
            <xm:f>NOT(ISERROR(SEARCH("-",BX25)))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BX25</xm:sqref>
        </x14:conditionalFormatting>
        <x14:conditionalFormatting xmlns:xm="http://schemas.microsoft.com/office/excel/2006/main">
          <x14:cfRule type="containsText" priority="1177" operator="containsText" id="{86703215-8AD4-BB4E-A8C4-5FE9F691B986}">
            <xm:f>NOT(ISERROR(SEARCH("-",CE25)))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83" operator="containsText" id="{0307C705-55D7-E44A-8A08-97B2EDEBD910}">
            <xm:f>NOT(ISERROR(SEARCH("-",CE25)))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89" operator="containsText" id="{39494B0A-84F2-8F4F-9A55-701C4DE97B82}">
            <xm:f>NOT(ISERROR(SEARCH("-",CE25)))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96" operator="containsText" id="{A55C2ED8-8049-BE42-9C26-A8594D01053D}">
            <xm:f>NOT(ISERROR(SEARCH("-",CE25)))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CE25</xm:sqref>
        </x14:conditionalFormatting>
        <x14:conditionalFormatting xmlns:xm="http://schemas.microsoft.com/office/excel/2006/main">
          <x14:cfRule type="containsText" priority="1202" operator="containsText" id="{5BF10007-9FCB-564A-8ECA-FAE83139834A}">
            <xm:f>NOT(ISERROR(SEARCH("-",CE25)))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CE25</xm:sqref>
        </x14:conditionalFormatting>
        <x14:conditionalFormatting xmlns:xm="http://schemas.microsoft.com/office/excel/2006/main">
          <x14:cfRule type="containsText" priority="1146" operator="containsText" id="{04593D47-08DB-854D-9B01-49ADB0F4DC0F}">
            <xm:f>NOT(ISERROR(SEARCH("-",CL25)))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52" operator="containsText" id="{A87933FD-92E4-A643-9D43-CBE10FB8F8EF}">
            <xm:f>NOT(ISERROR(SEARCH("-",CL25)))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58" operator="containsText" id="{A18E4534-8884-8846-8D45-D335D67BB175}">
            <xm:f>NOT(ISERROR(SEARCH("-",CL25)))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65" operator="containsText" id="{541F3083-01BE-2D43-8743-7FDD5DF0382D}">
            <xm:f>NOT(ISERROR(SEARCH("-",CL25)))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CL25</xm:sqref>
        </x14:conditionalFormatting>
        <x14:conditionalFormatting xmlns:xm="http://schemas.microsoft.com/office/excel/2006/main">
          <x14:cfRule type="containsText" priority="1171" operator="containsText" id="{01F78576-8753-2A41-8F92-F4211B4DE5F9}">
            <xm:f>NOT(ISERROR(SEARCH("-",CL25)))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CL25</xm:sqref>
        </x14:conditionalFormatting>
        <x14:conditionalFormatting xmlns:xm="http://schemas.microsoft.com/office/excel/2006/main">
          <x14:cfRule type="containsText" priority="1102" operator="containsText" id="{DE81F1D6-8EDD-9A4E-A925-4268C631C6B7}">
            <xm:f>NOT(ISERROR(SEARCH("-",CS19)))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14" operator="containsText" id="{FB4992A5-728F-5A4E-81A1-895240238A61}">
            <xm:f>NOT(ISERROR(SEARCH("-",CS19)))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CS19:CS25</xm:sqref>
        </x14:conditionalFormatting>
        <x14:conditionalFormatting xmlns:xm="http://schemas.microsoft.com/office/excel/2006/main">
          <x14:cfRule type="containsText" priority="1108" operator="containsText" id="{C4F3113D-6736-6741-AD23-080B43E8EAC9}">
            <xm:f>NOT(ISERROR(SEARCH("-",CS19)))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20" operator="containsText" id="{A63CD50A-51C6-5145-8803-17B17B89B45B}">
            <xm:f>NOT(ISERROR(SEARCH("-",CS19)))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35" operator="containsText" id="{C71695C0-3335-4D43-AD62-E9B3CBDFFAD1}">
            <xm:f>NOT(ISERROR(SEARCH("-",CS19)))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CS19:CS26</xm:sqref>
        </x14:conditionalFormatting>
        <x14:conditionalFormatting xmlns:xm="http://schemas.microsoft.com/office/excel/2006/main">
          <x14:cfRule type="containsText" priority="940" operator="containsText" id="{DEE93443-43E0-3A4D-BEF8-299637EE7594}">
            <xm:f>NOT(ISERROR(SEARCH("-",CS28)))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52" operator="containsText" id="{C46B24CD-40BA-BF49-A66D-0BD276AB1569}">
            <xm:f>NOT(ISERROR(SEARCH("-",CS28)))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CS28:CS33</xm:sqref>
        </x14:conditionalFormatting>
        <x14:conditionalFormatting xmlns:xm="http://schemas.microsoft.com/office/excel/2006/main">
          <x14:cfRule type="containsText" priority="946" operator="containsText" id="{76E4E532-5111-014A-94EE-C560D311C144}">
            <xm:f>NOT(ISERROR(SEARCH("-",CS28)))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58" operator="containsText" id="{3B8A0DF1-A167-A34F-865E-13B40D60B1C4}">
            <xm:f>NOT(ISERROR(SEARCH("-",CS28)))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71" operator="containsText" id="{4B73FE1D-E5A7-6C49-8580-DD7D7E9B26E2}">
            <xm:f>NOT(ISERROR(SEARCH("-",CS28)))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CS28:CS35</xm:sqref>
        </x14:conditionalFormatting>
        <x14:conditionalFormatting xmlns:xm="http://schemas.microsoft.com/office/excel/2006/main">
          <x14:cfRule type="containsText" priority="761" operator="containsText" id="{A7AB12CC-38B5-F047-AACB-9A3F226E30E6}">
            <xm:f>NOT(ISERROR(SEARCH("-",CS37)))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67" operator="containsText" id="{A4A41A99-F472-E24E-97CC-0B0082575A50}">
            <xm:f>NOT(ISERROR(SEARCH("-",CS37)))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73" operator="containsText" id="{9492FA93-F608-C14B-B8CA-36677F0AA299}">
            <xm:f>NOT(ISERROR(SEARCH("-",CS37)))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79" operator="containsText" id="{4F4A0DA4-8F7B-0E47-ADD1-7BB81D19042A}">
            <xm:f>NOT(ISERROR(SEARCH("-",CS37)))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85" operator="containsText" id="{3B2FA0F3-887E-0C49-A52C-A1B6816A842A}">
            <xm:f>NOT(ISERROR(SEARCH("-",CS37)))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93" operator="containsText" id="{C9B290C2-6CA9-9B44-BB3B-71775BEB5DFC}">
            <xm:f>NOT(ISERROR(SEARCH("-",CS37)))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00" operator="containsText" id="{7F920913-9B58-354E-BDDF-60723713290B}">
            <xm:f>NOT(ISERROR(SEARCH("-",CS37)))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CS37:CS42</xm:sqref>
        </x14:conditionalFormatting>
        <x14:conditionalFormatting xmlns:xm="http://schemas.microsoft.com/office/excel/2006/main">
          <x14:cfRule type="containsText" priority="1078" operator="containsText" id="{9BCADA94-91BA-E04A-AB79-AE48657E791F}">
            <xm:f>NOT(ISERROR(SEARCH("-",CZ19)))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90" operator="containsText" id="{90281E88-86E3-6F4D-B838-013A249A7338}">
            <xm:f>NOT(ISERROR(SEARCH("-",CZ19)))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CZ19:CZ25</xm:sqref>
        </x14:conditionalFormatting>
        <x14:conditionalFormatting xmlns:xm="http://schemas.microsoft.com/office/excel/2006/main">
          <x14:cfRule type="containsText" priority="1084" operator="containsText" id="{647D513D-19F0-2942-B9CE-4C3363BD07AD}">
            <xm:f>NOT(ISERROR(SEARCH("-",CZ19)))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96" operator="containsText" id="{E315B2EC-238F-2849-B648-C64D25DD8B0E}">
            <xm:f>NOT(ISERROR(SEARCH("-",CZ19)))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29" operator="containsText" id="{A6838ED8-19CD-9D49-965B-2CF04F399E2E}">
            <xm:f>NOT(ISERROR(SEARCH("-",CZ19)))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CZ19:CZ26</xm:sqref>
        </x14:conditionalFormatting>
        <x14:conditionalFormatting xmlns:xm="http://schemas.microsoft.com/office/excel/2006/main">
          <x14:cfRule type="containsText" priority="916" operator="containsText" id="{429A1EA1-110F-D84C-B47C-A5FC7B866B7B}">
            <xm:f>NOT(ISERROR(SEARCH("-",CZ28)))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28" operator="containsText" id="{23CAC297-4FA5-FE46-A54D-F6305D87782E}">
            <xm:f>NOT(ISERROR(SEARCH("-",CZ28)))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CZ28:CZ33</xm:sqref>
        </x14:conditionalFormatting>
        <x14:conditionalFormatting xmlns:xm="http://schemas.microsoft.com/office/excel/2006/main">
          <x14:cfRule type="containsText" priority="922" operator="containsText" id="{23915CB8-8096-0C42-9BA8-D6B7B4CB9C03}">
            <xm:f>NOT(ISERROR(SEARCH("-",CZ28)))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34" operator="containsText" id="{E5917279-6C4F-A848-BB1C-449F6B084B3E}">
            <xm:f>NOT(ISERROR(SEARCH("-",CZ28)))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65" operator="containsText" id="{FB201623-FAFF-0140-BD19-FF387CD397E0}">
            <xm:f>NOT(ISERROR(SEARCH("-",CZ28)))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CZ28:CZ35</xm:sqref>
        </x14:conditionalFormatting>
        <x14:conditionalFormatting xmlns:xm="http://schemas.microsoft.com/office/excel/2006/main">
          <x14:cfRule type="containsText" priority="704" operator="containsText" id="{A53D5BEB-BB32-904F-B5E2-7E8476697607}">
            <xm:f>NOT(ISERROR(SEARCH("-",CZ37)))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10" operator="containsText" id="{DF9F27DC-3156-FC4A-954A-4212EAAE3574}">
            <xm:f>NOT(ISERROR(SEARCH("-",CZ37)))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16" operator="containsText" id="{0EAE5E38-BF14-4F4F-83A7-3266B82091D0}">
            <xm:f>NOT(ISERROR(SEARCH("-",CZ37)))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22" operator="containsText" id="{2560EDA0-6FF1-C044-BBB0-45FF8ED04009}">
            <xm:f>NOT(ISERROR(SEARCH("-",CZ37)))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28" operator="containsText" id="{AF957F02-7C36-B742-841E-C9343B8DAD15}">
            <xm:f>NOT(ISERROR(SEARCH("-",CZ37)))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36" operator="containsText" id="{2E046FF0-A109-5B47-8C38-9CF0B00E6AFE}">
            <xm:f>NOT(ISERROR(SEARCH("-",CZ37)))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43" operator="containsText" id="{85D40ADA-4F09-3446-8150-D8502D7B1260}">
            <xm:f>NOT(ISERROR(SEARCH("-",CZ37)))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CZ37:CZ42</xm:sqref>
        </x14:conditionalFormatting>
        <x14:conditionalFormatting xmlns:xm="http://schemas.microsoft.com/office/excel/2006/main">
          <x14:cfRule type="containsText" priority="1053" operator="containsText" id="{28C9154E-E8D4-2549-B453-93590AD14DB9}">
            <xm:f>NOT(ISERROR(SEARCH("-",DG19)))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65" operator="containsText" id="{FAB9B2FA-25DB-7748-B6A9-5F4BD8FAB4FF}">
            <xm:f>NOT(ISERROR(SEARCH("-",DG19)))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DG19:DG25</xm:sqref>
        </x14:conditionalFormatting>
        <x14:conditionalFormatting xmlns:xm="http://schemas.microsoft.com/office/excel/2006/main">
          <x14:cfRule type="containsText" priority="1059" operator="containsText" id="{999AB227-24F9-104C-81CB-2D008285F3A6}">
            <xm:f>NOT(ISERROR(SEARCH("-",DG19)))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72" operator="containsText" id="{CBDA2FEE-2FB7-7346-949F-F64847442DC8}">
            <xm:f>NOT(ISERROR(SEARCH("-",DG19)))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DG19:DG26</xm:sqref>
        </x14:conditionalFormatting>
        <x14:conditionalFormatting xmlns:xm="http://schemas.microsoft.com/office/excel/2006/main">
          <x14:cfRule type="containsText" priority="891" operator="containsText" id="{C4DD6E83-7D3D-C24B-A88B-525477F5CC40}">
            <xm:f>NOT(ISERROR(SEARCH("-",DG28)))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03" operator="containsText" id="{1B45A4AA-655A-C244-84F3-C684E094F2E7}">
            <xm:f>NOT(ISERROR(SEARCH("-",DG28)))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DG28:DG33</xm:sqref>
        </x14:conditionalFormatting>
        <x14:conditionalFormatting xmlns:xm="http://schemas.microsoft.com/office/excel/2006/main">
          <x14:cfRule type="containsText" priority="897" operator="containsText" id="{3C7E9EDD-0BC9-704C-B77D-6D32A7838B12}">
            <xm:f>NOT(ISERROR(SEARCH("-",DG28)))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10" operator="containsText" id="{D3E593FE-AEC6-7843-A7AE-948B52FB070F}">
            <xm:f>NOT(ISERROR(SEARCH("-",DG28)))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DG28:DG35</xm:sqref>
        </x14:conditionalFormatting>
        <x14:conditionalFormatting xmlns:xm="http://schemas.microsoft.com/office/excel/2006/main">
          <x14:cfRule type="containsText" priority="647" operator="containsText" id="{29A195F5-0829-1941-9BA9-B55F09B10C0D}">
            <xm:f>NOT(ISERROR(SEARCH("-",DG37)))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53" operator="containsText" id="{89147D84-6A52-724B-9BF1-703E0BECC160}">
            <xm:f>NOT(ISERROR(SEARCH("-",DG37)))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59" operator="containsText" id="{1AADD918-B118-A446-AC07-052D33513B5E}">
            <xm:f>NOT(ISERROR(SEARCH("-",DG37)))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65" operator="containsText" id="{A0100ECC-6DB8-E14F-AA18-E4EF55F5CF6E}">
            <xm:f>NOT(ISERROR(SEARCH("-",DG37)))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71" operator="containsText" id="{714E17EA-FBF3-6748-A2D0-9E1E37CC46B7}">
            <xm:f>NOT(ISERROR(SEARCH("-",DG37)))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79" operator="containsText" id="{BBAC10F9-D807-904E-8B12-B832BA7B58DB}">
            <xm:f>NOT(ISERROR(SEARCH("-",DG37)))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86" operator="containsText" id="{9A85896F-B665-B449-9C53-14987756B0DB}">
            <xm:f>NOT(ISERROR(SEARCH("-",DG37)))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DG37:DG42</xm:sqref>
        </x14:conditionalFormatting>
        <x14:conditionalFormatting xmlns:xm="http://schemas.microsoft.com/office/excel/2006/main">
          <x14:cfRule type="containsText" priority="1028" operator="containsText" id="{B3CE0A4A-510F-0D4D-A51E-73F62AF41D43}">
            <xm:f>NOT(ISERROR(SEARCH("-",DN19)))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40" operator="containsText" id="{19D011F7-A2E7-014D-94A0-67277A89E209}">
            <xm:f>NOT(ISERROR(SEARCH("-",DN19)))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DN19:DN25</xm:sqref>
        </x14:conditionalFormatting>
        <x14:conditionalFormatting xmlns:xm="http://schemas.microsoft.com/office/excel/2006/main">
          <x14:cfRule type="containsText" priority="1034" operator="containsText" id="{EB38CC95-E089-0F40-A800-8741011F784F}">
            <xm:f>NOT(ISERROR(SEARCH("-",DN19)))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47" operator="containsText" id="{B28E9933-C414-2843-B0D6-2FBD497EEC93}">
            <xm:f>NOT(ISERROR(SEARCH("-",DN19)))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DN19:DN26</xm:sqref>
        </x14:conditionalFormatting>
        <x14:conditionalFormatting xmlns:xm="http://schemas.microsoft.com/office/excel/2006/main">
          <x14:cfRule type="containsText" priority="866" operator="containsText" id="{B52ECC99-BD78-8647-A6E5-995963723C4D}">
            <xm:f>NOT(ISERROR(SEARCH("-",DN28)))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78" operator="containsText" id="{564358F2-DAC2-D740-AD6A-0A4D4DB52390}">
            <xm:f>NOT(ISERROR(SEARCH("-",DN28)))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DN28:DN33</xm:sqref>
        </x14:conditionalFormatting>
        <x14:conditionalFormatting xmlns:xm="http://schemas.microsoft.com/office/excel/2006/main">
          <x14:cfRule type="containsText" priority="872" operator="containsText" id="{969D8B3D-7BFC-D94D-9F81-36EE1FDF1AD3}">
            <xm:f>NOT(ISERROR(SEARCH("-",DN28)))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85" operator="containsText" id="{F7109EB0-6EE2-CA40-85E0-CF6CDA1CA5F2}">
            <xm:f>NOT(ISERROR(SEARCH("-",DN28)))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DN28:DN35</xm:sqref>
        </x14:conditionalFormatting>
        <x14:conditionalFormatting xmlns:xm="http://schemas.microsoft.com/office/excel/2006/main">
          <x14:cfRule type="containsText" priority="590" operator="containsText" id="{76FB37BF-4BA9-3C4E-8F36-DE7178EE0910}">
            <xm:f>NOT(ISERROR(SEARCH("-",DN37)))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96" operator="containsText" id="{E26C9292-DC19-2345-9213-7D1D5B562789}">
            <xm:f>NOT(ISERROR(SEARCH("-",DN37)))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02" operator="containsText" id="{B6D42293-5348-AA46-8A82-18997C59DF0D}">
            <xm:f>NOT(ISERROR(SEARCH("-",DN37)))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08" operator="containsText" id="{92BF5F06-DA39-AF46-BB7A-954AD20027BD}">
            <xm:f>NOT(ISERROR(SEARCH("-",DN37)))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14" operator="containsText" id="{2E6D93EC-550A-C44B-9D9C-388C106F7BA6}">
            <xm:f>NOT(ISERROR(SEARCH("-",DN37)))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22" operator="containsText" id="{AD84C6E7-AD8B-F045-930A-E559436F21FB}">
            <xm:f>NOT(ISERROR(SEARCH("-",DN37)))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29" operator="containsText" id="{3B3EE9F0-8274-DD4E-9CFB-732A5C9453C9}">
            <xm:f>NOT(ISERROR(SEARCH("-",DN37)))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DN37:DN42</xm:sqref>
        </x14:conditionalFormatting>
        <x14:conditionalFormatting xmlns:xm="http://schemas.microsoft.com/office/excel/2006/main">
          <x14:cfRule type="containsText" priority="1003" operator="containsText" id="{58D63D56-28EE-9C40-B5EC-254CD692E7A8}">
            <xm:f>NOT(ISERROR(SEARCH("-",DU19)))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15" operator="containsText" id="{E9282C05-018E-4E45-93F0-8DDE5D223BE3}">
            <xm:f>NOT(ISERROR(SEARCH("-",DU19)))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DU19:DU25</xm:sqref>
        </x14:conditionalFormatting>
        <x14:conditionalFormatting xmlns:xm="http://schemas.microsoft.com/office/excel/2006/main">
          <x14:cfRule type="containsText" priority="1009" operator="containsText" id="{7A7354B6-F225-8248-BEE8-C84900EF752B}">
            <xm:f>NOT(ISERROR(SEARCH("-",DU19)))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22" operator="containsText" id="{6BD2CCD3-2D79-FE4C-B3EB-6D479580A84C}">
            <xm:f>NOT(ISERROR(SEARCH("-",DU19)))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DU19:DU26</xm:sqref>
        </x14:conditionalFormatting>
        <x14:conditionalFormatting xmlns:xm="http://schemas.microsoft.com/office/excel/2006/main">
          <x14:cfRule type="containsText" priority="841" operator="containsText" id="{6CFC5CC5-4BBD-AC40-8E05-4D2C36B02FE3}">
            <xm:f>NOT(ISERROR(SEARCH("-",DU28)))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53" operator="containsText" id="{7A12AAC7-B820-9B4E-908F-B683D2CA05B0}">
            <xm:f>NOT(ISERROR(SEARCH("-",DU28)))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DU28:DU33</xm:sqref>
        </x14:conditionalFormatting>
        <x14:conditionalFormatting xmlns:xm="http://schemas.microsoft.com/office/excel/2006/main">
          <x14:cfRule type="containsText" priority="847" operator="containsText" id="{E894B854-9041-784C-9B1E-4E6A866E0225}">
            <xm:f>NOT(ISERROR(SEARCH("-",DU28)))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60" operator="containsText" id="{86473F8F-18CD-B245-9268-619A54673F37}">
            <xm:f>NOT(ISERROR(SEARCH("-",DU28)))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DU28:DU35</xm:sqref>
        </x14:conditionalFormatting>
        <x14:conditionalFormatting xmlns:xm="http://schemas.microsoft.com/office/excel/2006/main">
          <x14:cfRule type="containsText" priority="533" operator="containsText" id="{59133385-FF07-F246-873D-60CBC60A3BB4}">
            <xm:f>NOT(ISERROR(SEARCH("-",DU37)))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39" operator="containsText" id="{747E08DA-5346-9E41-A171-33D65AD7A4FE}">
            <xm:f>NOT(ISERROR(SEARCH("-",DU37)))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45" operator="containsText" id="{913EB01C-34F3-414F-8E4A-02031310A5CB}">
            <xm:f>NOT(ISERROR(SEARCH("-",DU37)))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51" operator="containsText" id="{7ECC9423-D6B0-2C47-B6C3-9982D65B0BAC}">
            <xm:f>NOT(ISERROR(SEARCH("-",DU37)))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57" operator="containsText" id="{A5E322D7-727D-5C4C-A602-EE2032753EA4}">
            <xm:f>NOT(ISERROR(SEARCH("-",DU37)))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65" operator="containsText" id="{C4C4F777-DD9E-5642-B801-26DC949ED4BB}">
            <xm:f>NOT(ISERROR(SEARCH("-",DU37)))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72" operator="containsText" id="{6D0330BE-DCFB-0E44-B7FD-9FB95C04BCBF}">
            <xm:f>NOT(ISERROR(SEARCH("-",DU37)))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DU37:DU42</xm:sqref>
        </x14:conditionalFormatting>
        <x14:conditionalFormatting xmlns:xm="http://schemas.microsoft.com/office/excel/2006/main">
          <x14:cfRule type="containsText" priority="978" operator="containsText" id="{3CF23DBD-75BA-444C-80BF-8126ED1D7FBB}">
            <xm:f>NOT(ISERROR(SEARCH("-",EB19)))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90" operator="containsText" id="{F9FE6893-BC7C-5546-B648-42D1A33772B5}">
            <xm:f>NOT(ISERROR(SEARCH("-",EB19)))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EB19:EB25</xm:sqref>
        </x14:conditionalFormatting>
        <x14:conditionalFormatting xmlns:xm="http://schemas.microsoft.com/office/excel/2006/main">
          <x14:cfRule type="containsText" priority="984" operator="containsText" id="{96E224CB-053C-1D47-B65F-25EE5D67FF85}">
            <xm:f>NOT(ISERROR(SEARCH("-",EB19)))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97" operator="containsText" id="{808070C1-BACD-A14B-93BC-7C96A6276BF8}">
            <xm:f>NOT(ISERROR(SEARCH("-",EB19)))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EB19:EB26</xm:sqref>
        </x14:conditionalFormatting>
        <x14:conditionalFormatting xmlns:xm="http://schemas.microsoft.com/office/excel/2006/main">
          <x14:cfRule type="containsText" priority="816" operator="containsText" id="{5604D256-A34E-7B46-AEC4-55E9CDA470DD}">
            <xm:f>NOT(ISERROR(SEARCH("-",EB28)))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28" operator="containsText" id="{C05A771C-0908-6840-97CF-5727CDA7B6F8}">
            <xm:f>NOT(ISERROR(SEARCH("-",EB28)))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EB28:EB33</xm:sqref>
        </x14:conditionalFormatting>
        <x14:conditionalFormatting xmlns:xm="http://schemas.microsoft.com/office/excel/2006/main">
          <x14:cfRule type="containsText" priority="822" operator="containsText" id="{D099EA0A-3CFE-5747-B9B0-9E3359EB2880}">
            <xm:f>NOT(ISERROR(SEARCH("-",EB28)))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35" operator="containsText" id="{1F5E35B0-40E3-584D-8C3D-6E70A347A0A9}">
            <xm:f>NOT(ISERROR(SEARCH("-",EB28)))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EB28:EB35</xm:sqref>
        </x14:conditionalFormatting>
        <x14:conditionalFormatting xmlns:xm="http://schemas.microsoft.com/office/excel/2006/main">
          <x14:cfRule type="containsText" priority="476" operator="containsText" id="{A1CE6FCC-062A-2F43-BBC8-64AFA5457892}">
            <xm:f>NOT(ISERROR(SEARCH("-",EB37)))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82" operator="containsText" id="{D60033CC-B720-DD42-8801-4F3CE7D73BC4}">
            <xm:f>NOT(ISERROR(SEARCH("-",EB37)))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88" operator="containsText" id="{B0B99370-6CFE-1C4E-B338-24E8A763ABAA}">
            <xm:f>NOT(ISERROR(SEARCH("-",EB37)))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94" operator="containsText" id="{CEE4069B-6385-C849-ADFE-3A48E8F66ED9}">
            <xm:f>NOT(ISERROR(SEARCH("-",EB37)))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00" operator="containsText" id="{C69FFE62-04D7-D344-9503-39FD214359E4}">
            <xm:f>NOT(ISERROR(SEARCH("-",EB37)))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08" operator="containsText" id="{33003AC1-2EDE-A64B-970A-310F634356FC}">
            <xm:f>NOT(ISERROR(SEARCH("-",EB37)))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15" operator="containsText" id="{AFFA89C5-A45A-4343-A1AD-C92FFA2B7BD9}">
            <xm:f>NOT(ISERROR(SEARCH("-",EB37)))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EB37:EB42</xm:sqref>
        </x14:conditionalFormatting>
        <x14:conditionalFormatting xmlns:xm="http://schemas.microsoft.com/office/excel/2006/main">
          <x14:cfRule type="containsText" priority="347" operator="containsText" id="{CE55470D-C4CE-8641-82A4-FB91B5395E54}">
            <xm:f>NOT(ISERROR(SEARCH("-",CS25)))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53" operator="containsText" id="{11F2E472-FA33-D645-ACE8-72EFBB9BB38E}">
            <xm:f>NOT(ISERROR(SEARCH("-",CS25)))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59" operator="containsText" id="{EE4438BC-2188-8142-A351-53E0ADE2A34E}">
            <xm:f>NOT(ISERROR(SEARCH("-",CS25)))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66" operator="containsText" id="{9A926483-25B6-7541-8B1C-D39427453800}">
            <xm:f>NOT(ISERROR(SEARCH("-",CS25)))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CS25</xm:sqref>
        </x14:conditionalFormatting>
        <x14:conditionalFormatting xmlns:xm="http://schemas.microsoft.com/office/excel/2006/main">
          <x14:cfRule type="containsText" priority="372" operator="containsText" id="{80DA705F-8D84-EE4E-9D10-4338B80B0DA5}">
            <xm:f>NOT(ISERROR(SEARCH("-",CS25)))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CS25</xm:sqref>
        </x14:conditionalFormatting>
        <x14:conditionalFormatting xmlns:xm="http://schemas.microsoft.com/office/excel/2006/main">
          <x14:cfRule type="containsText" priority="316" operator="containsText" id="{F69A9707-31FB-DB49-8202-A5B4EC1FFF06}">
            <xm:f>NOT(ISERROR(SEARCH("-",CZ25)))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22" operator="containsText" id="{CA3B0BBE-9D48-8543-BF02-FA29C24D4464}">
            <xm:f>NOT(ISERROR(SEARCH("-",CZ25)))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28" operator="containsText" id="{79C6AFED-C2DA-A044-9E70-69822CC8922C}">
            <xm:f>NOT(ISERROR(SEARCH("-",CZ25)))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35" operator="containsText" id="{208A3E1F-178F-0345-91B1-2B4C2071BBCF}">
            <xm:f>NOT(ISERROR(SEARCH("-",CZ25)))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CZ25</xm:sqref>
        </x14:conditionalFormatting>
        <x14:conditionalFormatting xmlns:xm="http://schemas.microsoft.com/office/excel/2006/main">
          <x14:cfRule type="containsText" priority="341" operator="containsText" id="{67414DBE-C923-8E46-9FC5-458AA83BBFD4}">
            <xm:f>NOT(ISERROR(SEARCH("-",CZ25)))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CZ25</xm:sqref>
        </x14:conditionalFormatting>
        <x14:conditionalFormatting xmlns:xm="http://schemas.microsoft.com/office/excel/2006/main">
          <x14:cfRule type="containsText" priority="285" operator="containsText" id="{8262D38B-9111-0E40-8C7A-014CB29A74DE}">
            <xm:f>NOT(ISERROR(SEARCH("-",DG25)))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91" operator="containsText" id="{136420CE-8793-CF4F-B6B5-61F3E3A4757A}">
            <xm:f>NOT(ISERROR(SEARCH("-",DG25)))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97" operator="containsText" id="{BFB5725C-0212-B541-A321-135C1954EAAE}">
            <xm:f>NOT(ISERROR(SEARCH("-",DG25)))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04" operator="containsText" id="{08D95743-A478-374D-A444-CE7D4A6C4D76}">
            <xm:f>NOT(ISERROR(SEARCH("-",DG25)))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DG25</xm:sqref>
        </x14:conditionalFormatting>
        <x14:conditionalFormatting xmlns:xm="http://schemas.microsoft.com/office/excel/2006/main">
          <x14:cfRule type="containsText" priority="310" operator="containsText" id="{49E111F2-3E7D-4643-A1DD-36D1F8165FEF}">
            <xm:f>NOT(ISERROR(SEARCH("-",DG25)))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DG25</xm:sqref>
        </x14:conditionalFormatting>
        <x14:conditionalFormatting xmlns:xm="http://schemas.microsoft.com/office/excel/2006/main">
          <x14:cfRule type="containsText" priority="254" operator="containsText" id="{0B37E0D4-A29D-A94F-87B8-61016803E865}">
            <xm:f>NOT(ISERROR(SEARCH("-",DN25)))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60" operator="containsText" id="{5426CE00-E8DF-B046-BA19-450CE5365198}">
            <xm:f>NOT(ISERROR(SEARCH("-",DN25)))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66" operator="containsText" id="{FBD36200-0292-A04B-81C9-F18583EBC065}">
            <xm:f>NOT(ISERROR(SEARCH("-",DN25)))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73" operator="containsText" id="{588849A0-2E35-0342-8073-7ACD92271C3E}">
            <xm:f>NOT(ISERROR(SEARCH("-",DN25)))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DN25</xm:sqref>
        </x14:conditionalFormatting>
        <x14:conditionalFormatting xmlns:xm="http://schemas.microsoft.com/office/excel/2006/main">
          <x14:cfRule type="containsText" priority="279" operator="containsText" id="{D09DE6D9-F347-1B42-91A9-5C2E4B11589A}">
            <xm:f>NOT(ISERROR(SEARCH("-",DN25)))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DN25</xm:sqref>
        </x14:conditionalFormatting>
        <x14:conditionalFormatting xmlns:xm="http://schemas.microsoft.com/office/excel/2006/main">
          <x14:cfRule type="containsText" priority="223" operator="containsText" id="{B95B03B3-7425-F640-A924-8954D61499E2}">
            <xm:f>NOT(ISERROR(SEARCH("-",DU25)))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29" operator="containsText" id="{D3B13DCB-A3C7-4C42-92C4-BE58287BA4C7}">
            <xm:f>NOT(ISERROR(SEARCH("-",DU25)))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35" operator="containsText" id="{B1C77516-994D-7940-97E4-CEDA994907B4}">
            <xm:f>NOT(ISERROR(SEARCH("-",DU25)))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2" operator="containsText" id="{EA63253E-2675-F74D-B7A9-E0713469AF9C}">
            <xm:f>NOT(ISERROR(SEARCH("-",DU25)))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DU25</xm:sqref>
        </x14:conditionalFormatting>
        <x14:conditionalFormatting xmlns:xm="http://schemas.microsoft.com/office/excel/2006/main">
          <x14:cfRule type="containsText" priority="248" operator="containsText" id="{10A02809-A07F-2748-AFCF-A6C3AD18E80B}">
            <xm:f>NOT(ISERROR(SEARCH("-",DU25)))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DU25</xm:sqref>
        </x14:conditionalFormatting>
        <x14:conditionalFormatting xmlns:xm="http://schemas.microsoft.com/office/excel/2006/main">
          <x14:cfRule type="containsText" priority="192" operator="containsText" id="{494D8A18-E549-0549-860D-14740E0F4423}">
            <xm:f>NOT(ISERROR(SEARCH("-",EB25)))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8" operator="containsText" id="{FBE854C8-9024-8243-BE67-E10F46C2DF94}">
            <xm:f>NOT(ISERROR(SEARCH("-",EB25)))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04" operator="containsText" id="{80AB04A5-172B-C641-8382-34D1BB31D85B}">
            <xm:f>NOT(ISERROR(SEARCH("-",EB25)))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11" operator="containsText" id="{06B41125-DF5F-CD48-AC61-EDD540A25454}">
            <xm:f>NOT(ISERROR(SEARCH("-",EB25)))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EB25</xm:sqref>
        </x14:conditionalFormatting>
        <x14:conditionalFormatting xmlns:xm="http://schemas.microsoft.com/office/excel/2006/main">
          <x14:cfRule type="containsText" priority="217" operator="containsText" id="{166F18D1-9AC1-8B4F-AFE1-51FFC565D0AA}">
            <xm:f>NOT(ISERROR(SEARCH("-",EB25)))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EB25</xm:sqref>
        </x14:conditionalFormatting>
        <x14:conditionalFormatting xmlns:xm="http://schemas.microsoft.com/office/excel/2006/main">
          <x14:cfRule type="containsText" priority="161" operator="containsText" id="{0E5AA89A-80D5-2C4E-838C-B0F73D1148F3}">
            <xm:f>NOT(ISERROR(SEARCH("-",CS25)))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7" operator="containsText" id="{A7B27879-5782-D748-A90B-AF2F71649568}">
            <xm:f>NOT(ISERROR(SEARCH("-",CS25)))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3" operator="containsText" id="{A83CAEBB-B3E6-C94A-85DE-413B5393C44F}">
            <xm:f>NOT(ISERROR(SEARCH("-",CS25)))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0" operator="containsText" id="{6243FE5C-45CC-1945-93C0-CF6143949EE1}">
            <xm:f>NOT(ISERROR(SEARCH("-",CS25)))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CS25</xm:sqref>
        </x14:conditionalFormatting>
        <x14:conditionalFormatting xmlns:xm="http://schemas.microsoft.com/office/excel/2006/main">
          <x14:cfRule type="containsText" priority="186" operator="containsText" id="{EAB37A1F-33FB-C54C-AA49-B406526D759A}">
            <xm:f>NOT(ISERROR(SEARCH("-",CS25)))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CS25</xm:sqref>
        </x14:conditionalFormatting>
        <x14:conditionalFormatting xmlns:xm="http://schemas.microsoft.com/office/excel/2006/main">
          <x14:cfRule type="containsText" priority="130" operator="containsText" id="{AAABB37F-90C9-3E48-B778-0D7D3F7FFACB}">
            <xm:f>NOT(ISERROR(SEARCH("-",CZ25)))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6" operator="containsText" id="{31EF475B-3864-9847-8381-2588FC8FB016}">
            <xm:f>NOT(ISERROR(SEARCH("-",CZ25)))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2" operator="containsText" id="{29C3F338-42DE-E045-A77D-C20F8EB8993A}">
            <xm:f>NOT(ISERROR(SEARCH("-",CZ25)))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9" operator="containsText" id="{02C3EB94-F628-3845-BE04-DDEE05A620F2}">
            <xm:f>NOT(ISERROR(SEARCH("-",CZ25)))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CZ25</xm:sqref>
        </x14:conditionalFormatting>
        <x14:conditionalFormatting xmlns:xm="http://schemas.microsoft.com/office/excel/2006/main">
          <x14:cfRule type="containsText" priority="155" operator="containsText" id="{D428C747-C97F-0B40-90DF-68DB3E1ED886}">
            <xm:f>NOT(ISERROR(SEARCH("-",CZ25)))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CZ25</xm:sqref>
        </x14:conditionalFormatting>
        <x14:conditionalFormatting xmlns:xm="http://schemas.microsoft.com/office/excel/2006/main">
          <x14:cfRule type="containsText" priority="99" operator="containsText" id="{18170E0C-570B-B342-82C7-09E3498A97DD}">
            <xm:f>NOT(ISERROR(SEARCH("-",DG25)))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5" operator="containsText" id="{3721ED6D-51D5-8D40-BE15-60CCBA7A12B4}">
            <xm:f>NOT(ISERROR(SEARCH("-",DG25)))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1" operator="containsText" id="{56E2623A-C8A2-EC49-9118-B977A3EA07C9}">
            <xm:f>NOT(ISERROR(SEARCH("-",DG25)))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8" operator="containsText" id="{0EDD3FFB-1A50-FE41-ABA4-93AE087A0B97}">
            <xm:f>NOT(ISERROR(SEARCH("-",DG25)))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DG25</xm:sqref>
        </x14:conditionalFormatting>
        <x14:conditionalFormatting xmlns:xm="http://schemas.microsoft.com/office/excel/2006/main">
          <x14:cfRule type="containsText" priority="124" operator="containsText" id="{8A8E2AE0-BE3C-7B4F-9C59-8532188F9A06}">
            <xm:f>NOT(ISERROR(SEARCH("-",DG25)))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DG25</xm:sqref>
        </x14:conditionalFormatting>
        <x14:conditionalFormatting xmlns:xm="http://schemas.microsoft.com/office/excel/2006/main">
          <x14:cfRule type="containsText" priority="68" operator="containsText" id="{A78631DC-A4A3-1B47-95F1-2D53556C8681}">
            <xm:f>NOT(ISERROR(SEARCH("-",DN25)))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4" operator="containsText" id="{853056BA-BCA8-F847-A2FC-710CF3EA9779}">
            <xm:f>NOT(ISERROR(SEARCH("-",DN25)))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0" operator="containsText" id="{E900BECF-CA34-904A-BF28-AF0A652A7AF2}">
            <xm:f>NOT(ISERROR(SEARCH("-",DN25)))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7" operator="containsText" id="{A918DEB2-D360-684B-852F-4E3903304224}">
            <xm:f>NOT(ISERROR(SEARCH("-",DN25)))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DN25</xm:sqref>
        </x14:conditionalFormatting>
        <x14:conditionalFormatting xmlns:xm="http://schemas.microsoft.com/office/excel/2006/main">
          <x14:cfRule type="containsText" priority="93" operator="containsText" id="{5D53C3C9-5C20-054E-8C9B-F3001E3EBA04}">
            <xm:f>NOT(ISERROR(SEARCH("-",DN25)))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DN25</xm:sqref>
        </x14:conditionalFormatting>
        <x14:conditionalFormatting xmlns:xm="http://schemas.microsoft.com/office/excel/2006/main">
          <x14:cfRule type="containsText" priority="37" operator="containsText" id="{A925B1AE-0DFE-484B-AF52-05C458E1E832}">
            <xm:f>NOT(ISERROR(SEARCH("-",DU25)))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3" operator="containsText" id="{B28BDFEF-1F19-654A-B91D-799243DCE3E9}">
            <xm:f>NOT(ISERROR(SEARCH("-",DU25)))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9" operator="containsText" id="{9BD73B7D-9413-F74D-A81F-F38C3701C4A6}">
            <xm:f>NOT(ISERROR(SEARCH("-",DU25)))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6" operator="containsText" id="{2A8C1E35-DE2E-E646-9509-5096728172D6}">
            <xm:f>NOT(ISERROR(SEARCH("-",DU25)))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DU25</xm:sqref>
        </x14:conditionalFormatting>
        <x14:conditionalFormatting xmlns:xm="http://schemas.microsoft.com/office/excel/2006/main">
          <x14:cfRule type="containsText" priority="62" operator="containsText" id="{8CBDB5A1-B5F2-E541-94FE-26A1F7DF4B3C}">
            <xm:f>NOT(ISERROR(SEARCH("-",DU25)))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DU25</xm:sqref>
        </x14:conditionalFormatting>
        <x14:conditionalFormatting xmlns:xm="http://schemas.microsoft.com/office/excel/2006/main">
          <x14:cfRule type="containsText" priority="6" operator="containsText" id="{3FA1A9C3-6959-3D4E-9DAC-8F361CCF2BB7}">
            <xm:f>NOT(ISERROR(SEARCH("-",EB25)))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" operator="containsText" id="{67419F6D-0A42-584C-BE1A-632E8E976A3B}">
            <xm:f>NOT(ISERROR(SEARCH("-",EB25)))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" operator="containsText" id="{50A94E7F-6B3C-334C-AE19-B1A51E88E735}">
            <xm:f>NOT(ISERROR(SEARCH("-",EB25)))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5" operator="containsText" id="{47B4A268-9F8B-7A47-8D6C-C21E7FE7F3D3}">
            <xm:f>NOT(ISERROR(SEARCH("-",EB25)))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EB25</xm:sqref>
        </x14:conditionalFormatting>
        <x14:conditionalFormatting xmlns:xm="http://schemas.microsoft.com/office/excel/2006/main">
          <x14:cfRule type="containsText" priority="31" operator="containsText" id="{BD273618-D217-D944-B629-7FB4CA175E1B}">
            <xm:f>NOT(ISERROR(SEARCH("-",EB25)))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EB25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2AFA3-8D57-C043-9C10-6A49F7D36562}">
  <sheetPr codeName="Sheet1"/>
  <dimension ref="A1:K8"/>
  <sheetViews>
    <sheetView tabSelected="1" zoomScale="186" workbookViewId="0">
      <selection activeCell="C8" sqref="C8"/>
    </sheetView>
  </sheetViews>
  <sheetFormatPr baseColWidth="10" defaultRowHeight="16"/>
  <cols>
    <col min="2" max="2" width="15.6640625" customWidth="1"/>
    <col min="3" max="4" width="16" customWidth="1"/>
    <col min="5" max="5" width="12.6640625" customWidth="1"/>
    <col min="6" max="10" width="15.6640625" customWidth="1"/>
    <col min="11" max="11" width="22.6640625" customWidth="1"/>
    <col min="12" max="12" width="21.5" customWidth="1"/>
  </cols>
  <sheetData>
    <row r="1" spans="1:11">
      <c r="A1" s="10" t="s">
        <v>58</v>
      </c>
      <c r="B1" t="s">
        <v>121</v>
      </c>
      <c r="C1" t="s">
        <v>122</v>
      </c>
      <c r="D1" t="s">
        <v>125</v>
      </c>
      <c r="E1" t="s">
        <v>57</v>
      </c>
      <c r="F1" t="s">
        <v>59</v>
      </c>
      <c r="G1" t="s">
        <v>60</v>
      </c>
      <c r="H1" t="s">
        <v>61</v>
      </c>
      <c r="I1" t="s">
        <v>62</v>
      </c>
      <c r="J1" t="s">
        <v>63</v>
      </c>
      <c r="K1" t="s">
        <v>64</v>
      </c>
    </row>
    <row r="2" spans="1:11">
      <c r="A2" s="10" t="s">
        <v>8</v>
      </c>
      <c r="B2">
        <v>0</v>
      </c>
      <c r="C2">
        <v>0</v>
      </c>
      <c r="D2">
        <v>0</v>
      </c>
      <c r="E2">
        <v>0</v>
      </c>
      <c r="F2">
        <v>1</v>
      </c>
      <c r="G2">
        <v>0</v>
      </c>
      <c r="H2">
        <v>1</v>
      </c>
      <c r="I2">
        <v>0</v>
      </c>
      <c r="J2">
        <v>2</v>
      </c>
      <c r="K2">
        <v>120</v>
      </c>
    </row>
    <row r="3" spans="1:11">
      <c r="A3" s="10" t="s">
        <v>11</v>
      </c>
      <c r="B3">
        <v>1</v>
      </c>
      <c r="C3">
        <v>50</v>
      </c>
      <c r="D3">
        <v>0</v>
      </c>
      <c r="E3">
        <v>0</v>
      </c>
    </row>
    <row r="4" spans="1:11">
      <c r="A4" s="10" t="s">
        <v>10</v>
      </c>
      <c r="B4">
        <v>0</v>
      </c>
      <c r="C4">
        <v>0</v>
      </c>
      <c r="D4">
        <v>0</v>
      </c>
      <c r="E4">
        <v>0</v>
      </c>
    </row>
    <row r="5" spans="1:11">
      <c r="A5" s="10" t="s">
        <v>12</v>
      </c>
      <c r="B5">
        <v>0</v>
      </c>
      <c r="C5">
        <v>0</v>
      </c>
      <c r="D5">
        <v>0</v>
      </c>
      <c r="E5">
        <v>0</v>
      </c>
    </row>
    <row r="6" spans="1:11">
      <c r="A6" s="10" t="s">
        <v>9</v>
      </c>
      <c r="B6">
        <v>0</v>
      </c>
      <c r="C6">
        <v>0</v>
      </c>
      <c r="D6">
        <v>0</v>
      </c>
      <c r="E6">
        <v>1</v>
      </c>
    </row>
    <row r="7" spans="1:11">
      <c r="A7" s="10" t="s">
        <v>7</v>
      </c>
      <c r="B7">
        <v>1</v>
      </c>
      <c r="C7">
        <v>100</v>
      </c>
      <c r="D7">
        <v>0</v>
      </c>
      <c r="E7">
        <v>1</v>
      </c>
    </row>
    <row r="8" spans="1:11">
      <c r="A8" s="10" t="s">
        <v>20</v>
      </c>
      <c r="B8">
        <v>0</v>
      </c>
      <c r="C8">
        <v>0</v>
      </c>
      <c r="D8">
        <v>0</v>
      </c>
      <c r="E8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7709C-28F1-D34D-8ABC-B54D91CB1EC7}">
  <sheetPr codeName="Sheet3"/>
  <dimension ref="A1:BJ12"/>
  <sheetViews>
    <sheetView zoomScale="119" zoomScaleNormal="125" workbookViewId="0">
      <pane xSplit="1" topLeftCell="B1" activePane="topRight" state="frozen"/>
      <selection pane="topRight" activeCell="A2" sqref="A2:XFD2"/>
    </sheetView>
  </sheetViews>
  <sheetFormatPr baseColWidth="10" defaultRowHeight="16"/>
  <cols>
    <col min="1" max="1" width="19.83203125" customWidth="1"/>
  </cols>
  <sheetData>
    <row r="1" spans="1:62" s="20" customFormat="1">
      <c r="A1" s="25" t="s">
        <v>0</v>
      </c>
      <c r="B1" s="19">
        <v>46033</v>
      </c>
      <c r="C1" s="20">
        <v>46064</v>
      </c>
      <c r="D1" s="20">
        <v>46092</v>
      </c>
      <c r="E1" s="20">
        <v>46123</v>
      </c>
      <c r="F1" s="20">
        <v>46153</v>
      </c>
      <c r="G1" s="20">
        <v>46184</v>
      </c>
      <c r="H1" s="19">
        <v>46214</v>
      </c>
      <c r="I1" s="19">
        <v>46245</v>
      </c>
      <c r="J1" s="20">
        <v>46276</v>
      </c>
      <c r="K1" s="20">
        <v>46306</v>
      </c>
      <c r="L1" s="20">
        <v>46337</v>
      </c>
      <c r="M1" s="20">
        <v>46367</v>
      </c>
      <c r="N1" s="20" t="s">
        <v>23</v>
      </c>
      <c r="O1" s="19" t="s">
        <v>24</v>
      </c>
      <c r="P1" s="19" t="s">
        <v>25</v>
      </c>
      <c r="Q1" s="20" t="s">
        <v>26</v>
      </c>
      <c r="R1" s="20" t="s">
        <v>27</v>
      </c>
      <c r="S1" s="20" t="s">
        <v>28</v>
      </c>
      <c r="T1" s="20" t="s">
        <v>29</v>
      </c>
      <c r="U1" s="20" t="s">
        <v>30</v>
      </c>
      <c r="V1" s="19" t="s">
        <v>31</v>
      </c>
      <c r="W1" s="19" t="s">
        <v>32</v>
      </c>
      <c r="X1" s="20" t="s">
        <v>33</v>
      </c>
      <c r="Y1" s="20" t="s">
        <v>34</v>
      </c>
      <c r="Z1" s="20" t="s">
        <v>35</v>
      </c>
      <c r="AA1" s="20" t="s">
        <v>36</v>
      </c>
      <c r="AB1" s="20" t="s">
        <v>37</v>
      </c>
      <c r="AC1" s="19" t="s">
        <v>38</v>
      </c>
      <c r="AD1" s="19" t="s">
        <v>39</v>
      </c>
      <c r="AE1" s="20" t="s">
        <v>40</v>
      </c>
      <c r="AF1" s="20">
        <v>46034</v>
      </c>
      <c r="AG1" s="20">
        <v>46065</v>
      </c>
      <c r="AH1" s="20">
        <v>46093</v>
      </c>
      <c r="AI1" s="20">
        <v>46124</v>
      </c>
      <c r="AJ1" s="19">
        <v>46154</v>
      </c>
      <c r="AK1" s="19">
        <v>46185</v>
      </c>
      <c r="AL1" s="20">
        <v>46215</v>
      </c>
      <c r="AM1" s="20">
        <v>46246</v>
      </c>
      <c r="AN1" s="20">
        <v>46277</v>
      </c>
      <c r="AO1" s="20">
        <v>46307</v>
      </c>
      <c r="AP1" s="20">
        <v>46338</v>
      </c>
      <c r="AQ1" s="19">
        <v>46368</v>
      </c>
      <c r="AR1" s="19" t="s">
        <v>102</v>
      </c>
      <c r="AS1" s="20" t="s">
        <v>103</v>
      </c>
      <c r="AT1" s="20" t="s">
        <v>104</v>
      </c>
      <c r="AU1" s="20" t="s">
        <v>105</v>
      </c>
      <c r="AV1" s="20" t="s">
        <v>106</v>
      </c>
      <c r="AW1" s="20" t="s">
        <v>107</v>
      </c>
      <c r="AX1" s="19" t="s">
        <v>108</v>
      </c>
      <c r="AY1" s="19" t="s">
        <v>109</v>
      </c>
      <c r="AZ1" s="20" t="s">
        <v>110</v>
      </c>
      <c r="BA1" s="20" t="s">
        <v>111</v>
      </c>
      <c r="BB1" s="20" t="s">
        <v>112</v>
      </c>
      <c r="BC1" s="20" t="s">
        <v>113</v>
      </c>
      <c r="BD1" s="20" t="s">
        <v>114</v>
      </c>
      <c r="BE1" s="19" t="s">
        <v>115</v>
      </c>
      <c r="BF1" s="19" t="s">
        <v>116</v>
      </c>
      <c r="BG1" s="20" t="s">
        <v>117</v>
      </c>
      <c r="BH1" s="20" t="s">
        <v>118</v>
      </c>
      <c r="BI1" s="20" t="s">
        <v>119</v>
      </c>
      <c r="BJ1" s="20" t="s">
        <v>120</v>
      </c>
    </row>
    <row r="2" spans="1:62">
      <c r="A2" s="10" t="s">
        <v>123</v>
      </c>
      <c r="B2" s="24"/>
      <c r="C2" s="12"/>
      <c r="D2" s="12"/>
      <c r="E2" s="12"/>
      <c r="F2" s="12"/>
      <c r="G2" s="12"/>
      <c r="H2" s="24"/>
      <c r="I2" s="24"/>
      <c r="J2" s="12"/>
      <c r="K2" s="12"/>
      <c r="L2" s="12" t="s">
        <v>42</v>
      </c>
      <c r="M2" s="12" t="s">
        <v>42</v>
      </c>
      <c r="N2" t="s">
        <v>42</v>
      </c>
      <c r="O2" s="11"/>
      <c r="P2" s="11"/>
      <c r="V2" s="11"/>
      <c r="W2" s="11"/>
      <c r="AC2" s="11"/>
      <c r="AD2" s="11"/>
      <c r="AF2" s="12"/>
      <c r="AG2" s="12"/>
      <c r="AH2" s="12"/>
      <c r="AI2" s="12"/>
      <c r="AJ2" s="24"/>
      <c r="AK2" s="24"/>
      <c r="AL2" s="12"/>
      <c r="AM2" s="12"/>
      <c r="AN2" s="12"/>
      <c r="AO2" s="12"/>
      <c r="AP2" s="12"/>
      <c r="AQ2" s="24"/>
      <c r="AR2" s="11"/>
      <c r="AX2" s="11"/>
      <c r="AY2" s="11"/>
      <c r="BE2" s="11"/>
      <c r="BF2" s="11"/>
    </row>
    <row r="3" spans="1:62">
      <c r="A3" s="10" t="s">
        <v>47</v>
      </c>
      <c r="B3" s="24"/>
      <c r="C3" s="12"/>
      <c r="D3" s="12"/>
      <c r="E3" s="12"/>
      <c r="F3" s="12"/>
      <c r="G3" s="12"/>
      <c r="H3" s="24"/>
      <c r="I3" s="24"/>
      <c r="J3" s="12"/>
      <c r="K3" s="12"/>
      <c r="L3" s="12"/>
      <c r="M3" s="12"/>
      <c r="O3" s="11"/>
      <c r="P3" s="11"/>
      <c r="V3" s="11"/>
      <c r="W3" s="11"/>
      <c r="AC3" s="11"/>
      <c r="AD3" s="11"/>
      <c r="AF3" s="12"/>
      <c r="AG3" s="12"/>
      <c r="AH3" s="12"/>
      <c r="AI3" s="12"/>
      <c r="AJ3" s="24"/>
      <c r="AK3" s="24"/>
      <c r="AL3" s="12"/>
      <c r="AM3" s="12"/>
      <c r="AN3" s="12"/>
      <c r="AO3" s="12"/>
      <c r="AP3" s="12"/>
      <c r="AQ3" s="24"/>
      <c r="AR3" s="11"/>
      <c r="AX3" s="11"/>
      <c r="AY3" s="11"/>
      <c r="BE3" s="11"/>
      <c r="BF3" s="11"/>
    </row>
    <row r="4" spans="1:62">
      <c r="A4" s="10" t="s">
        <v>48</v>
      </c>
      <c r="B4" s="24"/>
      <c r="C4" s="12"/>
      <c r="D4" s="12"/>
      <c r="E4" s="12"/>
      <c r="F4" s="12"/>
      <c r="G4" s="12"/>
      <c r="H4" s="24" t="s">
        <v>41</v>
      </c>
      <c r="I4" s="24"/>
      <c r="J4" s="12"/>
      <c r="K4" s="12"/>
      <c r="L4" s="12"/>
      <c r="M4" s="12"/>
      <c r="O4" s="11"/>
      <c r="P4" s="11"/>
      <c r="V4" s="11"/>
      <c r="W4" s="11"/>
      <c r="X4" t="s">
        <v>42</v>
      </c>
      <c r="Y4" t="s">
        <v>42</v>
      </c>
      <c r="Z4" t="s">
        <v>42</v>
      </c>
      <c r="AA4" t="s">
        <v>42</v>
      </c>
      <c r="AB4" t="s">
        <v>42</v>
      </c>
      <c r="AC4" s="11"/>
      <c r="AD4" s="11"/>
      <c r="AF4" s="12"/>
      <c r="AG4" s="12"/>
      <c r="AH4" s="12"/>
      <c r="AI4" s="12"/>
      <c r="AJ4" s="24"/>
      <c r="AK4" s="24"/>
      <c r="AL4" s="12"/>
      <c r="AM4" s="12"/>
      <c r="AN4" s="12"/>
      <c r="AO4" s="12"/>
      <c r="AP4" s="12"/>
      <c r="AQ4" s="24"/>
      <c r="AR4" s="11"/>
      <c r="AX4" s="11"/>
      <c r="AY4" s="11"/>
      <c r="BE4" s="11"/>
      <c r="BF4" s="11"/>
    </row>
    <row r="5" spans="1:62">
      <c r="A5" s="10" t="s">
        <v>49</v>
      </c>
      <c r="B5" s="24"/>
      <c r="C5" s="12" t="s">
        <v>42</v>
      </c>
      <c r="D5" s="12" t="s">
        <v>42</v>
      </c>
      <c r="E5" s="12" t="s">
        <v>42</v>
      </c>
      <c r="F5" s="12" t="s">
        <v>42</v>
      </c>
      <c r="G5" s="12"/>
      <c r="H5" s="24"/>
      <c r="I5" s="24"/>
      <c r="J5" s="12"/>
      <c r="K5" s="12"/>
      <c r="L5" s="12"/>
      <c r="M5" s="12"/>
      <c r="O5" s="11"/>
      <c r="P5" s="11"/>
      <c r="V5" s="11"/>
      <c r="W5" s="11"/>
      <c r="AC5" s="11"/>
      <c r="AD5" s="11"/>
      <c r="AF5" s="12"/>
      <c r="AG5" s="12"/>
      <c r="AH5" s="12"/>
      <c r="AI5" s="12"/>
      <c r="AJ5" s="24"/>
      <c r="AK5" s="24"/>
      <c r="AL5" s="12"/>
      <c r="AM5" s="12"/>
      <c r="AN5" s="12"/>
      <c r="AO5" s="12"/>
      <c r="AP5" s="12"/>
      <c r="AQ5" s="24"/>
      <c r="AR5" s="11"/>
      <c r="AX5" s="11"/>
      <c r="AY5" s="11"/>
      <c r="BE5" s="11"/>
      <c r="BF5" s="11"/>
    </row>
    <row r="6" spans="1:62">
      <c r="A6" s="10" t="s">
        <v>50</v>
      </c>
      <c r="B6" s="24"/>
      <c r="C6" s="12"/>
      <c r="D6" s="12"/>
      <c r="E6" s="12"/>
      <c r="F6" s="12"/>
      <c r="G6" s="12"/>
      <c r="H6" s="24"/>
      <c r="I6" s="24"/>
      <c r="J6" s="12"/>
      <c r="K6" s="12"/>
      <c r="L6" s="12"/>
      <c r="M6" s="12"/>
      <c r="O6" s="11"/>
      <c r="P6" s="11"/>
      <c r="Q6" t="s">
        <v>42</v>
      </c>
      <c r="R6" t="s">
        <v>42</v>
      </c>
      <c r="S6" t="s">
        <v>42</v>
      </c>
      <c r="T6" t="s">
        <v>42</v>
      </c>
      <c r="U6" t="s">
        <v>42</v>
      </c>
      <c r="V6" s="11"/>
      <c r="W6" s="11"/>
      <c r="AC6" s="11"/>
      <c r="AD6" s="11"/>
      <c r="AF6" s="12"/>
      <c r="AG6" s="12"/>
      <c r="AH6" s="12"/>
      <c r="AI6" s="12"/>
      <c r="AJ6" s="24"/>
      <c r="AK6" s="24"/>
      <c r="AL6" s="12"/>
      <c r="AM6" s="12"/>
      <c r="AN6" s="12"/>
      <c r="AO6" s="12"/>
      <c r="AP6" s="12"/>
      <c r="AQ6" s="24"/>
      <c r="AR6" s="11"/>
      <c r="AX6" s="11"/>
      <c r="AY6" s="11"/>
      <c r="BE6" s="11"/>
      <c r="BF6" s="11"/>
    </row>
    <row r="7" spans="1:62">
      <c r="A7" s="10" t="s">
        <v>51</v>
      </c>
      <c r="B7" s="24"/>
      <c r="C7" s="12"/>
      <c r="D7" s="12"/>
      <c r="E7" s="12"/>
      <c r="F7" s="12"/>
      <c r="G7" s="12" t="s">
        <v>42</v>
      </c>
      <c r="H7" s="24"/>
      <c r="I7" s="24"/>
      <c r="J7" s="12"/>
      <c r="K7" s="12"/>
      <c r="L7" s="12"/>
      <c r="M7" s="12"/>
      <c r="O7" s="11"/>
      <c r="P7" s="11"/>
      <c r="V7" s="11"/>
      <c r="W7" s="11"/>
      <c r="AC7" s="11"/>
      <c r="AD7" s="11"/>
      <c r="AF7" s="12"/>
      <c r="AG7" s="12"/>
      <c r="AH7" s="12"/>
      <c r="AI7" s="12"/>
      <c r="AJ7" s="24"/>
      <c r="AK7" s="24"/>
      <c r="AL7" s="12"/>
      <c r="AM7" s="12"/>
      <c r="AN7" s="12"/>
      <c r="AO7" s="12"/>
      <c r="AP7" s="12"/>
      <c r="AQ7" s="24"/>
      <c r="AR7" s="11"/>
      <c r="AX7" s="11"/>
      <c r="AY7" s="11"/>
      <c r="BE7" s="11"/>
      <c r="BF7" s="11"/>
    </row>
    <row r="8" spans="1:62">
      <c r="A8" s="10" t="s">
        <v>52</v>
      </c>
      <c r="B8" s="24"/>
      <c r="C8" s="12"/>
      <c r="D8" s="12"/>
      <c r="E8" s="12"/>
      <c r="F8" s="12"/>
      <c r="G8" s="12"/>
      <c r="H8" s="24" t="s">
        <v>41</v>
      </c>
      <c r="I8" s="24" t="s">
        <v>41</v>
      </c>
      <c r="J8" s="12"/>
      <c r="K8" s="12" t="s">
        <v>42</v>
      </c>
      <c r="L8" s="12" t="s">
        <v>42</v>
      </c>
      <c r="M8" s="12"/>
      <c r="O8" s="11"/>
      <c r="P8" s="11"/>
      <c r="V8" s="11"/>
      <c r="W8" s="11"/>
      <c r="AA8" t="s">
        <v>42</v>
      </c>
      <c r="AB8" t="s">
        <v>42</v>
      </c>
      <c r="AC8" s="11"/>
      <c r="AD8" s="11"/>
      <c r="AE8" t="s">
        <v>42</v>
      </c>
      <c r="AF8" s="12"/>
      <c r="AG8" s="12"/>
      <c r="AH8" s="12"/>
      <c r="AI8" s="12"/>
      <c r="AJ8" s="24"/>
      <c r="AK8" s="24"/>
      <c r="AL8" s="12"/>
      <c r="AM8" s="12"/>
      <c r="AN8" s="12"/>
      <c r="AO8" s="12"/>
      <c r="AP8" s="12"/>
      <c r="AQ8" s="24"/>
      <c r="AR8" s="11"/>
      <c r="AX8" s="11"/>
      <c r="AY8" s="11"/>
      <c r="BE8" s="11"/>
      <c r="BF8" s="11"/>
    </row>
    <row r="9" spans="1:62">
      <c r="A9" s="10" t="s">
        <v>53</v>
      </c>
      <c r="B9" s="24"/>
      <c r="C9" s="12"/>
      <c r="D9" s="12"/>
      <c r="E9" s="12"/>
      <c r="F9" s="12"/>
      <c r="G9" s="12"/>
      <c r="H9" s="24"/>
      <c r="I9" s="24"/>
      <c r="J9" s="12"/>
      <c r="K9" s="12"/>
      <c r="L9" s="12"/>
      <c r="M9" s="12"/>
      <c r="O9" s="11" t="s">
        <v>41</v>
      </c>
      <c r="P9" s="11" t="s">
        <v>41</v>
      </c>
      <c r="Q9" t="s">
        <v>41</v>
      </c>
      <c r="V9" s="11"/>
      <c r="W9" s="11"/>
      <c r="Z9" t="s">
        <v>42</v>
      </c>
      <c r="AC9" s="11"/>
      <c r="AD9" s="11"/>
      <c r="AF9" s="12"/>
      <c r="AG9" s="12"/>
      <c r="AH9" s="12"/>
      <c r="AI9" s="12"/>
      <c r="AJ9" s="24"/>
      <c r="AK9" s="24"/>
      <c r="AL9" s="12"/>
      <c r="AM9" s="12"/>
      <c r="AN9" s="12"/>
      <c r="AO9" s="12"/>
      <c r="AP9" s="12"/>
      <c r="AQ9" s="24"/>
      <c r="AR9" s="11"/>
      <c r="AX9" s="11"/>
      <c r="AY9" s="11"/>
      <c r="BE9" s="11"/>
      <c r="BF9" s="11"/>
    </row>
    <row r="10" spans="1:62">
      <c r="A10" s="10" t="s">
        <v>54</v>
      </c>
      <c r="B10" s="24"/>
      <c r="C10" s="12"/>
      <c r="D10" s="12"/>
      <c r="E10" s="12"/>
      <c r="F10" s="12"/>
      <c r="G10" s="12"/>
      <c r="H10" s="24"/>
      <c r="I10" s="24"/>
      <c r="J10" s="12"/>
      <c r="K10" s="12"/>
      <c r="L10" s="12"/>
      <c r="M10" s="12"/>
      <c r="O10" s="11"/>
      <c r="P10" s="11"/>
      <c r="V10" s="11"/>
      <c r="W10" s="11"/>
      <c r="AC10" s="11"/>
      <c r="AD10" s="11"/>
      <c r="AF10" s="12"/>
      <c r="AG10" s="12"/>
      <c r="AH10" s="12"/>
      <c r="AI10" s="12"/>
      <c r="AJ10" s="24"/>
      <c r="AK10" s="24"/>
      <c r="AL10" s="12"/>
      <c r="AM10" s="12"/>
      <c r="AN10" s="12"/>
      <c r="AO10" s="12"/>
      <c r="AP10" s="12"/>
      <c r="AQ10" s="24"/>
      <c r="AR10" s="11"/>
      <c r="AX10" s="11"/>
      <c r="AY10" s="11"/>
      <c r="BE10" s="11"/>
      <c r="BF10" s="11"/>
    </row>
    <row r="11" spans="1:62">
      <c r="A11" s="10" t="s">
        <v>55</v>
      </c>
      <c r="B11" s="24" t="s">
        <v>41</v>
      </c>
      <c r="C11" s="12"/>
      <c r="D11" s="12"/>
      <c r="E11" s="12"/>
      <c r="F11" s="12"/>
      <c r="G11" s="12"/>
      <c r="H11" s="24"/>
      <c r="I11" s="24"/>
      <c r="J11" s="12"/>
      <c r="K11" s="12"/>
      <c r="L11" s="12"/>
      <c r="M11" s="12"/>
      <c r="O11" s="11"/>
      <c r="P11" s="11"/>
      <c r="T11" t="s">
        <v>42</v>
      </c>
      <c r="U11" t="s">
        <v>42</v>
      </c>
      <c r="V11" s="11"/>
      <c r="W11" s="11"/>
      <c r="X11" t="s">
        <v>42</v>
      </c>
      <c r="AC11" s="11"/>
      <c r="AD11" s="11"/>
      <c r="AF11" s="12"/>
      <c r="AG11" s="12"/>
      <c r="AH11" s="12"/>
      <c r="AI11" s="12"/>
      <c r="AJ11" s="24"/>
      <c r="AK11" s="24"/>
      <c r="AL11" s="12"/>
      <c r="AM11" s="12"/>
      <c r="AN11" s="12"/>
      <c r="AO11" s="12"/>
      <c r="AP11" s="12"/>
      <c r="AQ11" s="24"/>
      <c r="AR11" s="11"/>
      <c r="AX11" s="11"/>
      <c r="AY11" s="11"/>
      <c r="BE11" s="11"/>
      <c r="BF11" s="11"/>
    </row>
    <row r="12" spans="1:62">
      <c r="A12" s="10" t="s">
        <v>56</v>
      </c>
      <c r="B12" s="24"/>
      <c r="C12" s="12"/>
      <c r="D12" s="12"/>
      <c r="E12" s="12"/>
      <c r="F12" s="12"/>
      <c r="G12" s="12"/>
      <c r="H12" s="24"/>
      <c r="I12" s="24"/>
      <c r="J12" s="12"/>
      <c r="K12" s="12"/>
      <c r="L12" s="12"/>
      <c r="M12" s="12"/>
      <c r="O12" s="11"/>
      <c r="P12" s="11"/>
      <c r="V12" s="11"/>
      <c r="W12" s="11"/>
      <c r="AC12" s="11"/>
      <c r="AD12" s="11"/>
      <c r="AF12" s="12"/>
      <c r="AG12" s="12"/>
      <c r="AH12" s="12"/>
      <c r="AI12" s="12"/>
      <c r="AJ12" s="24"/>
      <c r="AK12" s="24"/>
      <c r="AL12" s="12"/>
      <c r="AM12" s="12"/>
      <c r="AN12" s="12"/>
      <c r="AO12" s="12"/>
      <c r="AP12" s="12"/>
      <c r="AQ12" s="24"/>
      <c r="AR12" s="11"/>
      <c r="AX12" s="11"/>
      <c r="AY12" s="11"/>
      <c r="BE12" s="11"/>
      <c r="BF12" s="11"/>
    </row>
  </sheetData>
  <conditionalFormatting sqref="B2:AE11">
    <cfRule type="cellIs" dxfId="73" priority="5" operator="equal">
      <formula>"B"</formula>
    </cfRule>
    <cfRule type="cellIs" dxfId="72" priority="6" operator="equal">
      <formula>"L"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37A78-2F98-5D41-B20E-75862B273935}">
  <sheetPr codeName="Sheet4"/>
  <dimension ref="A1:DQ12"/>
  <sheetViews>
    <sheetView zoomScale="87" workbookViewId="0">
      <selection activeCell="A2" sqref="A2"/>
    </sheetView>
  </sheetViews>
  <sheetFormatPr baseColWidth="10" defaultRowHeight="16"/>
  <cols>
    <col min="1" max="1" width="14" customWidth="1"/>
    <col min="30" max="30" width="10.83203125" style="11"/>
    <col min="36" max="37" width="10.83203125" style="11"/>
    <col min="43" max="44" width="10.83203125" style="11"/>
    <col min="50" max="51" width="10.83203125" style="11"/>
    <col min="57" max="58" width="10.83203125" style="11"/>
  </cols>
  <sheetData>
    <row r="1" spans="1:121" s="20" customFormat="1">
      <c r="A1" s="25" t="s">
        <v>0</v>
      </c>
      <c r="B1" s="20">
        <v>46090</v>
      </c>
      <c r="C1" s="20">
        <v>46121</v>
      </c>
      <c r="D1" s="19">
        <v>46151</v>
      </c>
      <c r="E1" s="19">
        <v>46182</v>
      </c>
      <c r="F1" s="20">
        <v>46212</v>
      </c>
      <c r="G1" s="20">
        <v>46243</v>
      </c>
      <c r="H1" s="20">
        <v>46274</v>
      </c>
      <c r="I1" s="20">
        <v>46304</v>
      </c>
      <c r="J1" s="20">
        <v>46335</v>
      </c>
      <c r="K1" s="19">
        <v>46365</v>
      </c>
      <c r="L1" s="19" t="s">
        <v>69</v>
      </c>
      <c r="M1" s="20" t="s">
        <v>70</v>
      </c>
      <c r="N1" s="20" t="s">
        <v>71</v>
      </c>
      <c r="O1" s="20" t="s">
        <v>72</v>
      </c>
      <c r="P1" s="20" t="s">
        <v>73</v>
      </c>
      <c r="Q1" s="20" t="s">
        <v>74</v>
      </c>
      <c r="R1" s="19" t="s">
        <v>75</v>
      </c>
      <c r="S1" s="19" t="s">
        <v>76</v>
      </c>
      <c r="T1" s="20" t="s">
        <v>77</v>
      </c>
      <c r="U1" s="20" t="s">
        <v>78</v>
      </c>
      <c r="V1" s="20" t="s">
        <v>79</v>
      </c>
      <c r="W1" s="20" t="s">
        <v>80</v>
      </c>
      <c r="X1" s="20" t="s">
        <v>81</v>
      </c>
      <c r="Y1" s="19" t="s">
        <v>82</v>
      </c>
      <c r="Z1" s="19" t="s">
        <v>83</v>
      </c>
      <c r="AA1" s="20" t="s">
        <v>84</v>
      </c>
      <c r="AB1" s="20" t="s">
        <v>85</v>
      </c>
      <c r="AC1" s="20" t="s">
        <v>86</v>
      </c>
      <c r="AD1" s="20">
        <v>46032</v>
      </c>
      <c r="AE1" s="20">
        <v>46063</v>
      </c>
      <c r="AF1" s="19">
        <v>46091</v>
      </c>
      <c r="AG1" s="19">
        <v>46122</v>
      </c>
      <c r="AH1" s="20">
        <v>46152</v>
      </c>
      <c r="AI1" s="20">
        <v>46183</v>
      </c>
      <c r="AJ1" s="20">
        <v>46213</v>
      </c>
      <c r="AK1" s="20">
        <v>46244</v>
      </c>
      <c r="AL1" s="20">
        <v>46275</v>
      </c>
      <c r="AM1" s="19">
        <v>46305</v>
      </c>
      <c r="AN1" s="19">
        <v>46336</v>
      </c>
      <c r="AO1" s="20">
        <v>46366</v>
      </c>
      <c r="AP1" s="20" t="s">
        <v>68</v>
      </c>
      <c r="AQ1" s="20" t="s">
        <v>87</v>
      </c>
      <c r="AR1" s="20" t="s">
        <v>88</v>
      </c>
      <c r="AS1" s="20" t="s">
        <v>89</v>
      </c>
      <c r="AT1" s="19" t="s">
        <v>90</v>
      </c>
      <c r="AU1" s="19" t="s">
        <v>91</v>
      </c>
      <c r="AV1" s="20" t="s">
        <v>92</v>
      </c>
      <c r="AW1" s="20" t="s">
        <v>93</v>
      </c>
      <c r="AX1" s="20" t="s">
        <v>94</v>
      </c>
      <c r="AY1" s="20" t="s">
        <v>95</v>
      </c>
      <c r="AZ1" s="20" t="s">
        <v>96</v>
      </c>
      <c r="BA1" s="19" t="s">
        <v>97</v>
      </c>
      <c r="BB1" s="19" t="s">
        <v>98</v>
      </c>
      <c r="BC1" s="20" t="s">
        <v>99</v>
      </c>
      <c r="BD1" s="20" t="s">
        <v>100</v>
      </c>
      <c r="BE1" s="20" t="s">
        <v>101</v>
      </c>
      <c r="BF1" s="20" t="s">
        <v>67</v>
      </c>
      <c r="BG1" s="20" t="s">
        <v>66</v>
      </c>
      <c r="BH1" s="19" t="s">
        <v>65</v>
      </c>
      <c r="BI1" s="19">
        <v>46033</v>
      </c>
      <c r="BJ1" s="20">
        <v>46064</v>
      </c>
      <c r="BK1" s="20">
        <v>46092</v>
      </c>
      <c r="BL1" s="20">
        <v>46123</v>
      </c>
      <c r="BM1" s="20">
        <v>46153</v>
      </c>
      <c r="BN1" s="20">
        <v>46184</v>
      </c>
      <c r="BO1" s="19">
        <v>46214</v>
      </c>
      <c r="BP1" s="19">
        <v>46245</v>
      </c>
      <c r="BQ1" s="20">
        <v>46276</v>
      </c>
      <c r="BR1" s="20">
        <v>46306</v>
      </c>
      <c r="BS1" s="20">
        <v>46337</v>
      </c>
      <c r="BT1" s="20">
        <v>46367</v>
      </c>
      <c r="BU1" s="20" t="s">
        <v>23</v>
      </c>
      <c r="BV1" s="19" t="s">
        <v>24</v>
      </c>
      <c r="BW1" s="19" t="s">
        <v>25</v>
      </c>
      <c r="BX1" s="20" t="s">
        <v>26</v>
      </c>
      <c r="BY1" s="20" t="s">
        <v>27</v>
      </c>
      <c r="BZ1" s="20" t="s">
        <v>28</v>
      </c>
      <c r="CA1" s="20" t="s">
        <v>29</v>
      </c>
      <c r="CB1" s="20" t="s">
        <v>30</v>
      </c>
      <c r="CC1" s="19" t="s">
        <v>31</v>
      </c>
      <c r="CD1" s="19" t="s">
        <v>32</v>
      </c>
      <c r="CE1" s="20" t="s">
        <v>33</v>
      </c>
      <c r="CF1" s="20" t="s">
        <v>34</v>
      </c>
      <c r="CG1" s="20" t="s">
        <v>35</v>
      </c>
      <c r="CH1" s="20" t="s">
        <v>36</v>
      </c>
      <c r="CI1" s="20" t="s">
        <v>37</v>
      </c>
      <c r="CJ1" s="19" t="s">
        <v>38</v>
      </c>
      <c r="CK1" s="19" t="s">
        <v>39</v>
      </c>
      <c r="CL1" s="20" t="s">
        <v>40</v>
      </c>
      <c r="CM1" s="20">
        <v>46034</v>
      </c>
      <c r="CN1" s="20">
        <v>46065</v>
      </c>
      <c r="CO1" s="20">
        <v>46093</v>
      </c>
      <c r="CP1" s="20">
        <v>46124</v>
      </c>
      <c r="CQ1" s="19">
        <v>46154</v>
      </c>
      <c r="CR1" s="19">
        <v>46185</v>
      </c>
      <c r="CS1" s="20">
        <v>46215</v>
      </c>
      <c r="CT1" s="20">
        <v>46246</v>
      </c>
      <c r="CU1" s="20">
        <v>46277</v>
      </c>
      <c r="CV1" s="20">
        <v>46307</v>
      </c>
      <c r="CW1" s="20">
        <v>46338</v>
      </c>
      <c r="CX1" s="19">
        <v>46368</v>
      </c>
      <c r="CY1" s="19" t="s">
        <v>102</v>
      </c>
      <c r="CZ1" s="20" t="s">
        <v>103</v>
      </c>
      <c r="DA1" s="20" t="s">
        <v>104</v>
      </c>
      <c r="DB1" s="20" t="s">
        <v>105</v>
      </c>
      <c r="DC1" s="20" t="s">
        <v>106</v>
      </c>
      <c r="DD1" s="20" t="s">
        <v>107</v>
      </c>
      <c r="DE1" s="19" t="s">
        <v>108</v>
      </c>
      <c r="DF1" s="19" t="s">
        <v>109</v>
      </c>
      <c r="DG1" s="20" t="s">
        <v>110</v>
      </c>
      <c r="DH1" s="20" t="s">
        <v>111</v>
      </c>
      <c r="DI1" s="20" t="s">
        <v>112</v>
      </c>
      <c r="DJ1" s="20" t="s">
        <v>113</v>
      </c>
      <c r="DK1" s="20" t="s">
        <v>114</v>
      </c>
      <c r="DL1" s="19" t="s">
        <v>115</v>
      </c>
      <c r="DM1" s="19" t="s">
        <v>116</v>
      </c>
      <c r="DN1" s="20" t="s">
        <v>117</v>
      </c>
      <c r="DO1" s="20" t="s">
        <v>118</v>
      </c>
      <c r="DP1" s="20" t="s">
        <v>119</v>
      </c>
      <c r="DQ1" s="20" t="s">
        <v>120</v>
      </c>
    </row>
    <row r="2" spans="1:121">
      <c r="A2" s="10" t="s">
        <v>123</v>
      </c>
      <c r="B2" s="20" t="s">
        <v>2</v>
      </c>
      <c r="C2" s="20" t="s">
        <v>2</v>
      </c>
      <c r="D2" s="20"/>
      <c r="E2" s="20"/>
      <c r="F2" s="20" t="s">
        <v>2</v>
      </c>
      <c r="G2" s="20" t="s">
        <v>2</v>
      </c>
      <c r="H2" s="20" t="s">
        <v>2</v>
      </c>
      <c r="I2" s="20" t="s">
        <v>2</v>
      </c>
      <c r="J2" s="20" t="s">
        <v>2</v>
      </c>
      <c r="K2" s="20"/>
      <c r="L2" s="20"/>
      <c r="M2" s="20" t="s">
        <v>2</v>
      </c>
      <c r="N2" s="20" t="s">
        <v>2</v>
      </c>
      <c r="O2" s="20" t="s">
        <v>2</v>
      </c>
      <c r="P2" s="20" t="s">
        <v>2</v>
      </c>
      <c r="Q2" s="20" t="s">
        <v>2</v>
      </c>
      <c r="R2" s="20"/>
      <c r="S2" s="20"/>
      <c r="T2" s="20" t="s">
        <v>2</v>
      </c>
      <c r="U2" s="20" t="s">
        <v>2</v>
      </c>
      <c r="V2" s="20" t="s">
        <v>2</v>
      </c>
      <c r="W2" s="20" t="s">
        <v>2</v>
      </c>
      <c r="X2" s="20" t="s">
        <v>2</v>
      </c>
      <c r="Y2" s="20"/>
      <c r="Z2" s="20"/>
      <c r="AA2" s="20" t="s">
        <v>2</v>
      </c>
      <c r="AB2" s="20" t="s">
        <v>2</v>
      </c>
      <c r="AC2" s="20" t="s">
        <v>2</v>
      </c>
      <c r="AD2" s="20" t="s">
        <v>2</v>
      </c>
      <c r="AE2" s="20" t="s">
        <v>2</v>
      </c>
      <c r="AH2" t="s">
        <v>2</v>
      </c>
      <c r="AI2" t="s">
        <v>2</v>
      </c>
      <c r="AJ2" t="s">
        <v>2</v>
      </c>
      <c r="AK2" t="s">
        <v>2</v>
      </c>
      <c r="AL2" t="s">
        <v>2</v>
      </c>
      <c r="AO2" t="s">
        <v>2</v>
      </c>
      <c r="AP2" t="s">
        <v>2</v>
      </c>
      <c r="AQ2" t="s">
        <v>2</v>
      </c>
      <c r="AR2" t="s">
        <v>2</v>
      </c>
      <c r="AS2" t="s">
        <v>2</v>
      </c>
      <c r="AV2" t="s">
        <v>2</v>
      </c>
      <c r="AW2" t="s">
        <v>2</v>
      </c>
      <c r="AX2" s="11" t="s">
        <v>2</v>
      </c>
      <c r="AY2" s="11" t="s">
        <v>2</v>
      </c>
      <c r="AZ2" t="s">
        <v>2</v>
      </c>
      <c r="BC2" t="s">
        <v>2</v>
      </c>
      <c r="BD2" t="s">
        <v>2</v>
      </c>
      <c r="BE2" t="s">
        <v>2</v>
      </c>
      <c r="BF2" t="s">
        <v>2</v>
      </c>
      <c r="BG2" t="s">
        <v>2</v>
      </c>
    </row>
    <row r="3" spans="1:121">
      <c r="A3" s="10" t="s">
        <v>47</v>
      </c>
      <c r="B3" s="20" t="s">
        <v>9</v>
      </c>
      <c r="C3" s="20" t="s">
        <v>9</v>
      </c>
      <c r="D3" s="20"/>
      <c r="E3" s="20"/>
      <c r="F3" s="20" t="s">
        <v>11</v>
      </c>
      <c r="G3" s="20" t="s">
        <v>11</v>
      </c>
      <c r="H3" s="20" t="s">
        <v>11</v>
      </c>
      <c r="I3" s="20" t="s">
        <v>20</v>
      </c>
      <c r="J3" s="20" t="s">
        <v>11</v>
      </c>
      <c r="K3" s="20"/>
      <c r="L3" s="20"/>
      <c r="M3" s="20" t="s">
        <v>7</v>
      </c>
      <c r="N3" s="20" t="s">
        <v>7</v>
      </c>
      <c r="O3" s="20" t="s">
        <v>7</v>
      </c>
      <c r="P3" s="20" t="s">
        <v>7</v>
      </c>
      <c r="Q3" s="20" t="s">
        <v>7</v>
      </c>
      <c r="R3" s="20"/>
      <c r="S3" s="20"/>
      <c r="T3" s="20" t="s">
        <v>8</v>
      </c>
      <c r="U3" s="20" t="s">
        <v>8</v>
      </c>
      <c r="V3" s="20" t="s">
        <v>8</v>
      </c>
      <c r="W3" s="20" t="s">
        <v>8</v>
      </c>
      <c r="X3" s="20" t="s">
        <v>8</v>
      </c>
      <c r="Y3" s="20"/>
      <c r="Z3" s="20"/>
      <c r="AA3" s="20" t="s">
        <v>8</v>
      </c>
      <c r="AB3" s="20" t="s">
        <v>8</v>
      </c>
      <c r="AC3" s="20" t="s">
        <v>8</v>
      </c>
      <c r="AD3" s="20" t="s">
        <v>8</v>
      </c>
      <c r="AE3" t="s">
        <v>8</v>
      </c>
      <c r="AH3" t="s">
        <v>7</v>
      </c>
      <c r="AI3" t="s">
        <v>8</v>
      </c>
      <c r="AJ3" s="11" t="s">
        <v>11</v>
      </c>
      <c r="AK3" s="11" t="s">
        <v>20</v>
      </c>
      <c r="AL3" t="s">
        <v>2</v>
      </c>
      <c r="AO3" t="s">
        <v>2</v>
      </c>
      <c r="AP3" t="s">
        <v>2</v>
      </c>
      <c r="AQ3" s="11" t="s">
        <v>11</v>
      </c>
      <c r="AR3" s="11" t="s">
        <v>11</v>
      </c>
      <c r="AS3" t="s">
        <v>7</v>
      </c>
      <c r="AV3" t="s">
        <v>10</v>
      </c>
      <c r="AW3" t="s">
        <v>10</v>
      </c>
      <c r="AX3" s="11" t="s">
        <v>10</v>
      </c>
      <c r="AY3" s="11" t="s">
        <v>10</v>
      </c>
      <c r="AZ3" t="s">
        <v>10</v>
      </c>
      <c r="BC3" t="s">
        <v>12</v>
      </c>
      <c r="BD3" t="s">
        <v>12</v>
      </c>
      <c r="BE3" t="s">
        <v>12</v>
      </c>
      <c r="BF3" t="s">
        <v>12</v>
      </c>
      <c r="BG3" t="s">
        <v>12</v>
      </c>
    </row>
    <row r="4" spans="1:121">
      <c r="A4" s="10" t="s">
        <v>48</v>
      </c>
      <c r="B4" s="20" t="s">
        <v>7</v>
      </c>
      <c r="C4" s="20" t="s">
        <v>7</v>
      </c>
      <c r="D4" s="20"/>
      <c r="E4" s="20"/>
      <c r="F4" s="20" t="s">
        <v>11</v>
      </c>
      <c r="G4" s="20" t="s">
        <v>11</v>
      </c>
      <c r="H4" s="20" t="s">
        <v>11</v>
      </c>
      <c r="I4" s="20" t="s">
        <v>11</v>
      </c>
      <c r="J4" s="20" t="s">
        <v>11</v>
      </c>
      <c r="K4" s="20"/>
      <c r="L4" s="20"/>
      <c r="M4" s="20" t="s">
        <v>12</v>
      </c>
      <c r="N4" s="20" t="s">
        <v>12</v>
      </c>
      <c r="O4" s="20" t="s">
        <v>12</v>
      </c>
      <c r="P4" s="20" t="s">
        <v>20</v>
      </c>
      <c r="Q4" s="20" t="s">
        <v>12</v>
      </c>
      <c r="R4" s="20"/>
      <c r="S4" s="20"/>
      <c r="T4" s="20" t="s">
        <v>7</v>
      </c>
      <c r="U4" s="20" t="s">
        <v>7</v>
      </c>
      <c r="V4" s="20" t="s">
        <v>7</v>
      </c>
      <c r="W4" s="20" t="s">
        <v>7</v>
      </c>
      <c r="X4" s="20" t="s">
        <v>7</v>
      </c>
      <c r="Y4" s="20"/>
      <c r="Z4" s="20"/>
      <c r="AA4" s="20" t="s">
        <v>8</v>
      </c>
      <c r="AB4" s="20" t="s">
        <v>8</v>
      </c>
      <c r="AC4" s="20" t="s">
        <v>8</v>
      </c>
      <c r="AD4" s="20" t="s">
        <v>8</v>
      </c>
      <c r="AE4" t="s">
        <v>8</v>
      </c>
      <c r="AH4" t="s">
        <v>12</v>
      </c>
      <c r="AI4" t="s">
        <v>20</v>
      </c>
      <c r="AJ4" s="11" t="s">
        <v>8</v>
      </c>
      <c r="AK4" s="11" t="s">
        <v>7</v>
      </c>
      <c r="AL4" t="s">
        <v>11</v>
      </c>
      <c r="AO4" t="s">
        <v>10</v>
      </c>
      <c r="AP4" t="s">
        <v>10</v>
      </c>
      <c r="AQ4" s="11" t="s">
        <v>10</v>
      </c>
      <c r="AR4" s="11" t="s">
        <v>10</v>
      </c>
      <c r="AS4" t="s">
        <v>10</v>
      </c>
      <c r="AV4" t="s">
        <v>10</v>
      </c>
      <c r="AW4" t="s">
        <v>10</v>
      </c>
      <c r="AX4" s="11" t="s">
        <v>10</v>
      </c>
      <c r="AY4" s="11" t="s">
        <v>20</v>
      </c>
      <c r="AZ4" t="s">
        <v>10</v>
      </c>
      <c r="BC4" t="s">
        <v>9</v>
      </c>
      <c r="BD4" t="s">
        <v>9</v>
      </c>
      <c r="BE4" t="s">
        <v>9</v>
      </c>
      <c r="BF4" t="s">
        <v>9</v>
      </c>
      <c r="BG4" t="s">
        <v>9</v>
      </c>
    </row>
    <row r="5" spans="1:121">
      <c r="A5" s="10" t="s">
        <v>49</v>
      </c>
      <c r="B5" s="20" t="s">
        <v>12</v>
      </c>
      <c r="C5" s="20" t="s">
        <v>12</v>
      </c>
      <c r="D5" s="20"/>
      <c r="E5" s="20"/>
      <c r="F5" s="20" t="s">
        <v>8</v>
      </c>
      <c r="G5" s="20" t="s">
        <v>8</v>
      </c>
      <c r="H5" s="20" t="s">
        <v>8</v>
      </c>
      <c r="I5" s="20" t="s">
        <v>8</v>
      </c>
      <c r="J5" s="20" t="s">
        <v>8</v>
      </c>
      <c r="K5" s="20"/>
      <c r="L5" s="20"/>
      <c r="M5" s="26" t="s">
        <v>10</v>
      </c>
      <c r="N5" s="26" t="s">
        <v>10</v>
      </c>
      <c r="O5" s="26" t="s">
        <v>10</v>
      </c>
      <c r="P5" s="26" t="s">
        <v>10</v>
      </c>
      <c r="Q5" s="20" t="s">
        <v>20</v>
      </c>
      <c r="R5" s="20"/>
      <c r="S5" s="20"/>
      <c r="T5" s="20" t="s">
        <v>12</v>
      </c>
      <c r="U5" s="20" t="s">
        <v>12</v>
      </c>
      <c r="V5" s="20" t="s">
        <v>12</v>
      </c>
      <c r="W5" s="20" t="s">
        <v>12</v>
      </c>
      <c r="X5" s="20" t="s">
        <v>12</v>
      </c>
      <c r="Y5" s="20"/>
      <c r="Z5" s="20"/>
      <c r="AA5" s="20" t="s">
        <v>11</v>
      </c>
      <c r="AB5" s="20" t="s">
        <v>11</v>
      </c>
      <c r="AC5" s="20" t="s">
        <v>20</v>
      </c>
      <c r="AD5" s="20" t="s">
        <v>11</v>
      </c>
      <c r="AE5" t="s">
        <v>11</v>
      </c>
      <c r="AH5" t="s">
        <v>11</v>
      </c>
      <c r="AI5" t="s">
        <v>11</v>
      </c>
      <c r="AJ5" s="11" t="s">
        <v>7</v>
      </c>
      <c r="AK5" s="11" t="s">
        <v>11</v>
      </c>
      <c r="AL5" t="s">
        <v>20</v>
      </c>
      <c r="AO5" t="s">
        <v>8</v>
      </c>
      <c r="AP5" t="s">
        <v>8</v>
      </c>
      <c r="AQ5" s="11" t="s">
        <v>8</v>
      </c>
      <c r="AR5" s="11" t="s">
        <v>7</v>
      </c>
      <c r="AS5" t="s">
        <v>11</v>
      </c>
      <c r="AV5" t="s">
        <v>7</v>
      </c>
      <c r="AW5" t="s">
        <v>7</v>
      </c>
      <c r="AX5" s="11" t="s">
        <v>7</v>
      </c>
      <c r="AY5" s="11" t="s">
        <v>7</v>
      </c>
      <c r="AZ5" t="s">
        <v>7</v>
      </c>
      <c r="BC5" t="s">
        <v>7</v>
      </c>
      <c r="BD5" t="s">
        <v>11</v>
      </c>
      <c r="BE5" s="11" t="s">
        <v>8</v>
      </c>
      <c r="BF5" s="11" t="s">
        <v>11</v>
      </c>
      <c r="BG5" t="s">
        <v>10</v>
      </c>
    </row>
    <row r="6" spans="1:121">
      <c r="A6" s="10" t="s">
        <v>50</v>
      </c>
      <c r="B6" s="20" t="s">
        <v>8</v>
      </c>
      <c r="C6" s="20" t="s">
        <v>8</v>
      </c>
      <c r="D6" s="20"/>
      <c r="E6" s="20"/>
      <c r="F6" s="20" t="s">
        <v>8</v>
      </c>
      <c r="G6" s="20" t="s">
        <v>8</v>
      </c>
      <c r="H6" s="20" t="s">
        <v>8</v>
      </c>
      <c r="I6" s="20" t="s">
        <v>8</v>
      </c>
      <c r="J6" s="20" t="s">
        <v>8</v>
      </c>
      <c r="K6" s="20"/>
      <c r="L6" s="20"/>
      <c r="M6" s="20" t="s">
        <v>10</v>
      </c>
      <c r="N6" s="20" t="s">
        <v>20</v>
      </c>
      <c r="O6" s="20" t="s">
        <v>10</v>
      </c>
      <c r="P6" s="20" t="s">
        <v>10</v>
      </c>
      <c r="Q6" s="20" t="s">
        <v>10</v>
      </c>
      <c r="R6" s="20"/>
      <c r="S6" s="20"/>
      <c r="T6" s="20" t="s">
        <v>10</v>
      </c>
      <c r="U6" s="20" t="s">
        <v>10</v>
      </c>
      <c r="V6" s="20" t="s">
        <v>20</v>
      </c>
      <c r="W6" s="20" t="s">
        <v>10</v>
      </c>
      <c r="X6" s="20" t="s">
        <v>10</v>
      </c>
      <c r="Y6" s="20"/>
      <c r="Z6" s="20"/>
      <c r="AA6" s="20" t="s">
        <v>20</v>
      </c>
      <c r="AB6" s="20" t="s">
        <v>9</v>
      </c>
      <c r="AC6" s="20" t="s">
        <v>9</v>
      </c>
      <c r="AD6" s="20" t="s">
        <v>9</v>
      </c>
      <c r="AE6" t="s">
        <v>9</v>
      </c>
      <c r="AH6" t="s">
        <v>10</v>
      </c>
      <c r="AI6" t="s">
        <v>10</v>
      </c>
      <c r="AJ6" s="11" t="s">
        <v>10</v>
      </c>
      <c r="AK6" s="11" t="s">
        <v>10</v>
      </c>
      <c r="AL6" t="s">
        <v>10</v>
      </c>
      <c r="AO6" t="s">
        <v>7</v>
      </c>
      <c r="AP6" t="s">
        <v>7</v>
      </c>
      <c r="AQ6" s="11" t="s">
        <v>7</v>
      </c>
      <c r="AR6" s="11" t="s">
        <v>7</v>
      </c>
      <c r="AS6" t="s">
        <v>7</v>
      </c>
      <c r="AV6" t="s">
        <v>9</v>
      </c>
      <c r="AW6" t="s">
        <v>12</v>
      </c>
      <c r="AX6" s="11" t="s">
        <v>8</v>
      </c>
      <c r="AY6" s="11" t="s">
        <v>10</v>
      </c>
      <c r="AZ6" t="s">
        <v>11</v>
      </c>
      <c r="BC6" t="s">
        <v>20</v>
      </c>
      <c r="BD6" t="s">
        <v>7</v>
      </c>
      <c r="BE6" s="11" t="s">
        <v>11</v>
      </c>
      <c r="BF6" s="11" t="s">
        <v>20</v>
      </c>
      <c r="BG6" t="s">
        <v>2</v>
      </c>
    </row>
    <row r="7" spans="1:121">
      <c r="A7" s="10" t="s">
        <v>51</v>
      </c>
      <c r="B7" s="20" t="s">
        <v>8</v>
      </c>
      <c r="C7" s="20" t="s">
        <v>8</v>
      </c>
      <c r="D7" s="20"/>
      <c r="E7" s="20"/>
      <c r="F7" s="20" t="s">
        <v>9</v>
      </c>
      <c r="G7" s="20" t="s">
        <v>20</v>
      </c>
      <c r="H7" s="20" t="s">
        <v>9</v>
      </c>
      <c r="I7" s="20" t="s">
        <v>9</v>
      </c>
      <c r="J7" s="20" t="s">
        <v>9</v>
      </c>
      <c r="K7" s="20"/>
      <c r="L7" s="20"/>
      <c r="M7" s="20" t="s">
        <v>11</v>
      </c>
      <c r="N7" s="20" t="s">
        <v>11</v>
      </c>
      <c r="O7" s="20" t="s">
        <v>11</v>
      </c>
      <c r="P7" s="20" t="s">
        <v>11</v>
      </c>
      <c r="Q7" s="20" t="s">
        <v>11</v>
      </c>
      <c r="R7" s="20"/>
      <c r="S7" s="20"/>
      <c r="T7" s="20" t="s">
        <v>9</v>
      </c>
      <c r="U7" s="20" t="s">
        <v>11</v>
      </c>
      <c r="V7" s="20" t="s">
        <v>10</v>
      </c>
      <c r="W7" s="20" t="s">
        <v>20</v>
      </c>
      <c r="X7" s="20" t="s">
        <v>11</v>
      </c>
      <c r="Y7" s="20"/>
      <c r="Z7" s="20"/>
      <c r="AA7" s="20" t="s">
        <v>10</v>
      </c>
      <c r="AB7" s="20" t="s">
        <v>10</v>
      </c>
      <c r="AC7" s="20" t="s">
        <v>10</v>
      </c>
      <c r="AD7" s="20" t="s">
        <v>10</v>
      </c>
      <c r="AE7" t="s">
        <v>10</v>
      </c>
      <c r="AH7" t="s">
        <v>10</v>
      </c>
      <c r="AI7" t="s">
        <v>2</v>
      </c>
      <c r="AJ7" s="11" t="s">
        <v>2</v>
      </c>
      <c r="AK7" s="11" t="s">
        <v>2</v>
      </c>
      <c r="AL7" t="s">
        <v>2</v>
      </c>
      <c r="AO7" t="s">
        <v>12</v>
      </c>
      <c r="AP7" t="s">
        <v>12</v>
      </c>
      <c r="AQ7" s="11" t="s">
        <v>12</v>
      </c>
      <c r="AR7" s="11" t="s">
        <v>20</v>
      </c>
      <c r="AS7" t="s">
        <v>12</v>
      </c>
      <c r="AV7" t="s">
        <v>11</v>
      </c>
      <c r="AW7" t="s">
        <v>11</v>
      </c>
      <c r="AX7" s="11" t="s">
        <v>11</v>
      </c>
      <c r="AY7" s="11" t="s">
        <v>11</v>
      </c>
      <c r="AZ7" t="s">
        <v>20</v>
      </c>
      <c r="BC7" t="s">
        <v>8</v>
      </c>
      <c r="BD7" t="s">
        <v>8</v>
      </c>
      <c r="BE7" s="11" t="s">
        <v>7</v>
      </c>
      <c r="BF7" s="11" t="s">
        <v>8</v>
      </c>
      <c r="BG7" t="s">
        <v>8</v>
      </c>
    </row>
    <row r="8" spans="1:121">
      <c r="A8" s="10" t="s">
        <v>52</v>
      </c>
      <c r="B8" s="20" t="s">
        <v>8</v>
      </c>
      <c r="C8" s="20" t="s">
        <v>8</v>
      </c>
      <c r="D8" s="20"/>
      <c r="E8" s="20"/>
      <c r="F8" s="20" t="s">
        <v>7</v>
      </c>
      <c r="G8" s="20" t="s">
        <v>7</v>
      </c>
      <c r="H8" s="20" t="s">
        <v>7</v>
      </c>
      <c r="I8" s="20" t="s">
        <v>7</v>
      </c>
      <c r="J8" s="20" t="s">
        <v>7</v>
      </c>
      <c r="K8" s="20"/>
      <c r="L8" s="20"/>
      <c r="M8" s="20" t="s">
        <v>8</v>
      </c>
      <c r="N8" s="20" t="s">
        <v>10</v>
      </c>
      <c r="O8" s="20" t="s">
        <v>9</v>
      </c>
      <c r="P8" s="20" t="s">
        <v>12</v>
      </c>
      <c r="Q8" s="20" t="s">
        <v>10</v>
      </c>
      <c r="R8" s="20"/>
      <c r="S8" s="20"/>
      <c r="T8" s="20" t="s">
        <v>10</v>
      </c>
      <c r="U8" s="20" t="s">
        <v>10</v>
      </c>
      <c r="V8" s="20" t="s">
        <v>10</v>
      </c>
      <c r="W8" s="20" t="s">
        <v>10</v>
      </c>
      <c r="X8" s="20" t="s">
        <v>20</v>
      </c>
      <c r="Y8" s="20"/>
      <c r="Z8" s="20"/>
      <c r="AA8" s="20" t="s">
        <v>8</v>
      </c>
      <c r="AB8" s="20" t="s">
        <v>8</v>
      </c>
      <c r="AC8" s="20" t="s">
        <v>8</v>
      </c>
      <c r="AD8" s="20" t="s">
        <v>8</v>
      </c>
      <c r="AE8" t="s">
        <v>8</v>
      </c>
      <c r="AH8" t="s">
        <v>2</v>
      </c>
      <c r="AI8" t="s">
        <v>2</v>
      </c>
      <c r="AJ8" s="11" t="s">
        <v>8</v>
      </c>
      <c r="AK8" s="11" t="s">
        <v>8</v>
      </c>
      <c r="AL8" t="s">
        <v>8</v>
      </c>
      <c r="AO8" t="s">
        <v>20</v>
      </c>
      <c r="AP8" t="s">
        <v>10</v>
      </c>
      <c r="AQ8" s="11" t="s">
        <v>10</v>
      </c>
      <c r="AR8" s="11" t="s">
        <v>9</v>
      </c>
      <c r="AS8" t="s">
        <v>9</v>
      </c>
      <c r="AV8" t="s">
        <v>20</v>
      </c>
      <c r="AW8" t="s">
        <v>9</v>
      </c>
      <c r="AX8" s="11" t="s">
        <v>9</v>
      </c>
      <c r="AY8" s="11" t="s">
        <v>9</v>
      </c>
      <c r="AZ8" t="s">
        <v>9</v>
      </c>
      <c r="BC8" t="s">
        <v>11</v>
      </c>
      <c r="BD8" t="s">
        <v>20</v>
      </c>
      <c r="BE8" s="11" t="s">
        <v>11</v>
      </c>
      <c r="BF8" s="11" t="s">
        <v>11</v>
      </c>
      <c r="BG8" t="s">
        <v>11</v>
      </c>
    </row>
    <row r="9" spans="1:121">
      <c r="A9" s="10" t="s">
        <v>53</v>
      </c>
      <c r="B9" s="20" t="s">
        <v>10</v>
      </c>
      <c r="C9" s="20" t="s">
        <v>10</v>
      </c>
      <c r="D9" s="20"/>
      <c r="E9" s="20"/>
      <c r="F9" s="20" t="s">
        <v>20</v>
      </c>
      <c r="G9" s="20" t="s">
        <v>12</v>
      </c>
      <c r="H9" s="20" t="s">
        <v>12</v>
      </c>
      <c r="I9" s="20" t="s">
        <v>12</v>
      </c>
      <c r="J9" s="20" t="s">
        <v>12</v>
      </c>
      <c r="K9" s="20"/>
      <c r="L9" s="20"/>
      <c r="M9" s="20" t="s">
        <v>8</v>
      </c>
      <c r="N9" s="20" t="s">
        <v>8</v>
      </c>
      <c r="O9" s="20" t="s">
        <v>8</v>
      </c>
      <c r="P9" s="20" t="s">
        <v>8</v>
      </c>
      <c r="Q9" s="20" t="s">
        <v>8</v>
      </c>
      <c r="R9" s="20"/>
      <c r="S9" s="20"/>
      <c r="T9" s="20" t="s">
        <v>8</v>
      </c>
      <c r="U9" s="20" t="s">
        <v>8</v>
      </c>
      <c r="V9" s="20" t="s">
        <v>8</v>
      </c>
      <c r="W9" s="20" t="s">
        <v>8</v>
      </c>
      <c r="X9" s="20" t="s">
        <v>8</v>
      </c>
      <c r="Y9" s="20"/>
      <c r="Z9" s="20"/>
      <c r="AA9" s="20" t="s">
        <v>10</v>
      </c>
      <c r="AB9" s="20" t="s">
        <v>10</v>
      </c>
      <c r="AC9" s="20" t="s">
        <v>10</v>
      </c>
      <c r="AD9" s="20" t="s">
        <v>7</v>
      </c>
      <c r="AE9" t="s">
        <v>7</v>
      </c>
      <c r="AH9" t="s">
        <v>9</v>
      </c>
      <c r="AI9" t="s">
        <v>9</v>
      </c>
      <c r="AJ9" s="11" t="s">
        <v>9</v>
      </c>
      <c r="AK9" s="11" t="s">
        <v>9</v>
      </c>
      <c r="AL9" t="s">
        <v>9</v>
      </c>
      <c r="AO9" t="s">
        <v>8</v>
      </c>
      <c r="AP9" t="s">
        <v>8</v>
      </c>
      <c r="AQ9" s="11" t="s">
        <v>8</v>
      </c>
      <c r="AR9" s="11" t="s">
        <v>8</v>
      </c>
      <c r="AS9" t="s">
        <v>8</v>
      </c>
      <c r="AV9" t="s">
        <v>8</v>
      </c>
      <c r="AW9" t="s">
        <v>8</v>
      </c>
      <c r="AX9" s="11" t="s">
        <v>8</v>
      </c>
      <c r="AY9" s="11" t="s">
        <v>8</v>
      </c>
      <c r="AZ9" t="s">
        <v>8</v>
      </c>
      <c r="BC9" t="s">
        <v>10</v>
      </c>
      <c r="BD9" t="s">
        <v>10</v>
      </c>
      <c r="BE9" t="s">
        <v>10</v>
      </c>
      <c r="BF9" s="11" t="s">
        <v>10</v>
      </c>
      <c r="BG9" t="s">
        <v>10</v>
      </c>
    </row>
    <row r="10" spans="1:121">
      <c r="A10" s="10" t="s">
        <v>54</v>
      </c>
      <c r="B10" s="20" t="s">
        <v>10</v>
      </c>
      <c r="C10" s="20" t="s">
        <v>10</v>
      </c>
      <c r="D10" s="20"/>
      <c r="E10" s="20"/>
      <c r="F10" s="20" t="s">
        <v>8</v>
      </c>
      <c r="G10" s="20" t="s">
        <v>8</v>
      </c>
      <c r="H10" s="20" t="s">
        <v>8</v>
      </c>
      <c r="I10" s="20" t="s">
        <v>8</v>
      </c>
      <c r="J10" s="20" t="s">
        <v>20</v>
      </c>
      <c r="K10" s="20"/>
      <c r="L10" s="20"/>
      <c r="M10" s="20" t="s">
        <v>11</v>
      </c>
      <c r="N10" s="20" t="s">
        <v>11</v>
      </c>
      <c r="O10" s="20" t="s">
        <v>11</v>
      </c>
      <c r="P10" s="20" t="s">
        <v>11</v>
      </c>
      <c r="Q10" s="20" t="s">
        <v>11</v>
      </c>
      <c r="R10" s="20"/>
      <c r="S10" s="20"/>
      <c r="T10" s="20" t="s">
        <v>11</v>
      </c>
      <c r="U10" s="20" t="s">
        <v>20</v>
      </c>
      <c r="V10" s="20" t="s">
        <v>11</v>
      </c>
      <c r="W10" s="20" t="s">
        <v>11</v>
      </c>
      <c r="X10" s="20" t="s">
        <v>11</v>
      </c>
      <c r="Y10" s="20"/>
      <c r="Z10" s="20"/>
      <c r="AA10" s="20" t="s">
        <v>7</v>
      </c>
      <c r="AB10" s="20" t="s">
        <v>20</v>
      </c>
      <c r="AC10" s="20" t="s">
        <v>7</v>
      </c>
      <c r="AD10" s="20" t="s">
        <v>10</v>
      </c>
      <c r="AE10" t="s">
        <v>10</v>
      </c>
      <c r="AH10" t="s">
        <v>2</v>
      </c>
      <c r="AI10" t="s">
        <v>12</v>
      </c>
      <c r="AJ10" s="11" t="s">
        <v>12</v>
      </c>
      <c r="AK10" s="11" t="s">
        <v>12</v>
      </c>
      <c r="AL10" t="s">
        <v>12</v>
      </c>
      <c r="AO10" t="s">
        <v>7</v>
      </c>
      <c r="AP10" t="s">
        <v>7</v>
      </c>
      <c r="AQ10" s="11" t="s">
        <v>7</v>
      </c>
      <c r="AR10" s="11" t="s">
        <v>10</v>
      </c>
      <c r="AS10" t="s">
        <v>10</v>
      </c>
      <c r="AV10" t="s">
        <v>7</v>
      </c>
      <c r="AW10" t="s">
        <v>7</v>
      </c>
      <c r="AX10" s="11" t="s">
        <v>7</v>
      </c>
      <c r="AY10" s="11" t="s">
        <v>7</v>
      </c>
      <c r="AZ10" t="s">
        <v>7</v>
      </c>
      <c r="BC10" t="s">
        <v>10</v>
      </c>
      <c r="BD10" t="s">
        <v>10</v>
      </c>
      <c r="BE10" t="s">
        <v>10</v>
      </c>
      <c r="BF10" s="11" t="s">
        <v>10</v>
      </c>
      <c r="BG10" t="s">
        <v>20</v>
      </c>
    </row>
    <row r="11" spans="1:121">
      <c r="A11" s="10" t="s">
        <v>55</v>
      </c>
      <c r="B11" s="20" t="s">
        <v>11</v>
      </c>
      <c r="C11" s="20" t="s">
        <v>11</v>
      </c>
      <c r="D11" s="20"/>
      <c r="E11" s="20"/>
      <c r="F11" s="20" t="s">
        <v>10</v>
      </c>
      <c r="G11" s="20" t="s">
        <v>10</v>
      </c>
      <c r="H11" s="20" t="s">
        <v>10</v>
      </c>
      <c r="I11" s="20" t="s">
        <v>10</v>
      </c>
      <c r="J11" s="20" t="s">
        <v>10</v>
      </c>
      <c r="K11" s="20"/>
      <c r="L11" s="20"/>
      <c r="M11" s="20" t="s">
        <v>8</v>
      </c>
      <c r="N11" s="20" t="s">
        <v>8</v>
      </c>
      <c r="O11" s="20" t="s">
        <v>8</v>
      </c>
      <c r="P11" s="20" t="s">
        <v>8</v>
      </c>
      <c r="Q11" s="20" t="s">
        <v>8</v>
      </c>
      <c r="R11" s="20"/>
      <c r="S11" s="20"/>
      <c r="T11" s="20" t="s">
        <v>20</v>
      </c>
      <c r="U11" s="20" t="s">
        <v>9</v>
      </c>
      <c r="V11" s="20" t="s">
        <v>9</v>
      </c>
      <c r="W11" s="20" t="s">
        <v>9</v>
      </c>
      <c r="X11" s="20" t="s">
        <v>9</v>
      </c>
      <c r="Y11" s="20"/>
      <c r="Z11" s="20"/>
      <c r="AA11" s="20" t="s">
        <v>11</v>
      </c>
      <c r="AB11" s="20" t="s">
        <v>11</v>
      </c>
      <c r="AC11" s="20" t="s">
        <v>11</v>
      </c>
      <c r="AD11" s="20" t="s">
        <v>20</v>
      </c>
      <c r="AE11" s="10" t="s">
        <v>20</v>
      </c>
      <c r="AH11" t="s">
        <v>8</v>
      </c>
      <c r="AI11" t="s">
        <v>8</v>
      </c>
      <c r="AJ11" s="11" t="s">
        <v>20</v>
      </c>
      <c r="AK11" s="11" t="s">
        <v>8</v>
      </c>
      <c r="AL11" t="s">
        <v>8</v>
      </c>
      <c r="AO11" t="s">
        <v>10</v>
      </c>
      <c r="AP11" t="s">
        <v>11</v>
      </c>
      <c r="AQ11" s="11" t="s">
        <v>9</v>
      </c>
      <c r="AR11" s="11" t="s">
        <v>12</v>
      </c>
      <c r="AS11" t="s">
        <v>8</v>
      </c>
      <c r="AV11" t="s">
        <v>12</v>
      </c>
      <c r="AW11" t="s">
        <v>20</v>
      </c>
      <c r="AX11" s="11" t="s">
        <v>12</v>
      </c>
      <c r="AY11" s="11" t="s">
        <v>12</v>
      </c>
      <c r="AZ11" t="s">
        <v>12</v>
      </c>
      <c r="BC11" t="s">
        <v>7</v>
      </c>
      <c r="BD11" t="s">
        <v>7</v>
      </c>
      <c r="BE11" s="11" t="s">
        <v>7</v>
      </c>
      <c r="BF11" s="11" t="s">
        <v>7</v>
      </c>
      <c r="BG11" t="s">
        <v>7</v>
      </c>
    </row>
    <row r="12" spans="1:121">
      <c r="A12" s="10" t="s">
        <v>56</v>
      </c>
      <c r="B12" s="20" t="s">
        <v>11</v>
      </c>
      <c r="C12" s="20" t="s">
        <v>11</v>
      </c>
      <c r="D12" s="20"/>
      <c r="E12" s="20"/>
      <c r="F12" s="20" t="s">
        <v>10</v>
      </c>
      <c r="G12" s="20" t="s">
        <v>10</v>
      </c>
      <c r="H12" s="20" t="s">
        <v>10</v>
      </c>
      <c r="I12" s="20" t="s">
        <v>10</v>
      </c>
      <c r="J12" s="20" t="s">
        <v>10</v>
      </c>
      <c r="K12" s="20"/>
      <c r="L12" s="20"/>
      <c r="M12" s="20" t="s">
        <v>20</v>
      </c>
      <c r="N12" s="20" t="s">
        <v>8</v>
      </c>
      <c r="O12" s="20" t="s">
        <v>8</v>
      </c>
      <c r="P12" s="20" t="s">
        <v>8</v>
      </c>
      <c r="Q12" s="20" t="s">
        <v>8</v>
      </c>
      <c r="R12" s="20"/>
      <c r="S12" s="20"/>
      <c r="T12" s="20" t="s">
        <v>11</v>
      </c>
      <c r="U12" s="20" t="s">
        <v>11</v>
      </c>
      <c r="V12" s="20" t="s">
        <v>11</v>
      </c>
      <c r="W12" s="20" t="s">
        <v>11</v>
      </c>
      <c r="X12" s="20" t="s">
        <v>11</v>
      </c>
      <c r="Y12" s="20"/>
      <c r="Z12" s="20"/>
      <c r="AA12" s="20" t="s">
        <v>9</v>
      </c>
      <c r="AB12" s="20" t="s">
        <v>7</v>
      </c>
      <c r="AC12" s="20" t="s">
        <v>11</v>
      </c>
      <c r="AD12" s="20" t="s">
        <v>11</v>
      </c>
      <c r="AE12" t="s">
        <v>11</v>
      </c>
      <c r="AH12" t="s">
        <v>8</v>
      </c>
      <c r="AI12" t="s">
        <v>10</v>
      </c>
      <c r="AJ12" s="11" t="s">
        <v>10</v>
      </c>
      <c r="AK12" s="11" t="s">
        <v>10</v>
      </c>
      <c r="AL12" t="s">
        <v>7</v>
      </c>
      <c r="AO12" t="s">
        <v>9</v>
      </c>
      <c r="AP12" t="s">
        <v>9</v>
      </c>
      <c r="AQ12" s="11" t="s">
        <v>20</v>
      </c>
      <c r="AR12" s="11" t="s">
        <v>2</v>
      </c>
      <c r="AS12" t="s">
        <v>2</v>
      </c>
      <c r="AV12" t="s">
        <v>8</v>
      </c>
      <c r="AW12" t="s">
        <v>8</v>
      </c>
      <c r="AX12" s="11" t="s">
        <v>20</v>
      </c>
      <c r="AY12" s="11" t="s">
        <v>8</v>
      </c>
      <c r="AZ12" t="s">
        <v>8</v>
      </c>
      <c r="BC12" t="s">
        <v>8</v>
      </c>
      <c r="BD12" t="s">
        <v>8</v>
      </c>
      <c r="BE12" s="11" t="s">
        <v>20</v>
      </c>
      <c r="BF12" s="11" t="s">
        <v>7</v>
      </c>
      <c r="BG12" t="s">
        <v>7</v>
      </c>
    </row>
  </sheetData>
  <phoneticPr fontId="26" type="noConversion"/>
  <conditionalFormatting sqref="AD12:BG12 AD11 AF11:AO11 AD6:AO10 AD4:AU5 AP6:AU11 AV4:BG11 AD3:BG3 B1:AA1 AF2:DQ2">
    <cfRule type="cellIs" dxfId="71" priority="11" operator="equal">
      <formula>"B"</formula>
    </cfRule>
    <cfRule type="cellIs" dxfId="70" priority="12" operator="equal">
      <formula>"L"</formula>
    </cfRule>
  </conditionalFormatting>
  <conditionalFormatting sqref="B5:L5 Q5:AD5 B6:AD12 B3:AD4 B2:AE2">
    <cfRule type="cellIs" dxfId="69" priority="9" operator="equal">
      <formula>"B"</formula>
    </cfRule>
    <cfRule type="cellIs" dxfId="68" priority="10" operator="equal">
      <formula>"L"</formula>
    </cfRule>
  </conditionalFormatting>
  <conditionalFormatting sqref="B2:ZZ100">
    <cfRule type="cellIs" dxfId="67" priority="1" stopIfTrue="1" operator="equal">
      <formula>"ps_cover"</formula>
    </cfRule>
    <cfRule type="cellIs" dxfId="66" priority="2" operator="equal">
      <formula>"bg"</formula>
    </cfRule>
    <cfRule type="cellIs" dxfId="65" priority="3" operator="equal">
      <formula>"go"</formula>
    </cfRule>
    <cfRule type="cellIs" dxfId="64" priority="4" stopIfTrue="1" operator="equal">
      <formula>"b1"</formula>
    </cfRule>
    <cfRule type="cellIs" dxfId="63" priority="5" operator="equal">
      <formula>"ds"</formula>
    </cfRule>
    <cfRule type="cellIs" dxfId="62" priority="6" stopIfTrue="1" operator="equal">
      <formula>"9ab"</formula>
    </cfRule>
    <cfRule type="cellIs" dxfId="61" priority="7" stopIfTrue="1" operator="equal">
      <formula>"subobs"</formula>
    </cfRule>
    <cfRule type="cellIs" dxfId="60" priority="8" operator="equal">
      <formula>"leave"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94F8A-0881-2C45-9025-DFCB379B2E79}">
  <sheetPr codeName="Sheet5"/>
  <dimension ref="A1:DQ12"/>
  <sheetViews>
    <sheetView zoomScale="125" workbookViewId="0">
      <selection activeCell="A12" sqref="A12"/>
    </sheetView>
  </sheetViews>
  <sheetFormatPr baseColWidth="10" defaultRowHeight="16"/>
  <cols>
    <col min="1" max="1" width="15.1640625" customWidth="1"/>
    <col min="4" max="5" width="10.83203125" style="11"/>
    <col min="11" max="12" width="10.83203125" style="11"/>
    <col min="18" max="19" width="10.83203125" style="11"/>
    <col min="25" max="26" width="10.83203125" style="11"/>
  </cols>
  <sheetData>
    <row r="1" spans="1:121" s="20" customFormat="1">
      <c r="A1" s="25" t="s">
        <v>0</v>
      </c>
      <c r="B1" s="20">
        <v>46090</v>
      </c>
      <c r="C1" s="20">
        <v>46121</v>
      </c>
      <c r="D1" s="19">
        <v>46151</v>
      </c>
      <c r="E1" s="19">
        <v>46182</v>
      </c>
      <c r="F1" s="20">
        <v>46212</v>
      </c>
      <c r="G1" s="20">
        <v>46243</v>
      </c>
      <c r="H1" s="20">
        <v>46274</v>
      </c>
      <c r="I1" s="20">
        <v>46304</v>
      </c>
      <c r="J1" s="20">
        <v>46335</v>
      </c>
      <c r="K1" s="19">
        <v>46365</v>
      </c>
      <c r="L1" s="19" t="s">
        <v>69</v>
      </c>
      <c r="M1" s="20" t="s">
        <v>70</v>
      </c>
      <c r="N1" s="20" t="s">
        <v>71</v>
      </c>
      <c r="O1" s="20" t="s">
        <v>72</v>
      </c>
      <c r="P1" s="20" t="s">
        <v>73</v>
      </c>
      <c r="Q1" s="20" t="s">
        <v>74</v>
      </c>
      <c r="R1" s="19" t="s">
        <v>75</v>
      </c>
      <c r="S1" s="19" t="s">
        <v>76</v>
      </c>
      <c r="T1" s="20" t="s">
        <v>77</v>
      </c>
      <c r="U1" s="20" t="s">
        <v>78</v>
      </c>
      <c r="V1" s="20" t="s">
        <v>79</v>
      </c>
      <c r="W1" s="20" t="s">
        <v>80</v>
      </c>
      <c r="X1" s="20" t="s">
        <v>81</v>
      </c>
      <c r="Y1" s="19" t="s">
        <v>82</v>
      </c>
      <c r="Z1" s="19" t="s">
        <v>83</v>
      </c>
      <c r="AA1" s="20" t="s">
        <v>84</v>
      </c>
      <c r="AB1" s="20" t="s">
        <v>85</v>
      </c>
      <c r="AC1" s="20" t="s">
        <v>86</v>
      </c>
      <c r="AD1" s="20">
        <v>46032</v>
      </c>
      <c r="AE1" s="20">
        <v>46063</v>
      </c>
      <c r="AF1" s="19">
        <v>46091</v>
      </c>
      <c r="AG1" s="19">
        <v>46122</v>
      </c>
      <c r="AH1" s="20">
        <v>46152</v>
      </c>
      <c r="AI1" s="20">
        <v>46183</v>
      </c>
      <c r="AJ1" s="20">
        <v>46213</v>
      </c>
      <c r="AK1" s="20">
        <v>46244</v>
      </c>
      <c r="AL1" s="20">
        <v>46275</v>
      </c>
      <c r="AM1" s="19">
        <v>46305</v>
      </c>
      <c r="AN1" s="19">
        <v>46336</v>
      </c>
      <c r="AO1" s="20">
        <v>46366</v>
      </c>
      <c r="AP1" s="20" t="s">
        <v>68</v>
      </c>
      <c r="AQ1" s="20" t="s">
        <v>87</v>
      </c>
      <c r="AR1" s="20" t="s">
        <v>88</v>
      </c>
      <c r="AS1" s="20" t="s">
        <v>89</v>
      </c>
      <c r="AT1" s="19" t="s">
        <v>90</v>
      </c>
      <c r="AU1" s="19" t="s">
        <v>91</v>
      </c>
      <c r="AV1" s="20" t="s">
        <v>92</v>
      </c>
      <c r="AW1" s="20" t="s">
        <v>93</v>
      </c>
      <c r="AX1" s="20" t="s">
        <v>94</v>
      </c>
      <c r="AY1" s="20" t="s">
        <v>95</v>
      </c>
      <c r="AZ1" s="20" t="s">
        <v>96</v>
      </c>
      <c r="BA1" s="19" t="s">
        <v>97</v>
      </c>
      <c r="BB1" s="19" t="s">
        <v>98</v>
      </c>
      <c r="BC1" s="20" t="s">
        <v>99</v>
      </c>
      <c r="BD1" s="20" t="s">
        <v>100</v>
      </c>
      <c r="BE1" s="20" t="s">
        <v>101</v>
      </c>
      <c r="BF1" s="20" t="s">
        <v>67</v>
      </c>
      <c r="BG1" s="20" t="s">
        <v>66</v>
      </c>
      <c r="BH1" s="19" t="s">
        <v>65</v>
      </c>
      <c r="BI1" s="19">
        <v>46033</v>
      </c>
      <c r="BJ1" s="20">
        <v>46064</v>
      </c>
      <c r="BK1" s="20">
        <v>46092</v>
      </c>
      <c r="BL1" s="20">
        <v>46123</v>
      </c>
      <c r="BM1" s="20">
        <v>46153</v>
      </c>
      <c r="BN1" s="20">
        <v>46184</v>
      </c>
      <c r="BO1" s="19">
        <v>46214</v>
      </c>
      <c r="BP1" s="19">
        <v>46245</v>
      </c>
      <c r="BQ1" s="20">
        <v>46276</v>
      </c>
      <c r="BR1" s="20">
        <v>46306</v>
      </c>
      <c r="BS1" s="20">
        <v>46337</v>
      </c>
      <c r="BT1" s="20">
        <v>46367</v>
      </c>
      <c r="BU1" s="20" t="s">
        <v>23</v>
      </c>
      <c r="BV1" s="19" t="s">
        <v>24</v>
      </c>
      <c r="BW1" s="19" t="s">
        <v>25</v>
      </c>
      <c r="BX1" s="20" t="s">
        <v>26</v>
      </c>
      <c r="BY1" s="20" t="s">
        <v>27</v>
      </c>
      <c r="BZ1" s="20" t="s">
        <v>28</v>
      </c>
      <c r="CA1" s="20" t="s">
        <v>29</v>
      </c>
      <c r="CB1" s="20" t="s">
        <v>30</v>
      </c>
      <c r="CC1" s="19" t="s">
        <v>31</v>
      </c>
      <c r="CD1" s="19" t="s">
        <v>32</v>
      </c>
      <c r="CE1" s="20" t="s">
        <v>33</v>
      </c>
      <c r="CF1" s="20" t="s">
        <v>34</v>
      </c>
      <c r="CG1" s="20" t="s">
        <v>35</v>
      </c>
      <c r="CH1" s="20" t="s">
        <v>36</v>
      </c>
      <c r="CI1" s="20" t="s">
        <v>37</v>
      </c>
      <c r="CJ1" s="19" t="s">
        <v>38</v>
      </c>
      <c r="CK1" s="19" t="s">
        <v>39</v>
      </c>
      <c r="CL1" s="20" t="s">
        <v>40</v>
      </c>
      <c r="CM1" s="20">
        <v>46034</v>
      </c>
      <c r="CN1" s="20">
        <v>46065</v>
      </c>
      <c r="CO1" s="20">
        <v>46093</v>
      </c>
      <c r="CP1" s="20">
        <v>46124</v>
      </c>
      <c r="CQ1" s="19">
        <v>46154</v>
      </c>
      <c r="CR1" s="19">
        <v>46185</v>
      </c>
      <c r="CS1" s="20">
        <v>46215</v>
      </c>
      <c r="CT1" s="20">
        <v>46246</v>
      </c>
      <c r="CU1" s="20">
        <v>46277</v>
      </c>
      <c r="CV1" s="20">
        <v>46307</v>
      </c>
      <c r="CW1" s="20">
        <v>46338</v>
      </c>
      <c r="CX1" s="19">
        <v>46368</v>
      </c>
      <c r="CY1" s="19" t="s">
        <v>102</v>
      </c>
      <c r="CZ1" s="20" t="s">
        <v>103</v>
      </c>
      <c r="DA1" s="20" t="s">
        <v>104</v>
      </c>
      <c r="DB1" s="20" t="s">
        <v>105</v>
      </c>
      <c r="DC1" s="20" t="s">
        <v>106</v>
      </c>
      <c r="DD1" s="20" t="s">
        <v>107</v>
      </c>
      <c r="DE1" s="19" t="s">
        <v>108</v>
      </c>
      <c r="DF1" s="19" t="s">
        <v>109</v>
      </c>
      <c r="DG1" s="20" t="s">
        <v>110</v>
      </c>
      <c r="DH1" s="20" t="s">
        <v>111</v>
      </c>
      <c r="DI1" s="20" t="s">
        <v>112</v>
      </c>
      <c r="DJ1" s="20" t="s">
        <v>113</v>
      </c>
      <c r="DK1" s="20" t="s">
        <v>114</v>
      </c>
      <c r="DL1" s="19" t="s">
        <v>115</v>
      </c>
      <c r="DM1" s="19" t="s">
        <v>116</v>
      </c>
      <c r="DN1" s="20" t="s">
        <v>117</v>
      </c>
      <c r="DO1" s="20" t="s">
        <v>118</v>
      </c>
      <c r="DP1" s="20" t="s">
        <v>119</v>
      </c>
      <c r="DQ1" s="20" t="s">
        <v>120</v>
      </c>
    </row>
    <row r="2" spans="1:121">
      <c r="A2" s="10" t="s">
        <v>123</v>
      </c>
      <c r="B2">
        <v>1</v>
      </c>
      <c r="C2">
        <v>1</v>
      </c>
      <c r="D2" s="11">
        <v>1</v>
      </c>
      <c r="E2" s="11">
        <v>1</v>
      </c>
      <c r="F2">
        <v>1</v>
      </c>
      <c r="G2">
        <v>1</v>
      </c>
      <c r="H2">
        <v>0</v>
      </c>
      <c r="I2">
        <v>0</v>
      </c>
      <c r="J2">
        <v>0</v>
      </c>
      <c r="K2" s="11">
        <v>0</v>
      </c>
      <c r="L2" s="11">
        <v>1</v>
      </c>
      <c r="M2">
        <v>0</v>
      </c>
      <c r="N2">
        <v>0</v>
      </c>
      <c r="O2">
        <v>0</v>
      </c>
      <c r="P2">
        <v>0</v>
      </c>
      <c r="Q2">
        <v>0</v>
      </c>
      <c r="R2" s="11">
        <v>0</v>
      </c>
      <c r="S2" s="11">
        <v>0</v>
      </c>
      <c r="T2">
        <v>0</v>
      </c>
      <c r="U2">
        <v>0</v>
      </c>
      <c r="V2">
        <v>0</v>
      </c>
      <c r="W2">
        <v>0</v>
      </c>
      <c r="X2">
        <v>0</v>
      </c>
      <c r="Y2" s="11">
        <v>0</v>
      </c>
      <c r="Z2" s="11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</row>
    <row r="3" spans="1:121">
      <c r="A3" s="10" t="s">
        <v>47</v>
      </c>
      <c r="B3">
        <v>0</v>
      </c>
      <c r="C3">
        <v>0</v>
      </c>
      <c r="D3" s="11">
        <v>0</v>
      </c>
      <c r="E3" s="11">
        <v>0</v>
      </c>
      <c r="F3">
        <v>0</v>
      </c>
      <c r="G3">
        <v>0</v>
      </c>
      <c r="H3">
        <v>1</v>
      </c>
      <c r="I3">
        <v>0</v>
      </c>
      <c r="J3">
        <v>0</v>
      </c>
      <c r="K3" s="11">
        <v>0</v>
      </c>
      <c r="L3" s="11">
        <v>0</v>
      </c>
      <c r="M3">
        <v>0</v>
      </c>
      <c r="N3">
        <v>0</v>
      </c>
      <c r="O3">
        <v>0</v>
      </c>
      <c r="P3">
        <v>0</v>
      </c>
      <c r="Q3">
        <v>1</v>
      </c>
      <c r="R3" s="11">
        <v>0</v>
      </c>
      <c r="S3" s="11">
        <v>0</v>
      </c>
      <c r="T3">
        <v>0</v>
      </c>
      <c r="U3">
        <v>0</v>
      </c>
      <c r="V3">
        <v>0</v>
      </c>
      <c r="W3">
        <v>0</v>
      </c>
      <c r="X3">
        <v>0</v>
      </c>
      <c r="Y3" s="11">
        <v>0</v>
      </c>
      <c r="Z3" s="11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1</v>
      </c>
      <c r="AG3">
        <v>0</v>
      </c>
      <c r="AH3">
        <v>0</v>
      </c>
      <c r="AI3">
        <v>0</v>
      </c>
      <c r="AJ3">
        <v>1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1</v>
      </c>
      <c r="AU3">
        <v>0</v>
      </c>
      <c r="AV3">
        <v>0</v>
      </c>
      <c r="AW3">
        <v>0</v>
      </c>
      <c r="AX3">
        <v>0</v>
      </c>
      <c r="AY3">
        <v>0</v>
      </c>
      <c r="AZ3">
        <v>1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1</v>
      </c>
      <c r="BH3">
        <v>0</v>
      </c>
    </row>
    <row r="4" spans="1:121">
      <c r="A4" s="10" t="s">
        <v>48</v>
      </c>
      <c r="B4">
        <v>0</v>
      </c>
      <c r="C4">
        <v>0</v>
      </c>
      <c r="D4" s="11">
        <v>1</v>
      </c>
      <c r="E4" s="11">
        <v>0</v>
      </c>
      <c r="F4">
        <v>0</v>
      </c>
      <c r="G4">
        <v>0</v>
      </c>
      <c r="H4">
        <v>0</v>
      </c>
      <c r="I4">
        <v>0</v>
      </c>
      <c r="J4">
        <v>0</v>
      </c>
      <c r="K4" s="11">
        <v>0</v>
      </c>
      <c r="L4" s="11">
        <v>0</v>
      </c>
      <c r="M4">
        <v>0</v>
      </c>
      <c r="N4">
        <v>0</v>
      </c>
      <c r="O4">
        <v>1</v>
      </c>
      <c r="P4">
        <v>0</v>
      </c>
      <c r="Q4">
        <v>0</v>
      </c>
      <c r="R4" s="11">
        <v>0</v>
      </c>
      <c r="S4" s="11">
        <v>0</v>
      </c>
      <c r="T4">
        <v>0</v>
      </c>
      <c r="U4">
        <v>0</v>
      </c>
      <c r="V4">
        <v>0</v>
      </c>
      <c r="W4">
        <v>0</v>
      </c>
      <c r="X4">
        <v>1</v>
      </c>
      <c r="Y4" s="11">
        <v>0</v>
      </c>
      <c r="Z4" s="11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1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1</v>
      </c>
      <c r="AU4">
        <v>0</v>
      </c>
      <c r="AV4">
        <v>0</v>
      </c>
      <c r="AW4">
        <v>0</v>
      </c>
      <c r="AX4">
        <v>1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1</v>
      </c>
    </row>
    <row r="5" spans="1:121">
      <c r="A5" s="10" t="s">
        <v>49</v>
      </c>
      <c r="B5">
        <v>0</v>
      </c>
      <c r="C5">
        <v>1</v>
      </c>
      <c r="D5" s="11">
        <v>0</v>
      </c>
      <c r="E5" s="11">
        <v>0</v>
      </c>
      <c r="F5">
        <v>0</v>
      </c>
      <c r="G5">
        <v>0</v>
      </c>
      <c r="H5">
        <v>0</v>
      </c>
      <c r="I5">
        <v>0</v>
      </c>
      <c r="J5">
        <v>0</v>
      </c>
      <c r="K5" s="11">
        <v>0</v>
      </c>
      <c r="L5" s="11">
        <v>0</v>
      </c>
      <c r="M5">
        <v>0</v>
      </c>
      <c r="N5">
        <v>0</v>
      </c>
      <c r="O5">
        <v>0</v>
      </c>
      <c r="P5">
        <v>1</v>
      </c>
      <c r="Q5">
        <v>0</v>
      </c>
      <c r="R5" s="11">
        <v>0</v>
      </c>
      <c r="S5" s="11">
        <v>0</v>
      </c>
      <c r="T5">
        <v>0</v>
      </c>
      <c r="U5">
        <v>0</v>
      </c>
      <c r="V5">
        <v>0</v>
      </c>
      <c r="W5">
        <v>0</v>
      </c>
      <c r="X5">
        <v>0</v>
      </c>
      <c r="Y5" s="11">
        <v>1</v>
      </c>
      <c r="Z5" s="11">
        <v>0</v>
      </c>
      <c r="AA5">
        <v>0</v>
      </c>
      <c r="AB5">
        <v>1</v>
      </c>
      <c r="AC5">
        <v>0</v>
      </c>
      <c r="AD5">
        <v>0</v>
      </c>
      <c r="AE5">
        <v>1</v>
      </c>
      <c r="AF5">
        <v>0</v>
      </c>
      <c r="AG5">
        <v>0</v>
      </c>
      <c r="AH5">
        <v>0</v>
      </c>
      <c r="AI5">
        <v>0</v>
      </c>
      <c r="AJ5">
        <v>0</v>
      </c>
      <c r="AK5">
        <v>1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1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1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</row>
    <row r="6" spans="1:121">
      <c r="A6" s="10" t="s">
        <v>50</v>
      </c>
      <c r="B6">
        <v>0</v>
      </c>
      <c r="C6">
        <v>0</v>
      </c>
      <c r="D6" s="11">
        <v>1</v>
      </c>
      <c r="E6" s="11">
        <v>0</v>
      </c>
      <c r="F6">
        <v>0</v>
      </c>
      <c r="G6">
        <v>0</v>
      </c>
      <c r="H6">
        <v>0</v>
      </c>
      <c r="I6">
        <v>0</v>
      </c>
      <c r="J6">
        <v>0</v>
      </c>
      <c r="K6" s="11">
        <v>0</v>
      </c>
      <c r="L6" s="11">
        <v>0</v>
      </c>
      <c r="M6">
        <v>1</v>
      </c>
      <c r="N6">
        <v>0</v>
      </c>
      <c r="O6">
        <v>0</v>
      </c>
      <c r="P6">
        <v>0</v>
      </c>
      <c r="Q6">
        <v>0</v>
      </c>
      <c r="R6" s="11">
        <v>0</v>
      </c>
      <c r="S6" s="11">
        <v>0</v>
      </c>
      <c r="T6">
        <v>0</v>
      </c>
      <c r="U6">
        <v>1</v>
      </c>
      <c r="V6">
        <v>0</v>
      </c>
      <c r="W6">
        <v>0</v>
      </c>
      <c r="X6">
        <v>0</v>
      </c>
      <c r="Y6" s="11">
        <v>0</v>
      </c>
      <c r="Z6" s="11">
        <v>1</v>
      </c>
      <c r="AA6">
        <v>0</v>
      </c>
      <c r="AB6">
        <v>0</v>
      </c>
      <c r="AC6">
        <v>0</v>
      </c>
      <c r="AD6">
        <v>0</v>
      </c>
      <c r="AE6">
        <v>0</v>
      </c>
      <c r="AF6">
        <v>1</v>
      </c>
      <c r="AG6">
        <v>0</v>
      </c>
      <c r="AH6">
        <v>0</v>
      </c>
      <c r="AI6">
        <v>0</v>
      </c>
      <c r="AJ6">
        <v>0</v>
      </c>
      <c r="AK6">
        <v>0</v>
      </c>
      <c r="AL6">
        <v>1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1</v>
      </c>
      <c r="BC6">
        <v>0</v>
      </c>
      <c r="BD6">
        <v>0</v>
      </c>
      <c r="BE6">
        <v>1</v>
      </c>
      <c r="BF6">
        <v>0</v>
      </c>
      <c r="BG6">
        <v>0</v>
      </c>
      <c r="BH6">
        <v>0</v>
      </c>
    </row>
    <row r="7" spans="1:121">
      <c r="A7" s="10" t="s">
        <v>51</v>
      </c>
      <c r="B7">
        <v>0</v>
      </c>
      <c r="C7">
        <v>0</v>
      </c>
      <c r="D7" s="11">
        <v>0</v>
      </c>
      <c r="E7" s="11">
        <v>0</v>
      </c>
      <c r="F7">
        <v>1</v>
      </c>
      <c r="G7">
        <v>0</v>
      </c>
      <c r="H7">
        <v>0</v>
      </c>
      <c r="I7">
        <v>0</v>
      </c>
      <c r="J7">
        <v>0</v>
      </c>
      <c r="K7" s="11">
        <v>1</v>
      </c>
      <c r="L7" s="11">
        <v>0</v>
      </c>
      <c r="M7">
        <v>0</v>
      </c>
      <c r="N7">
        <v>0</v>
      </c>
      <c r="O7">
        <v>0</v>
      </c>
      <c r="P7">
        <v>0</v>
      </c>
      <c r="Q7">
        <v>0</v>
      </c>
      <c r="R7" s="11">
        <v>0</v>
      </c>
      <c r="S7" s="11">
        <v>0</v>
      </c>
      <c r="T7">
        <v>0</v>
      </c>
      <c r="U7">
        <v>0</v>
      </c>
      <c r="V7">
        <v>1</v>
      </c>
      <c r="W7">
        <v>0</v>
      </c>
      <c r="X7">
        <v>1</v>
      </c>
      <c r="Y7" s="11">
        <v>0</v>
      </c>
      <c r="Z7" s="11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1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1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1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1</v>
      </c>
    </row>
    <row r="8" spans="1:121">
      <c r="A8" s="10" t="s">
        <v>52</v>
      </c>
      <c r="B8">
        <v>0</v>
      </c>
      <c r="C8">
        <v>0</v>
      </c>
      <c r="D8" s="11">
        <v>0</v>
      </c>
      <c r="E8" s="11">
        <v>0</v>
      </c>
      <c r="F8">
        <v>0</v>
      </c>
      <c r="G8">
        <v>0</v>
      </c>
      <c r="H8">
        <v>0</v>
      </c>
      <c r="I8">
        <v>0</v>
      </c>
      <c r="J8">
        <v>1</v>
      </c>
      <c r="K8" s="11">
        <v>0</v>
      </c>
      <c r="L8" s="11">
        <v>0</v>
      </c>
      <c r="M8">
        <v>0</v>
      </c>
      <c r="N8">
        <v>0</v>
      </c>
      <c r="O8">
        <v>0</v>
      </c>
      <c r="P8">
        <v>0</v>
      </c>
      <c r="Q8">
        <v>0</v>
      </c>
      <c r="R8" s="11">
        <v>1</v>
      </c>
      <c r="S8" s="11">
        <v>0</v>
      </c>
      <c r="T8">
        <v>0</v>
      </c>
      <c r="U8">
        <v>0</v>
      </c>
      <c r="V8">
        <v>0</v>
      </c>
      <c r="W8">
        <v>1</v>
      </c>
      <c r="X8">
        <v>0</v>
      </c>
      <c r="Y8" s="11">
        <v>0</v>
      </c>
      <c r="Z8" s="11">
        <v>0</v>
      </c>
      <c r="AA8">
        <v>0</v>
      </c>
      <c r="AB8">
        <v>0</v>
      </c>
      <c r="AC8">
        <v>0</v>
      </c>
      <c r="AD8">
        <v>1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1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1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1</v>
      </c>
      <c r="BD8">
        <v>0</v>
      </c>
      <c r="BE8">
        <v>0</v>
      </c>
      <c r="BF8">
        <v>0</v>
      </c>
      <c r="BG8">
        <v>0</v>
      </c>
      <c r="BH8">
        <v>0</v>
      </c>
    </row>
    <row r="9" spans="1:121">
      <c r="A9" s="10" t="s">
        <v>53</v>
      </c>
      <c r="B9">
        <v>0</v>
      </c>
      <c r="C9">
        <v>0</v>
      </c>
      <c r="D9" s="11">
        <v>0</v>
      </c>
      <c r="E9" s="11">
        <v>1</v>
      </c>
      <c r="F9">
        <v>0</v>
      </c>
      <c r="G9">
        <v>0</v>
      </c>
      <c r="H9">
        <v>0</v>
      </c>
      <c r="I9">
        <v>0</v>
      </c>
      <c r="J9">
        <v>1</v>
      </c>
      <c r="K9" s="11">
        <v>0</v>
      </c>
      <c r="L9" s="11">
        <v>0</v>
      </c>
      <c r="M9">
        <v>0</v>
      </c>
      <c r="N9">
        <v>0</v>
      </c>
      <c r="O9">
        <v>0</v>
      </c>
      <c r="P9">
        <v>0</v>
      </c>
      <c r="Q9">
        <v>0</v>
      </c>
      <c r="R9" s="11">
        <v>1</v>
      </c>
      <c r="S9" s="11">
        <v>0</v>
      </c>
      <c r="T9">
        <v>0</v>
      </c>
      <c r="U9">
        <v>0</v>
      </c>
      <c r="V9">
        <v>0</v>
      </c>
      <c r="W9">
        <v>0</v>
      </c>
      <c r="X9">
        <v>0</v>
      </c>
      <c r="Y9" s="11">
        <v>0</v>
      </c>
      <c r="Z9" s="11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1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1</v>
      </c>
      <c r="AU9">
        <v>0</v>
      </c>
      <c r="AV9">
        <v>0</v>
      </c>
      <c r="AW9">
        <v>0</v>
      </c>
      <c r="AX9">
        <v>0</v>
      </c>
      <c r="AY9">
        <v>0</v>
      </c>
      <c r="AZ9">
        <v>1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1</v>
      </c>
      <c r="BH9">
        <v>0</v>
      </c>
    </row>
    <row r="10" spans="1:121">
      <c r="A10" s="10" t="s">
        <v>54</v>
      </c>
      <c r="B10">
        <v>0</v>
      </c>
      <c r="C10">
        <v>0</v>
      </c>
      <c r="D10" s="11">
        <v>0</v>
      </c>
      <c r="E10" s="11">
        <v>0</v>
      </c>
      <c r="F10">
        <v>0</v>
      </c>
      <c r="G10">
        <v>0</v>
      </c>
      <c r="H10">
        <v>0</v>
      </c>
      <c r="I10">
        <v>1</v>
      </c>
      <c r="J10">
        <v>0</v>
      </c>
      <c r="K10" s="11">
        <v>0</v>
      </c>
      <c r="L10" s="11">
        <v>0</v>
      </c>
      <c r="M10">
        <v>0</v>
      </c>
      <c r="N10">
        <v>0</v>
      </c>
      <c r="O10">
        <v>0</v>
      </c>
      <c r="P10">
        <v>0</v>
      </c>
      <c r="Q10">
        <v>1</v>
      </c>
      <c r="R10" s="11">
        <v>0</v>
      </c>
      <c r="S10" s="11">
        <v>0</v>
      </c>
      <c r="T10">
        <v>1</v>
      </c>
      <c r="U10">
        <v>0</v>
      </c>
      <c r="V10">
        <v>0</v>
      </c>
      <c r="W10">
        <v>0</v>
      </c>
      <c r="X10">
        <v>0</v>
      </c>
      <c r="Y10" s="11">
        <v>0</v>
      </c>
      <c r="Z10" s="11">
        <v>0</v>
      </c>
      <c r="AA10">
        <v>1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1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1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1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H10">
        <v>0</v>
      </c>
    </row>
    <row r="11" spans="1:121">
      <c r="A11" s="10" t="s">
        <v>55</v>
      </c>
      <c r="B11">
        <v>0</v>
      </c>
      <c r="C11">
        <v>1</v>
      </c>
      <c r="D11" s="11">
        <v>0</v>
      </c>
      <c r="E11" s="11">
        <v>0</v>
      </c>
      <c r="F11">
        <v>0</v>
      </c>
      <c r="G11">
        <v>0</v>
      </c>
      <c r="H11">
        <v>0</v>
      </c>
      <c r="I11">
        <v>0</v>
      </c>
      <c r="J11">
        <v>0</v>
      </c>
      <c r="K11" s="11">
        <v>1</v>
      </c>
      <c r="L11" s="11">
        <v>0</v>
      </c>
      <c r="M11">
        <v>0</v>
      </c>
      <c r="N11">
        <v>0</v>
      </c>
      <c r="O11">
        <v>0</v>
      </c>
      <c r="P11">
        <v>0</v>
      </c>
      <c r="Q11">
        <v>0</v>
      </c>
      <c r="R11" s="11">
        <v>0</v>
      </c>
      <c r="S11" s="11">
        <v>1</v>
      </c>
      <c r="T11">
        <v>0</v>
      </c>
      <c r="U11">
        <v>0</v>
      </c>
      <c r="V11">
        <v>0</v>
      </c>
      <c r="W11">
        <v>0</v>
      </c>
      <c r="X11">
        <v>0</v>
      </c>
      <c r="Y11" s="11">
        <v>0</v>
      </c>
      <c r="Z11" s="11">
        <v>0</v>
      </c>
      <c r="AA11">
        <v>0</v>
      </c>
      <c r="AB11">
        <v>0</v>
      </c>
      <c r="AC11">
        <v>1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1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1</v>
      </c>
      <c r="AW11">
        <v>0</v>
      </c>
      <c r="AX11">
        <v>0</v>
      </c>
      <c r="AY11">
        <v>0</v>
      </c>
      <c r="AZ11">
        <v>0</v>
      </c>
      <c r="BA11">
        <v>1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</row>
    <row r="12" spans="1:121">
      <c r="A12" s="10" t="s">
        <v>56</v>
      </c>
      <c r="B12">
        <v>0</v>
      </c>
      <c r="C12">
        <v>0</v>
      </c>
      <c r="D12" s="11">
        <v>1</v>
      </c>
      <c r="E12" s="11">
        <v>0</v>
      </c>
      <c r="F12">
        <v>0</v>
      </c>
      <c r="G12">
        <v>0</v>
      </c>
      <c r="H12">
        <v>0</v>
      </c>
      <c r="I12">
        <v>0</v>
      </c>
      <c r="J12">
        <v>0</v>
      </c>
      <c r="K12" s="11">
        <v>0</v>
      </c>
      <c r="L12" s="11">
        <v>1</v>
      </c>
      <c r="M12">
        <v>0</v>
      </c>
      <c r="N12">
        <v>0</v>
      </c>
      <c r="O12">
        <v>0</v>
      </c>
      <c r="P12">
        <v>0</v>
      </c>
      <c r="Q12">
        <v>0</v>
      </c>
      <c r="R12" s="11">
        <v>0</v>
      </c>
      <c r="S12" s="11">
        <v>0</v>
      </c>
      <c r="T12">
        <v>0</v>
      </c>
      <c r="U12">
        <v>0</v>
      </c>
      <c r="V12">
        <v>0</v>
      </c>
      <c r="W12">
        <v>0</v>
      </c>
      <c r="X12">
        <v>0</v>
      </c>
      <c r="Y12" s="11">
        <v>1</v>
      </c>
      <c r="Z12" s="11">
        <v>0</v>
      </c>
      <c r="AA12">
        <v>0</v>
      </c>
      <c r="AB12">
        <v>0</v>
      </c>
      <c r="AC12">
        <v>0</v>
      </c>
      <c r="AD12">
        <v>0</v>
      </c>
      <c r="AE12">
        <v>1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1</v>
      </c>
      <c r="AN12">
        <v>0</v>
      </c>
      <c r="AO12">
        <v>0</v>
      </c>
      <c r="AP12">
        <v>1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1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1</v>
      </c>
      <c r="BE12">
        <v>0</v>
      </c>
      <c r="BF12">
        <v>0</v>
      </c>
      <c r="BG12">
        <v>0</v>
      </c>
      <c r="BH12">
        <v>1</v>
      </c>
    </row>
  </sheetData>
  <conditionalFormatting sqref="B2:FF100">
    <cfRule type="containsBlanks" priority="1" stopIfTrue="1">
      <formula>LEN(TRIM(B2))=0</formula>
    </cfRule>
    <cfRule type="cellIs" dxfId="59" priority="2" operator="equal">
      <formula>1</formula>
    </cfRule>
    <cfRule type="cellIs" dxfId="58" priority="3" operator="equal">
      <formula>0</formula>
    </cfRule>
    <cfRule type="cellIs" dxfId="57" priority="4" operator="equal">
      <formula>"B"</formula>
    </cfRule>
    <cfRule type="cellIs" dxfId="56" priority="5" operator="equal">
      <formula>"L"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5DF3-4EE4-574A-9AD7-D44223B44C2A}">
  <sheetPr codeName="Sheet6"/>
  <dimension ref="A1:BJ12"/>
  <sheetViews>
    <sheetView zoomScale="115" zoomScaleNormal="115" workbookViewId="0">
      <selection activeCell="BC17" sqref="BC17"/>
    </sheetView>
  </sheetViews>
  <sheetFormatPr baseColWidth="10" defaultRowHeight="16"/>
  <sheetData>
    <row r="1" spans="1:62" s="20" customFormat="1">
      <c r="A1" s="25" t="s">
        <v>3</v>
      </c>
      <c r="B1" s="19">
        <v>46033</v>
      </c>
      <c r="C1" s="20">
        <v>46064</v>
      </c>
      <c r="D1" s="20">
        <v>46092</v>
      </c>
      <c r="E1" s="20">
        <v>46123</v>
      </c>
      <c r="F1" s="20">
        <v>46153</v>
      </c>
      <c r="G1" s="20">
        <v>46184</v>
      </c>
      <c r="H1" s="19">
        <v>46214</v>
      </c>
      <c r="I1" s="19">
        <v>46245</v>
      </c>
      <c r="J1" s="20">
        <v>46276</v>
      </c>
      <c r="K1" s="20">
        <v>46306</v>
      </c>
      <c r="L1" s="20">
        <v>46337</v>
      </c>
      <c r="M1" s="20">
        <v>46367</v>
      </c>
      <c r="N1" s="20" t="s">
        <v>23</v>
      </c>
      <c r="O1" s="19" t="s">
        <v>24</v>
      </c>
      <c r="P1" s="19" t="s">
        <v>25</v>
      </c>
      <c r="Q1" s="20" t="s">
        <v>26</v>
      </c>
      <c r="R1" s="20" t="s">
        <v>27</v>
      </c>
      <c r="S1" s="20" t="s">
        <v>28</v>
      </c>
      <c r="T1" s="20" t="s">
        <v>29</v>
      </c>
      <c r="U1" s="20" t="s">
        <v>30</v>
      </c>
      <c r="V1" s="19" t="s">
        <v>31</v>
      </c>
      <c r="W1" s="19" t="s">
        <v>32</v>
      </c>
      <c r="X1" s="20" t="s">
        <v>33</v>
      </c>
      <c r="Y1" s="20" t="s">
        <v>34</v>
      </c>
      <c r="Z1" s="20" t="s">
        <v>35</v>
      </c>
      <c r="AA1" s="20" t="s">
        <v>36</v>
      </c>
      <c r="AB1" s="20" t="s">
        <v>37</v>
      </c>
      <c r="AC1" s="19" t="s">
        <v>38</v>
      </c>
      <c r="AD1" s="19" t="s">
        <v>39</v>
      </c>
      <c r="AE1" s="20" t="s">
        <v>40</v>
      </c>
      <c r="AF1" s="20">
        <v>46034</v>
      </c>
      <c r="AG1" s="20">
        <v>46065</v>
      </c>
      <c r="AH1" s="20">
        <v>46093</v>
      </c>
      <c r="AI1" s="20">
        <v>46124</v>
      </c>
      <c r="AJ1" s="19">
        <v>46154</v>
      </c>
      <c r="AK1" s="19">
        <v>46185</v>
      </c>
      <c r="AL1" s="20">
        <v>46215</v>
      </c>
      <c r="AM1" s="20">
        <v>46246</v>
      </c>
      <c r="AN1" s="20">
        <v>46277</v>
      </c>
      <c r="AO1" s="20">
        <v>46307</v>
      </c>
      <c r="AP1" s="20">
        <v>46338</v>
      </c>
      <c r="AQ1" s="19">
        <v>46368</v>
      </c>
      <c r="AR1" s="19" t="s">
        <v>102</v>
      </c>
      <c r="AS1" s="20" t="s">
        <v>103</v>
      </c>
      <c r="AT1" s="20" t="s">
        <v>104</v>
      </c>
      <c r="AU1" s="20" t="s">
        <v>105</v>
      </c>
      <c r="AV1" s="20" t="s">
        <v>106</v>
      </c>
      <c r="AW1" s="20" t="s">
        <v>107</v>
      </c>
      <c r="AX1" s="19" t="s">
        <v>108</v>
      </c>
      <c r="AY1" s="19" t="s">
        <v>109</v>
      </c>
      <c r="AZ1" s="20" t="s">
        <v>110</v>
      </c>
      <c r="BA1" s="20" t="s">
        <v>111</v>
      </c>
      <c r="BB1" s="20" t="s">
        <v>112</v>
      </c>
      <c r="BC1" s="20" t="s">
        <v>113</v>
      </c>
      <c r="BD1" s="20" t="s">
        <v>114</v>
      </c>
      <c r="BE1" s="19" t="s">
        <v>115</v>
      </c>
      <c r="BF1" s="19" t="s">
        <v>116</v>
      </c>
      <c r="BG1" s="20" t="s">
        <v>117</v>
      </c>
      <c r="BH1" s="20" t="s">
        <v>118</v>
      </c>
      <c r="BI1" s="20" t="s">
        <v>119</v>
      </c>
      <c r="BJ1" s="20" t="s">
        <v>120</v>
      </c>
    </row>
    <row r="2" spans="1:62">
      <c r="A2" s="10" t="s">
        <v>8</v>
      </c>
      <c r="B2" s="11">
        <v>0</v>
      </c>
      <c r="C2">
        <v>2</v>
      </c>
      <c r="D2">
        <v>2</v>
      </c>
      <c r="E2">
        <v>2</v>
      </c>
      <c r="F2">
        <v>2</v>
      </c>
      <c r="G2">
        <v>2</v>
      </c>
      <c r="H2" s="11">
        <v>0</v>
      </c>
      <c r="I2" s="11">
        <v>0</v>
      </c>
      <c r="J2">
        <v>2</v>
      </c>
      <c r="K2">
        <v>2</v>
      </c>
      <c r="L2">
        <v>2</v>
      </c>
      <c r="M2">
        <v>2</v>
      </c>
      <c r="N2">
        <v>2</v>
      </c>
      <c r="O2" s="11">
        <v>0</v>
      </c>
      <c r="P2" s="11">
        <v>0</v>
      </c>
      <c r="Q2">
        <v>2</v>
      </c>
      <c r="R2">
        <v>2</v>
      </c>
      <c r="S2">
        <v>2</v>
      </c>
      <c r="T2">
        <v>2</v>
      </c>
      <c r="U2">
        <v>2</v>
      </c>
      <c r="V2" s="11">
        <v>0</v>
      </c>
      <c r="W2" s="11">
        <v>0</v>
      </c>
      <c r="X2">
        <v>2</v>
      </c>
      <c r="Y2">
        <v>2</v>
      </c>
      <c r="Z2">
        <v>2</v>
      </c>
      <c r="AA2">
        <v>2</v>
      </c>
      <c r="AB2">
        <v>2</v>
      </c>
      <c r="AC2" s="11">
        <v>0</v>
      </c>
      <c r="AD2" s="11">
        <v>0</v>
      </c>
      <c r="AE2">
        <v>2</v>
      </c>
      <c r="AF2">
        <v>2</v>
      </c>
      <c r="AG2">
        <v>2</v>
      </c>
      <c r="AH2">
        <v>2</v>
      </c>
      <c r="AI2">
        <v>2</v>
      </c>
      <c r="AJ2" s="11">
        <v>0</v>
      </c>
      <c r="AK2" s="11">
        <v>0</v>
      </c>
      <c r="AL2">
        <v>2</v>
      </c>
      <c r="AM2">
        <v>2</v>
      </c>
      <c r="AN2">
        <v>2</v>
      </c>
      <c r="AO2">
        <v>2</v>
      </c>
      <c r="AP2">
        <v>2</v>
      </c>
      <c r="AQ2" s="11">
        <v>0</v>
      </c>
      <c r="AR2" s="11">
        <v>0</v>
      </c>
      <c r="AS2">
        <v>2</v>
      </c>
      <c r="AT2">
        <v>2</v>
      </c>
      <c r="AU2">
        <v>2</v>
      </c>
      <c r="AV2">
        <v>2</v>
      </c>
      <c r="AW2">
        <v>2</v>
      </c>
      <c r="AX2" s="11">
        <v>0</v>
      </c>
      <c r="AY2" s="11">
        <v>0</v>
      </c>
      <c r="AZ2">
        <v>2</v>
      </c>
      <c r="BA2">
        <v>2</v>
      </c>
      <c r="BB2">
        <v>2</v>
      </c>
      <c r="BC2">
        <v>2</v>
      </c>
      <c r="BD2">
        <v>2</v>
      </c>
      <c r="BE2" s="11">
        <v>0</v>
      </c>
      <c r="BF2" s="11">
        <v>0</v>
      </c>
      <c r="BG2">
        <v>2</v>
      </c>
      <c r="BH2">
        <v>2</v>
      </c>
      <c r="BI2">
        <v>2</v>
      </c>
      <c r="BJ2">
        <v>2</v>
      </c>
    </row>
    <row r="3" spans="1:62">
      <c r="A3" s="10" t="s">
        <v>11</v>
      </c>
      <c r="B3" s="11">
        <v>0</v>
      </c>
      <c r="C3">
        <v>2</v>
      </c>
      <c r="D3">
        <v>2</v>
      </c>
      <c r="E3">
        <v>2</v>
      </c>
      <c r="F3">
        <v>2</v>
      </c>
      <c r="G3">
        <v>2</v>
      </c>
      <c r="H3" s="11">
        <v>0</v>
      </c>
      <c r="I3" s="11">
        <v>0</v>
      </c>
      <c r="J3">
        <v>2</v>
      </c>
      <c r="K3">
        <v>2</v>
      </c>
      <c r="L3">
        <v>2</v>
      </c>
      <c r="M3">
        <v>2</v>
      </c>
      <c r="N3">
        <v>2</v>
      </c>
      <c r="O3" s="11">
        <v>0</v>
      </c>
      <c r="P3" s="11">
        <v>0</v>
      </c>
      <c r="Q3">
        <v>2</v>
      </c>
      <c r="R3">
        <v>2</v>
      </c>
      <c r="S3">
        <v>2</v>
      </c>
      <c r="T3">
        <v>2</v>
      </c>
      <c r="U3">
        <v>2</v>
      </c>
      <c r="V3" s="11">
        <v>0</v>
      </c>
      <c r="W3" s="11">
        <v>0</v>
      </c>
      <c r="X3">
        <v>2</v>
      </c>
      <c r="Y3">
        <v>2</v>
      </c>
      <c r="Z3">
        <v>2</v>
      </c>
      <c r="AA3">
        <v>2</v>
      </c>
      <c r="AB3">
        <v>2</v>
      </c>
      <c r="AC3" s="11">
        <v>0</v>
      </c>
      <c r="AD3" s="11">
        <v>0</v>
      </c>
      <c r="AE3">
        <v>2</v>
      </c>
      <c r="AF3">
        <v>2</v>
      </c>
      <c r="AG3">
        <v>2</v>
      </c>
      <c r="AH3">
        <v>2</v>
      </c>
      <c r="AI3">
        <v>2</v>
      </c>
      <c r="AJ3" s="11">
        <v>0</v>
      </c>
      <c r="AK3" s="11">
        <v>0</v>
      </c>
      <c r="AL3">
        <v>2</v>
      </c>
      <c r="AM3">
        <v>2</v>
      </c>
      <c r="AN3">
        <v>2</v>
      </c>
      <c r="AO3">
        <v>2</v>
      </c>
      <c r="AP3">
        <v>2</v>
      </c>
      <c r="AQ3" s="11">
        <v>0</v>
      </c>
      <c r="AR3" s="11">
        <v>0</v>
      </c>
      <c r="AS3">
        <v>2</v>
      </c>
      <c r="AT3">
        <v>2</v>
      </c>
      <c r="AU3">
        <v>2</v>
      </c>
      <c r="AV3">
        <v>2</v>
      </c>
      <c r="AW3">
        <v>2</v>
      </c>
      <c r="AX3" s="11">
        <v>0</v>
      </c>
      <c r="AY3" s="11">
        <v>0</v>
      </c>
      <c r="AZ3">
        <v>2</v>
      </c>
      <c r="BA3">
        <v>2</v>
      </c>
      <c r="BB3">
        <v>2</v>
      </c>
      <c r="BC3">
        <v>2</v>
      </c>
      <c r="BD3">
        <v>2</v>
      </c>
      <c r="BE3" s="11">
        <v>0</v>
      </c>
      <c r="BF3" s="11">
        <v>0</v>
      </c>
      <c r="BG3">
        <v>2</v>
      </c>
      <c r="BH3">
        <v>2</v>
      </c>
      <c r="BI3">
        <v>2</v>
      </c>
      <c r="BJ3">
        <v>2</v>
      </c>
    </row>
    <row r="4" spans="1:62">
      <c r="A4" s="10" t="s">
        <v>10</v>
      </c>
      <c r="B4" s="11">
        <v>0</v>
      </c>
      <c r="C4">
        <v>2</v>
      </c>
      <c r="D4">
        <v>2</v>
      </c>
      <c r="E4">
        <v>2</v>
      </c>
      <c r="F4">
        <v>2</v>
      </c>
      <c r="G4">
        <v>2</v>
      </c>
      <c r="H4" s="11">
        <v>0</v>
      </c>
      <c r="I4" s="11">
        <v>0</v>
      </c>
      <c r="J4">
        <v>2</v>
      </c>
      <c r="K4">
        <v>2</v>
      </c>
      <c r="L4">
        <v>2</v>
      </c>
      <c r="M4">
        <v>2</v>
      </c>
      <c r="N4">
        <v>2</v>
      </c>
      <c r="O4" s="11">
        <v>0</v>
      </c>
      <c r="P4" s="11">
        <v>0</v>
      </c>
      <c r="Q4">
        <v>2</v>
      </c>
      <c r="R4">
        <v>2</v>
      </c>
      <c r="S4">
        <v>2</v>
      </c>
      <c r="T4">
        <v>2</v>
      </c>
      <c r="U4">
        <v>2</v>
      </c>
      <c r="V4" s="11">
        <v>0</v>
      </c>
      <c r="W4" s="11">
        <v>0</v>
      </c>
      <c r="X4">
        <v>2</v>
      </c>
      <c r="Y4">
        <v>2</v>
      </c>
      <c r="Z4">
        <v>2</v>
      </c>
      <c r="AA4">
        <v>2</v>
      </c>
      <c r="AB4">
        <v>2</v>
      </c>
      <c r="AC4" s="11">
        <v>0</v>
      </c>
      <c r="AD4" s="11">
        <v>0</v>
      </c>
      <c r="AE4">
        <v>2</v>
      </c>
      <c r="AF4">
        <v>2</v>
      </c>
      <c r="AG4">
        <v>2</v>
      </c>
      <c r="AH4">
        <v>2</v>
      </c>
      <c r="AI4">
        <v>2</v>
      </c>
      <c r="AJ4" s="11">
        <v>0</v>
      </c>
      <c r="AK4" s="11">
        <v>0</v>
      </c>
      <c r="AL4">
        <v>2</v>
      </c>
      <c r="AM4">
        <v>2</v>
      </c>
      <c r="AN4">
        <v>2</v>
      </c>
      <c r="AO4">
        <v>2</v>
      </c>
      <c r="AP4">
        <v>2</v>
      </c>
      <c r="AQ4" s="11">
        <v>0</v>
      </c>
      <c r="AR4" s="11">
        <v>0</v>
      </c>
      <c r="AS4">
        <v>2</v>
      </c>
      <c r="AT4">
        <v>2</v>
      </c>
      <c r="AU4">
        <v>2</v>
      </c>
      <c r="AV4">
        <v>2</v>
      </c>
      <c r="AW4">
        <v>2</v>
      </c>
      <c r="AX4" s="11">
        <v>0</v>
      </c>
      <c r="AY4" s="11">
        <v>0</v>
      </c>
      <c r="AZ4">
        <v>2</v>
      </c>
      <c r="BA4">
        <v>2</v>
      </c>
      <c r="BB4">
        <v>2</v>
      </c>
      <c r="BC4">
        <v>2</v>
      </c>
      <c r="BD4">
        <v>2</v>
      </c>
      <c r="BE4" s="11">
        <v>0</v>
      </c>
      <c r="BF4" s="11">
        <v>0</v>
      </c>
      <c r="BG4">
        <v>2</v>
      </c>
      <c r="BH4">
        <v>2</v>
      </c>
      <c r="BI4">
        <v>2</v>
      </c>
      <c r="BJ4">
        <v>2</v>
      </c>
    </row>
    <row r="5" spans="1:62">
      <c r="A5" s="10" t="s">
        <v>12</v>
      </c>
      <c r="B5" s="11">
        <v>0</v>
      </c>
      <c r="C5">
        <v>1</v>
      </c>
      <c r="D5">
        <v>1</v>
      </c>
      <c r="E5">
        <v>1</v>
      </c>
      <c r="F5">
        <v>1</v>
      </c>
      <c r="G5">
        <v>1</v>
      </c>
      <c r="H5" s="11">
        <v>0</v>
      </c>
      <c r="I5" s="11">
        <v>0</v>
      </c>
      <c r="J5">
        <v>1</v>
      </c>
      <c r="K5">
        <v>1</v>
      </c>
      <c r="L5">
        <v>1</v>
      </c>
      <c r="M5">
        <v>1</v>
      </c>
      <c r="N5">
        <v>1</v>
      </c>
      <c r="O5" s="11">
        <v>0</v>
      </c>
      <c r="P5" s="11">
        <v>0</v>
      </c>
      <c r="Q5">
        <v>1</v>
      </c>
      <c r="R5">
        <v>1</v>
      </c>
      <c r="S5">
        <v>1</v>
      </c>
      <c r="T5">
        <v>1</v>
      </c>
      <c r="U5">
        <v>1</v>
      </c>
      <c r="V5" s="11">
        <v>0</v>
      </c>
      <c r="W5" s="11">
        <v>0</v>
      </c>
      <c r="X5">
        <v>1</v>
      </c>
      <c r="Y5">
        <v>1</v>
      </c>
      <c r="Z5">
        <v>1</v>
      </c>
      <c r="AA5">
        <v>1</v>
      </c>
      <c r="AB5">
        <v>1</v>
      </c>
      <c r="AC5" s="11">
        <v>0</v>
      </c>
      <c r="AD5" s="11">
        <v>0</v>
      </c>
      <c r="AE5">
        <v>1</v>
      </c>
      <c r="AF5">
        <v>1</v>
      </c>
      <c r="AG5">
        <v>1</v>
      </c>
      <c r="AH5">
        <v>1</v>
      </c>
      <c r="AI5">
        <v>1</v>
      </c>
      <c r="AJ5" s="11">
        <v>0</v>
      </c>
      <c r="AK5" s="11">
        <v>0</v>
      </c>
      <c r="AL5">
        <v>1</v>
      </c>
      <c r="AM5">
        <v>1</v>
      </c>
      <c r="AN5">
        <v>1</v>
      </c>
      <c r="AO5">
        <v>1</v>
      </c>
      <c r="AP5">
        <v>1</v>
      </c>
      <c r="AQ5" s="11">
        <v>0</v>
      </c>
      <c r="AR5" s="11">
        <v>0</v>
      </c>
      <c r="AS5">
        <v>1</v>
      </c>
      <c r="AT5">
        <v>1</v>
      </c>
      <c r="AU5">
        <v>1</v>
      </c>
      <c r="AV5">
        <v>1</v>
      </c>
      <c r="AW5">
        <v>1</v>
      </c>
      <c r="AX5" s="11">
        <v>0</v>
      </c>
      <c r="AY5" s="11">
        <v>0</v>
      </c>
      <c r="AZ5">
        <v>1</v>
      </c>
      <c r="BA5">
        <v>1</v>
      </c>
      <c r="BB5">
        <v>1</v>
      </c>
      <c r="BC5">
        <v>1</v>
      </c>
      <c r="BD5">
        <v>1</v>
      </c>
      <c r="BE5" s="11">
        <v>0</v>
      </c>
      <c r="BF5" s="11">
        <v>0</v>
      </c>
      <c r="BG5">
        <v>1</v>
      </c>
      <c r="BH5">
        <v>1</v>
      </c>
      <c r="BI5">
        <v>1</v>
      </c>
      <c r="BJ5">
        <v>1</v>
      </c>
    </row>
    <row r="6" spans="1:62">
      <c r="A6" s="10" t="s">
        <v>9</v>
      </c>
      <c r="B6" s="11">
        <v>0</v>
      </c>
      <c r="C6">
        <v>1</v>
      </c>
      <c r="D6">
        <v>1</v>
      </c>
      <c r="E6">
        <v>1</v>
      </c>
      <c r="F6">
        <v>1</v>
      </c>
      <c r="G6">
        <v>1</v>
      </c>
      <c r="H6" s="11">
        <v>0</v>
      </c>
      <c r="I6" s="11">
        <v>0</v>
      </c>
      <c r="J6">
        <v>1</v>
      </c>
      <c r="K6">
        <v>1</v>
      </c>
      <c r="L6">
        <v>1</v>
      </c>
      <c r="M6">
        <v>1</v>
      </c>
      <c r="N6">
        <v>1</v>
      </c>
      <c r="O6" s="11">
        <v>0</v>
      </c>
      <c r="P6" s="11">
        <v>0</v>
      </c>
      <c r="Q6">
        <v>1</v>
      </c>
      <c r="R6">
        <v>1</v>
      </c>
      <c r="S6">
        <v>1</v>
      </c>
      <c r="T6">
        <v>1</v>
      </c>
      <c r="U6">
        <v>1</v>
      </c>
      <c r="V6" s="11">
        <v>0</v>
      </c>
      <c r="W6" s="11">
        <v>0</v>
      </c>
      <c r="X6">
        <v>1</v>
      </c>
      <c r="Y6">
        <v>1</v>
      </c>
      <c r="Z6">
        <v>1</v>
      </c>
      <c r="AA6">
        <v>1</v>
      </c>
      <c r="AB6">
        <v>1</v>
      </c>
      <c r="AC6" s="11">
        <v>0</v>
      </c>
      <c r="AD6" s="11">
        <v>0</v>
      </c>
      <c r="AE6">
        <v>1</v>
      </c>
      <c r="AF6">
        <v>1</v>
      </c>
      <c r="AG6">
        <v>1</v>
      </c>
      <c r="AH6">
        <v>1</v>
      </c>
      <c r="AI6">
        <v>1</v>
      </c>
      <c r="AJ6" s="11">
        <v>0</v>
      </c>
      <c r="AK6" s="11">
        <v>0</v>
      </c>
      <c r="AL6">
        <v>1</v>
      </c>
      <c r="AM6">
        <v>1</v>
      </c>
      <c r="AN6">
        <v>1</v>
      </c>
      <c r="AO6">
        <v>1</v>
      </c>
      <c r="AP6">
        <v>1</v>
      </c>
      <c r="AQ6" s="11">
        <v>0</v>
      </c>
      <c r="AR6" s="11">
        <v>0</v>
      </c>
      <c r="AS6">
        <v>1</v>
      </c>
      <c r="AT6">
        <v>1</v>
      </c>
      <c r="AU6">
        <v>1</v>
      </c>
      <c r="AV6">
        <v>1</v>
      </c>
      <c r="AW6">
        <v>1</v>
      </c>
      <c r="AX6" s="11">
        <v>0</v>
      </c>
      <c r="AY6" s="11">
        <v>0</v>
      </c>
      <c r="AZ6">
        <v>1</v>
      </c>
      <c r="BA6">
        <v>1</v>
      </c>
      <c r="BB6">
        <v>1</v>
      </c>
      <c r="BC6">
        <v>1</v>
      </c>
      <c r="BD6">
        <v>1</v>
      </c>
      <c r="BE6" s="11">
        <v>0</v>
      </c>
      <c r="BF6" s="11">
        <v>0</v>
      </c>
      <c r="BG6">
        <v>1</v>
      </c>
      <c r="BH6">
        <v>1</v>
      </c>
      <c r="BI6">
        <v>1</v>
      </c>
      <c r="BJ6">
        <v>1</v>
      </c>
    </row>
    <row r="7" spans="1:62">
      <c r="A7" s="10" t="s">
        <v>7</v>
      </c>
      <c r="B7" s="11">
        <v>0</v>
      </c>
      <c r="C7">
        <v>2</v>
      </c>
      <c r="D7">
        <v>2</v>
      </c>
      <c r="E7">
        <v>2</v>
      </c>
      <c r="F7">
        <v>2</v>
      </c>
      <c r="G7">
        <v>2</v>
      </c>
      <c r="H7" s="11">
        <v>0</v>
      </c>
      <c r="I7" s="11">
        <v>0</v>
      </c>
      <c r="J7">
        <v>2</v>
      </c>
      <c r="K7">
        <v>2</v>
      </c>
      <c r="L7">
        <v>2</v>
      </c>
      <c r="M7">
        <v>2</v>
      </c>
      <c r="N7">
        <v>2</v>
      </c>
      <c r="O7" s="11">
        <v>0</v>
      </c>
      <c r="P7" s="11">
        <v>0</v>
      </c>
      <c r="Q7">
        <v>2</v>
      </c>
      <c r="R7">
        <v>2</v>
      </c>
      <c r="S7">
        <v>2</v>
      </c>
      <c r="T7">
        <v>2</v>
      </c>
      <c r="U7">
        <v>2</v>
      </c>
      <c r="V7" s="11">
        <v>0</v>
      </c>
      <c r="W7" s="11">
        <v>0</v>
      </c>
      <c r="X7">
        <v>2</v>
      </c>
      <c r="Y7">
        <v>2</v>
      </c>
      <c r="Z7">
        <v>2</v>
      </c>
      <c r="AA7">
        <v>2</v>
      </c>
      <c r="AB7">
        <v>2</v>
      </c>
      <c r="AC7" s="11">
        <v>0</v>
      </c>
      <c r="AD7" s="11">
        <v>0</v>
      </c>
      <c r="AE7">
        <v>2</v>
      </c>
      <c r="AF7">
        <v>2</v>
      </c>
      <c r="AG7">
        <v>2</v>
      </c>
      <c r="AH7">
        <v>2</v>
      </c>
      <c r="AI7">
        <v>2</v>
      </c>
      <c r="AJ7" s="11">
        <v>0</v>
      </c>
      <c r="AK7" s="11">
        <v>0</v>
      </c>
      <c r="AL7">
        <v>2</v>
      </c>
      <c r="AM7">
        <v>2</v>
      </c>
      <c r="AN7">
        <v>2</v>
      </c>
      <c r="AO7">
        <v>2</v>
      </c>
      <c r="AP7">
        <v>2</v>
      </c>
      <c r="AQ7" s="11">
        <v>0</v>
      </c>
      <c r="AR7" s="11">
        <v>0</v>
      </c>
      <c r="AS7">
        <v>2</v>
      </c>
      <c r="AT7">
        <v>2</v>
      </c>
      <c r="AU7">
        <v>2</v>
      </c>
      <c r="AV7">
        <v>2</v>
      </c>
      <c r="AW7">
        <v>2</v>
      </c>
      <c r="AX7" s="11">
        <v>0</v>
      </c>
      <c r="AY7" s="11">
        <v>0</v>
      </c>
      <c r="AZ7">
        <v>2</v>
      </c>
      <c r="BA7">
        <v>2</v>
      </c>
      <c r="BB7">
        <v>2</v>
      </c>
      <c r="BC7">
        <v>2</v>
      </c>
      <c r="BD7">
        <v>2</v>
      </c>
      <c r="BE7" s="11">
        <v>0</v>
      </c>
      <c r="BF7" s="11">
        <v>0</v>
      </c>
      <c r="BG7">
        <v>2</v>
      </c>
      <c r="BH7">
        <v>2</v>
      </c>
      <c r="BI7">
        <v>2</v>
      </c>
      <c r="BJ7">
        <v>2</v>
      </c>
    </row>
    <row r="8" spans="1:62">
      <c r="A8" s="10" t="s">
        <v>20</v>
      </c>
      <c r="B8" s="11">
        <v>0</v>
      </c>
      <c r="C8">
        <v>1</v>
      </c>
      <c r="D8">
        <v>1</v>
      </c>
      <c r="E8">
        <v>1</v>
      </c>
      <c r="F8">
        <v>1</v>
      </c>
      <c r="G8">
        <v>1</v>
      </c>
      <c r="H8" s="11">
        <v>0</v>
      </c>
      <c r="I8" s="11">
        <v>0</v>
      </c>
      <c r="J8">
        <v>1</v>
      </c>
      <c r="K8">
        <v>1</v>
      </c>
      <c r="L8">
        <v>1</v>
      </c>
      <c r="M8">
        <v>1</v>
      </c>
      <c r="N8">
        <v>1</v>
      </c>
      <c r="O8" s="11">
        <v>0</v>
      </c>
      <c r="P8" s="11">
        <v>0</v>
      </c>
      <c r="Q8">
        <v>1</v>
      </c>
      <c r="R8">
        <v>1</v>
      </c>
      <c r="S8">
        <v>1</v>
      </c>
      <c r="T8">
        <v>1</v>
      </c>
      <c r="U8">
        <v>1</v>
      </c>
      <c r="V8" s="11">
        <v>0</v>
      </c>
      <c r="W8" s="11">
        <v>0</v>
      </c>
      <c r="X8">
        <v>1</v>
      </c>
      <c r="Y8">
        <v>1</v>
      </c>
      <c r="Z8">
        <v>1</v>
      </c>
      <c r="AA8">
        <v>1</v>
      </c>
      <c r="AB8">
        <v>1</v>
      </c>
      <c r="AC8" s="11">
        <v>0</v>
      </c>
      <c r="AD8" s="11">
        <v>0</v>
      </c>
      <c r="AE8">
        <v>1</v>
      </c>
      <c r="AF8">
        <v>1</v>
      </c>
      <c r="AG8">
        <v>1</v>
      </c>
      <c r="AH8">
        <v>1</v>
      </c>
      <c r="AI8">
        <v>1</v>
      </c>
      <c r="AJ8" s="11">
        <v>0</v>
      </c>
      <c r="AK8" s="11">
        <v>0</v>
      </c>
      <c r="AL8">
        <v>1</v>
      </c>
      <c r="AM8">
        <v>1</v>
      </c>
      <c r="AN8">
        <v>1</v>
      </c>
      <c r="AO8">
        <v>1</v>
      </c>
      <c r="AP8">
        <v>1</v>
      </c>
      <c r="AQ8" s="11">
        <v>0</v>
      </c>
      <c r="AR8" s="11">
        <v>0</v>
      </c>
      <c r="AS8">
        <v>1</v>
      </c>
      <c r="AT8">
        <v>1</v>
      </c>
      <c r="AU8">
        <v>1</v>
      </c>
      <c r="AV8">
        <v>1</v>
      </c>
      <c r="AW8">
        <v>1</v>
      </c>
      <c r="AX8" s="11">
        <v>0</v>
      </c>
      <c r="AY8" s="11">
        <v>0</v>
      </c>
      <c r="AZ8">
        <v>1</v>
      </c>
      <c r="BA8">
        <v>1</v>
      </c>
      <c r="BB8">
        <v>1</v>
      </c>
      <c r="BC8">
        <v>1</v>
      </c>
      <c r="BD8">
        <v>1</v>
      </c>
      <c r="BE8" s="11">
        <v>0</v>
      </c>
      <c r="BF8" s="11">
        <v>0</v>
      </c>
      <c r="BG8">
        <v>1</v>
      </c>
      <c r="BH8">
        <v>1</v>
      </c>
      <c r="BI8">
        <v>1</v>
      </c>
      <c r="BJ8">
        <v>1</v>
      </c>
    </row>
    <row r="9" spans="1:62">
      <c r="A9" s="10"/>
      <c r="B9" s="10"/>
    </row>
    <row r="10" spans="1:62">
      <c r="A10" s="10"/>
    </row>
    <row r="11" spans="1:62">
      <c r="A11" s="10"/>
    </row>
    <row r="12" spans="1:62">
      <c r="A12" s="10"/>
    </row>
  </sheetData>
  <conditionalFormatting sqref="A9:A12 D2:G8">
    <cfRule type="cellIs" dxfId="55" priority="65" operator="equal">
      <formula>"B"</formula>
    </cfRule>
    <cfRule type="cellIs" dxfId="54" priority="66" operator="equal">
      <formula>"L"</formula>
    </cfRule>
  </conditionalFormatting>
  <conditionalFormatting sqref="H2:I8">
    <cfRule type="cellIs" dxfId="53" priority="51" operator="equal">
      <formula>"B"</formula>
    </cfRule>
    <cfRule type="cellIs" dxfId="52" priority="52" operator="equal">
      <formula>"L"</formula>
    </cfRule>
  </conditionalFormatting>
  <conditionalFormatting sqref="O2:P8">
    <cfRule type="cellIs" dxfId="51" priority="49" operator="equal">
      <formula>"B"</formula>
    </cfRule>
    <cfRule type="cellIs" dxfId="50" priority="50" operator="equal">
      <formula>"L"</formula>
    </cfRule>
  </conditionalFormatting>
  <conditionalFormatting sqref="V2:W8">
    <cfRule type="cellIs" dxfId="49" priority="47" operator="equal">
      <formula>"B"</formula>
    </cfRule>
    <cfRule type="cellIs" dxfId="48" priority="48" operator="equal">
      <formula>"L"</formula>
    </cfRule>
  </conditionalFormatting>
  <conditionalFormatting sqref="AC2:AD8">
    <cfRule type="cellIs" dxfId="47" priority="45" operator="equal">
      <formula>"B"</formula>
    </cfRule>
    <cfRule type="cellIs" dxfId="46" priority="46" operator="equal">
      <formula>"L"</formula>
    </cfRule>
  </conditionalFormatting>
  <conditionalFormatting sqref="AJ2:AK8">
    <cfRule type="cellIs" dxfId="45" priority="43" operator="equal">
      <formula>"B"</formula>
    </cfRule>
    <cfRule type="cellIs" dxfId="44" priority="44" operator="equal">
      <formula>"L"</formula>
    </cfRule>
  </conditionalFormatting>
  <conditionalFormatting sqref="AQ2:AR8">
    <cfRule type="cellIs" dxfId="43" priority="41" operator="equal">
      <formula>"B"</formula>
    </cfRule>
    <cfRule type="cellIs" dxfId="42" priority="42" operator="equal">
      <formula>"L"</formula>
    </cfRule>
  </conditionalFormatting>
  <conditionalFormatting sqref="AX2:AY8">
    <cfRule type="cellIs" dxfId="41" priority="39" operator="equal">
      <formula>"B"</formula>
    </cfRule>
    <cfRule type="cellIs" dxfId="40" priority="40" operator="equal">
      <formula>"L"</formula>
    </cfRule>
  </conditionalFormatting>
  <conditionalFormatting sqref="BE2:BF8">
    <cfRule type="cellIs" dxfId="39" priority="37" operator="equal">
      <formula>"B"</formula>
    </cfRule>
    <cfRule type="cellIs" dxfId="38" priority="38" operator="equal">
      <formula>"L"</formula>
    </cfRule>
  </conditionalFormatting>
  <conditionalFormatting sqref="B2:B8">
    <cfRule type="cellIs" dxfId="37" priority="35" operator="equal">
      <formula>"B"</formula>
    </cfRule>
    <cfRule type="cellIs" dxfId="36" priority="36" operator="equal">
      <formula>"L"</formula>
    </cfRule>
  </conditionalFormatting>
  <conditionalFormatting sqref="C2:G8">
    <cfRule type="cellIs" dxfId="33" priority="33" operator="equal">
      <formula>"B"</formula>
    </cfRule>
    <cfRule type="cellIs" dxfId="32" priority="34" operator="equal">
      <formula>"L"</formula>
    </cfRule>
  </conditionalFormatting>
  <conditionalFormatting sqref="K2:N8">
    <cfRule type="cellIs" dxfId="31" priority="31" operator="equal">
      <formula>"B"</formula>
    </cfRule>
    <cfRule type="cellIs" dxfId="30" priority="32" operator="equal">
      <formula>"L"</formula>
    </cfRule>
  </conditionalFormatting>
  <conditionalFormatting sqref="J2:N8">
    <cfRule type="cellIs" dxfId="29" priority="29" operator="equal">
      <formula>"B"</formula>
    </cfRule>
    <cfRule type="cellIs" dxfId="28" priority="30" operator="equal">
      <formula>"L"</formula>
    </cfRule>
  </conditionalFormatting>
  <conditionalFormatting sqref="R2:U8">
    <cfRule type="cellIs" dxfId="27" priority="27" operator="equal">
      <formula>"B"</formula>
    </cfRule>
    <cfRule type="cellIs" dxfId="26" priority="28" operator="equal">
      <formula>"L"</formula>
    </cfRule>
  </conditionalFormatting>
  <conditionalFormatting sqref="Q2:U8">
    <cfRule type="cellIs" dxfId="25" priority="25" operator="equal">
      <formula>"B"</formula>
    </cfRule>
    <cfRule type="cellIs" dxfId="24" priority="26" operator="equal">
      <formula>"L"</formula>
    </cfRule>
  </conditionalFormatting>
  <conditionalFormatting sqref="Y2:AB8">
    <cfRule type="cellIs" dxfId="23" priority="23" operator="equal">
      <formula>"B"</formula>
    </cfRule>
    <cfRule type="cellIs" dxfId="22" priority="24" operator="equal">
      <formula>"L"</formula>
    </cfRule>
  </conditionalFormatting>
  <conditionalFormatting sqref="X2:AB8">
    <cfRule type="cellIs" dxfId="21" priority="21" operator="equal">
      <formula>"B"</formula>
    </cfRule>
    <cfRule type="cellIs" dxfId="20" priority="22" operator="equal">
      <formula>"L"</formula>
    </cfRule>
  </conditionalFormatting>
  <conditionalFormatting sqref="AF2:AI8">
    <cfRule type="cellIs" dxfId="19" priority="19" operator="equal">
      <formula>"B"</formula>
    </cfRule>
    <cfRule type="cellIs" dxfId="18" priority="20" operator="equal">
      <formula>"L"</formula>
    </cfRule>
  </conditionalFormatting>
  <conditionalFormatting sqref="AE2:AI8">
    <cfRule type="cellIs" dxfId="17" priority="17" operator="equal">
      <formula>"B"</formula>
    </cfRule>
    <cfRule type="cellIs" dxfId="16" priority="18" operator="equal">
      <formula>"L"</formula>
    </cfRule>
  </conditionalFormatting>
  <conditionalFormatting sqref="AM2:AP8">
    <cfRule type="cellIs" dxfId="15" priority="15" operator="equal">
      <formula>"B"</formula>
    </cfRule>
    <cfRule type="cellIs" dxfId="14" priority="16" operator="equal">
      <formula>"L"</formula>
    </cfRule>
  </conditionalFormatting>
  <conditionalFormatting sqref="AL2:AP8">
    <cfRule type="cellIs" dxfId="13" priority="13" operator="equal">
      <formula>"B"</formula>
    </cfRule>
    <cfRule type="cellIs" dxfId="12" priority="14" operator="equal">
      <formula>"L"</formula>
    </cfRule>
  </conditionalFormatting>
  <conditionalFormatting sqref="AT2:AW8">
    <cfRule type="cellIs" dxfId="11" priority="11" operator="equal">
      <formula>"B"</formula>
    </cfRule>
    <cfRule type="cellIs" dxfId="10" priority="12" operator="equal">
      <formula>"L"</formula>
    </cfRule>
  </conditionalFormatting>
  <conditionalFormatting sqref="AS2:AW8">
    <cfRule type="cellIs" dxfId="9" priority="9" operator="equal">
      <formula>"B"</formula>
    </cfRule>
    <cfRule type="cellIs" dxfId="8" priority="10" operator="equal">
      <formula>"L"</formula>
    </cfRule>
  </conditionalFormatting>
  <conditionalFormatting sqref="BA2:BD8">
    <cfRule type="cellIs" dxfId="7" priority="7" operator="equal">
      <formula>"B"</formula>
    </cfRule>
    <cfRule type="cellIs" dxfId="6" priority="8" operator="equal">
      <formula>"L"</formula>
    </cfRule>
  </conditionalFormatting>
  <conditionalFormatting sqref="AZ2:BD8">
    <cfRule type="cellIs" dxfId="5" priority="5" operator="equal">
      <formula>"B"</formula>
    </cfRule>
    <cfRule type="cellIs" dxfId="4" priority="6" operator="equal">
      <formula>"L"</formula>
    </cfRule>
  </conditionalFormatting>
  <conditionalFormatting sqref="BH2:BK8">
    <cfRule type="cellIs" dxfId="3" priority="3" operator="equal">
      <formula>"B"</formula>
    </cfRule>
    <cfRule type="cellIs" dxfId="2" priority="4" operator="equal">
      <formula>"L"</formula>
    </cfRule>
  </conditionalFormatting>
  <conditionalFormatting sqref="BG2:BK8">
    <cfRule type="cellIs" dxfId="1" priority="1" operator="equal">
      <formula>"B"</formula>
    </cfRule>
    <cfRule type="cellIs" dxfId="0" priority="2" operator="equal">
      <formula>"L"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710E6-D78B-B34A-AA29-586A1CC59A95}">
  <sheetPr codeName="Sheet7"/>
  <dimension ref="A1:BM12"/>
  <sheetViews>
    <sheetView zoomScale="75" workbookViewId="0">
      <selection activeCell="N13" sqref="N13"/>
    </sheetView>
  </sheetViews>
  <sheetFormatPr baseColWidth="10" defaultRowHeight="16"/>
  <cols>
    <col min="1" max="1" width="24.5" customWidth="1"/>
  </cols>
  <sheetData>
    <row r="1" spans="1:65" s="20" customFormat="1">
      <c r="A1" s="25"/>
      <c r="B1" s="19">
        <v>46033</v>
      </c>
      <c r="C1" s="20">
        <v>46064</v>
      </c>
      <c r="D1" s="20">
        <v>46092</v>
      </c>
      <c r="E1" s="20">
        <v>46123</v>
      </c>
      <c r="F1" s="20">
        <v>46153</v>
      </c>
      <c r="G1" s="20">
        <v>46184</v>
      </c>
      <c r="H1" s="19">
        <v>46214</v>
      </c>
      <c r="I1" s="19">
        <v>46245</v>
      </c>
      <c r="J1" s="20">
        <v>46276</v>
      </c>
      <c r="K1" s="20">
        <v>46306</v>
      </c>
      <c r="L1" s="20">
        <v>46337</v>
      </c>
      <c r="M1" s="20">
        <v>46367</v>
      </c>
      <c r="N1" s="20" t="s">
        <v>23</v>
      </c>
      <c r="O1" s="19" t="s">
        <v>24</v>
      </c>
      <c r="P1" s="19" t="s">
        <v>25</v>
      </c>
      <c r="Q1" s="20" t="s">
        <v>26</v>
      </c>
      <c r="R1" s="20" t="s">
        <v>27</v>
      </c>
      <c r="S1" s="20" t="s">
        <v>28</v>
      </c>
      <c r="T1" s="20" t="s">
        <v>29</v>
      </c>
      <c r="U1" s="20" t="s">
        <v>30</v>
      </c>
      <c r="V1" s="19" t="s">
        <v>31</v>
      </c>
      <c r="W1" s="19" t="s">
        <v>32</v>
      </c>
      <c r="X1" s="20" t="s">
        <v>33</v>
      </c>
      <c r="Y1" s="20" t="s">
        <v>34</v>
      </c>
      <c r="Z1" s="20" t="s">
        <v>35</v>
      </c>
      <c r="AA1" s="20" t="s">
        <v>36</v>
      </c>
      <c r="AB1" s="20" t="s">
        <v>37</v>
      </c>
      <c r="AC1" s="19" t="s">
        <v>38</v>
      </c>
      <c r="AD1" s="19" t="s">
        <v>39</v>
      </c>
      <c r="AE1" s="20" t="s">
        <v>40</v>
      </c>
      <c r="AF1" s="20">
        <v>46034</v>
      </c>
      <c r="AG1" s="20">
        <v>46065</v>
      </c>
      <c r="AH1" s="20">
        <v>46093</v>
      </c>
      <c r="AI1" s="20">
        <v>46124</v>
      </c>
      <c r="AJ1" s="19">
        <v>46154</v>
      </c>
      <c r="AK1" s="19">
        <v>46185</v>
      </c>
      <c r="AL1" s="20">
        <v>46215</v>
      </c>
      <c r="AM1" s="20">
        <v>46246</v>
      </c>
      <c r="AN1" s="20">
        <v>46277</v>
      </c>
      <c r="AO1" s="20">
        <v>46307</v>
      </c>
      <c r="AP1" s="20">
        <v>46338</v>
      </c>
      <c r="AQ1" s="19">
        <v>46368</v>
      </c>
      <c r="AR1" s="19" t="s">
        <v>102</v>
      </c>
      <c r="AS1" s="20" t="s">
        <v>103</v>
      </c>
      <c r="AT1" s="20" t="s">
        <v>104</v>
      </c>
      <c r="AU1" s="20" t="s">
        <v>105</v>
      </c>
      <c r="AV1" s="20" t="s">
        <v>106</v>
      </c>
      <c r="AW1" s="20" t="s">
        <v>107</v>
      </c>
      <c r="AX1" s="19" t="s">
        <v>108</v>
      </c>
      <c r="AY1" s="19" t="s">
        <v>109</v>
      </c>
      <c r="AZ1" s="20" t="s">
        <v>110</v>
      </c>
      <c r="BA1" s="20" t="s">
        <v>111</v>
      </c>
      <c r="BB1" s="20" t="s">
        <v>112</v>
      </c>
      <c r="BC1" s="20" t="s">
        <v>113</v>
      </c>
      <c r="BD1" s="20" t="s">
        <v>114</v>
      </c>
      <c r="BE1" s="19" t="s">
        <v>115</v>
      </c>
      <c r="BF1" s="19" t="s">
        <v>116</v>
      </c>
      <c r="BG1" s="20" t="s">
        <v>117</v>
      </c>
      <c r="BH1" s="20" t="s">
        <v>118</v>
      </c>
      <c r="BI1" s="20" t="s">
        <v>119</v>
      </c>
      <c r="BJ1" s="20" t="s">
        <v>120</v>
      </c>
    </row>
    <row r="2" spans="1:65">
      <c r="A2" s="10" t="s">
        <v>43</v>
      </c>
      <c r="B2" s="11">
        <v>1</v>
      </c>
      <c r="C2">
        <v>1</v>
      </c>
      <c r="D2">
        <v>1</v>
      </c>
      <c r="E2">
        <v>1</v>
      </c>
      <c r="F2">
        <v>1</v>
      </c>
      <c r="G2">
        <v>2</v>
      </c>
      <c r="H2" s="11">
        <v>3</v>
      </c>
      <c r="I2" s="11">
        <v>1</v>
      </c>
      <c r="J2">
        <v>1</v>
      </c>
      <c r="K2">
        <v>1</v>
      </c>
      <c r="L2">
        <v>1</v>
      </c>
      <c r="M2">
        <v>1</v>
      </c>
      <c r="N2">
        <v>2</v>
      </c>
      <c r="O2" s="11">
        <v>3</v>
      </c>
      <c r="P2" s="11">
        <v>1</v>
      </c>
      <c r="Q2">
        <v>1</v>
      </c>
      <c r="R2">
        <v>1</v>
      </c>
      <c r="S2">
        <v>1</v>
      </c>
      <c r="T2">
        <v>1</v>
      </c>
      <c r="U2">
        <v>2</v>
      </c>
      <c r="V2" s="11">
        <v>3</v>
      </c>
      <c r="W2" s="11">
        <v>1</v>
      </c>
      <c r="X2">
        <v>1</v>
      </c>
      <c r="Y2">
        <v>1</v>
      </c>
      <c r="Z2">
        <v>1</v>
      </c>
      <c r="AA2">
        <v>1</v>
      </c>
      <c r="AB2">
        <v>2</v>
      </c>
      <c r="AC2" s="11">
        <v>3</v>
      </c>
      <c r="AD2" s="11">
        <v>1</v>
      </c>
      <c r="AE2">
        <v>1</v>
      </c>
      <c r="AF2">
        <v>1</v>
      </c>
      <c r="AG2">
        <v>1</v>
      </c>
      <c r="AH2">
        <v>1</v>
      </c>
      <c r="AI2">
        <v>2</v>
      </c>
      <c r="AJ2" s="11">
        <v>3</v>
      </c>
      <c r="AK2" s="11">
        <v>1</v>
      </c>
      <c r="AL2">
        <v>1</v>
      </c>
      <c r="AM2">
        <v>1</v>
      </c>
      <c r="AN2">
        <v>1</v>
      </c>
      <c r="AO2">
        <v>1</v>
      </c>
      <c r="AP2">
        <v>2</v>
      </c>
      <c r="AQ2" s="11">
        <v>3</v>
      </c>
      <c r="AR2" s="11">
        <v>1</v>
      </c>
      <c r="AS2">
        <v>1</v>
      </c>
      <c r="AT2">
        <v>1</v>
      </c>
      <c r="AU2">
        <v>1</v>
      </c>
      <c r="AV2">
        <v>1</v>
      </c>
      <c r="AW2">
        <v>2</v>
      </c>
      <c r="AX2" s="11">
        <v>3</v>
      </c>
      <c r="AY2" s="11">
        <v>1</v>
      </c>
      <c r="AZ2">
        <v>1</v>
      </c>
      <c r="BA2">
        <v>1</v>
      </c>
      <c r="BB2">
        <v>1</v>
      </c>
      <c r="BC2">
        <v>1</v>
      </c>
      <c r="BD2">
        <v>2</v>
      </c>
      <c r="BE2" s="11">
        <v>3</v>
      </c>
      <c r="BF2" s="11">
        <v>1</v>
      </c>
      <c r="BG2">
        <v>1</v>
      </c>
      <c r="BH2">
        <v>1</v>
      </c>
      <c r="BI2">
        <v>1</v>
      </c>
      <c r="BJ2">
        <v>1</v>
      </c>
      <c r="BL2" s="11"/>
      <c r="BM2" s="11"/>
    </row>
    <row r="3" spans="1:65">
      <c r="A3" s="10"/>
    </row>
    <row r="4" spans="1:65">
      <c r="A4" s="10"/>
    </row>
    <row r="5" spans="1:65">
      <c r="A5" s="10"/>
    </row>
    <row r="6" spans="1:65">
      <c r="A6" s="10"/>
    </row>
    <row r="7" spans="1:65">
      <c r="A7" s="10"/>
    </row>
    <row r="8" spans="1:65">
      <c r="A8" s="10"/>
    </row>
    <row r="9" spans="1:65">
      <c r="A9" s="10"/>
    </row>
    <row r="10" spans="1:65">
      <c r="A10" s="10"/>
    </row>
    <row r="11" spans="1:65">
      <c r="A11" s="10"/>
    </row>
    <row r="12" spans="1:65">
      <c r="A12" s="10"/>
    </row>
  </sheetData>
  <conditionalFormatting sqref="A9:A12 B2:BR2">
    <cfRule type="cellIs" dxfId="35" priority="5" operator="equal">
      <formula>"B"</formula>
    </cfRule>
    <cfRule type="cellIs" dxfId="34" priority="6" operator="equal">
      <formula>"L"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output_roster</vt:lpstr>
      <vt:lpstr>input_general_parameters</vt:lpstr>
      <vt:lpstr>input_leaves_blockouts</vt:lpstr>
      <vt:lpstr>input_teams</vt:lpstr>
      <vt:lpstr>input_calls</vt:lpstr>
      <vt:lpstr>input_team_requirements</vt:lpstr>
      <vt:lpstr>input_call_requirements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Xuyuan Tang</dc:creator>
  <cp:lastModifiedBy>Xuyuan Tang</cp:lastModifiedBy>
  <cp:lastPrinted>2026-09-21T06:19:05Z</cp:lastPrinted>
  <dcterms:created xsi:type="dcterms:W3CDTF">2026-09-21T06:19:58Z</dcterms:created>
  <dcterms:modified xsi:type="dcterms:W3CDTF">2026-10-08T14:54:07Z</dcterms:modified>
</cp:coreProperties>
</file>